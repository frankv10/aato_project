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Frank\Downloads\"/>
    </mc:Choice>
  </mc:AlternateContent>
  <xr:revisionPtr revIDLastSave="0" documentId="13_ncr:1_{1FE32DF0-95F0-4A34-98E4-35DCBC018AFD}" xr6:coauthVersionLast="47" xr6:coauthVersionMax="47" xr10:uidLastSave="{00000000-0000-0000-0000-000000000000}"/>
  <bookViews>
    <workbookView xWindow="450" yWindow="1620" windowWidth="18570" windowHeight="19620" xr2:uid="{00000000-000D-0000-FFFF-FFFF00000000}"/>
  </bookViews>
  <sheets>
    <sheet name="Tabella riassuntiva" sheetId="1" r:id="rId1"/>
    <sheet name="AIMAG" sheetId="2" r:id="rId2"/>
    <sheet name="SFIORI SCADUTI" sheetId="3" r:id="rId3"/>
    <sheet name="Sfiori Qs&lt;Pavv" sheetId="4" r:id="rId4"/>
    <sheet name="sfiori per SIPIUI" sheetId="5" r:id="rId5"/>
  </sheets>
  <definedNames>
    <definedName name="_xlnm._FilterDatabase" localSheetId="1" hidden="1">AIMAG!$A$1:$BE$74</definedName>
    <definedName name="_xlnm._FilterDatabase" localSheetId="4" hidden="1">'sfiori per SIPIUI'!$A$5:$BF$64</definedName>
    <definedName name="_xlnm._FilterDatabase" localSheetId="0" hidden="1">'Tabella riassuntiva'!$A$8:$BG$492</definedName>
    <definedName name="Z_F596EA56_C336_4646_A7F4_E694B630509B_.wvu.FilterData" localSheetId="0" hidden="1">'Tabella riassuntiva'!$A$7:$BF$491</definedName>
  </definedNames>
  <calcPr calcId="191029"/>
  <customWorkbookViews>
    <customWorkbookView name="Giorgia" guid="{F596EA56-C336-4646-A7F4-E694B630509B}"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9" roundtripDataChecksum="cz41F252BDzGCqfCruKbg/28fY6cSDMatqx1d0yMs20="/>
    </ext>
  </extLst>
</workbook>
</file>

<file path=xl/calcChain.xml><?xml version="1.0" encoding="utf-8"?>
<calcChain xmlns="http://schemas.openxmlformats.org/spreadsheetml/2006/main">
  <c r="C64" i="5" l="1"/>
  <c r="C63" i="5"/>
  <c r="O62" i="5"/>
  <c r="L62" i="5"/>
  <c r="O61" i="5"/>
  <c r="L61" i="5"/>
  <c r="O60" i="5"/>
  <c r="L60" i="5"/>
  <c r="O59" i="5"/>
  <c r="L59" i="5"/>
  <c r="O58" i="5"/>
  <c r="L58" i="5"/>
  <c r="O57" i="5"/>
  <c r="L57" i="5"/>
  <c r="O56" i="5"/>
  <c r="L56" i="5"/>
  <c r="O55" i="5"/>
  <c r="L55" i="5"/>
  <c r="O54" i="5"/>
  <c r="L54" i="5"/>
  <c r="O53" i="5"/>
  <c r="L53" i="5"/>
  <c r="O52" i="5"/>
  <c r="L52" i="5"/>
  <c r="O51" i="5"/>
  <c r="L51" i="5"/>
  <c r="O50" i="5"/>
  <c r="L50" i="5"/>
  <c r="O49" i="5"/>
  <c r="L49" i="5"/>
  <c r="O48" i="5"/>
  <c r="L48" i="5"/>
  <c r="O47" i="5"/>
  <c r="L47" i="5"/>
  <c r="O46" i="5"/>
  <c r="L46" i="5"/>
  <c r="O45" i="5"/>
  <c r="L45" i="5"/>
  <c r="O44" i="5"/>
  <c r="L44" i="5"/>
  <c r="O43" i="5"/>
  <c r="L43" i="5"/>
  <c r="O41" i="5"/>
  <c r="L41" i="5"/>
  <c r="O40" i="5"/>
  <c r="L40" i="5"/>
  <c r="O39" i="5"/>
  <c r="L39" i="5"/>
  <c r="O38" i="5"/>
  <c r="L38" i="5"/>
  <c r="O37" i="5"/>
  <c r="L37" i="5"/>
  <c r="O36" i="5"/>
  <c r="L36" i="5"/>
  <c r="O35" i="5"/>
  <c r="L35" i="5"/>
  <c r="O34" i="5"/>
  <c r="L34" i="5"/>
  <c r="O33" i="5"/>
  <c r="L33" i="5"/>
  <c r="O32" i="5"/>
  <c r="L32" i="5"/>
  <c r="O31" i="5"/>
  <c r="L31" i="5"/>
  <c r="O30" i="5"/>
  <c r="L30" i="5"/>
  <c r="O28" i="5"/>
  <c r="L28" i="5"/>
  <c r="O27" i="5"/>
  <c r="L27" i="5"/>
  <c r="O26" i="5"/>
  <c r="L26" i="5"/>
  <c r="O25" i="5"/>
  <c r="L25" i="5"/>
  <c r="O24" i="5"/>
  <c r="L24" i="5"/>
  <c r="O23" i="5"/>
  <c r="L23" i="5"/>
  <c r="O22" i="5"/>
  <c r="L22" i="5"/>
  <c r="O21" i="5"/>
  <c r="L21" i="5"/>
  <c r="O20" i="5"/>
  <c r="L20" i="5"/>
  <c r="O19" i="5"/>
  <c r="L19" i="5"/>
  <c r="O18" i="5"/>
  <c r="L18" i="5"/>
  <c r="O17" i="5"/>
  <c r="L17" i="5"/>
  <c r="O16" i="5"/>
  <c r="L16" i="5"/>
  <c r="O15" i="5"/>
  <c r="L15" i="5"/>
  <c r="O14" i="5"/>
  <c r="L14" i="5"/>
  <c r="O13" i="5"/>
  <c r="L13" i="5"/>
  <c r="O12" i="5"/>
  <c r="L12" i="5"/>
  <c r="O11" i="5"/>
  <c r="L11" i="5"/>
  <c r="O10" i="5"/>
  <c r="L10" i="5"/>
  <c r="O9" i="5"/>
  <c r="L9" i="5"/>
  <c r="O8" i="5"/>
  <c r="L8" i="5"/>
  <c r="O7" i="5"/>
  <c r="L7" i="5"/>
  <c r="O6" i="5"/>
  <c r="L6" i="5"/>
  <c r="D74" i="2"/>
  <c r="D73" i="2"/>
  <c r="D72" i="2"/>
  <c r="D71" i="2"/>
  <c r="D70" i="2"/>
  <c r="D69" i="2"/>
  <c r="D68" i="2"/>
  <c r="D67" i="2"/>
  <c r="D66" i="2"/>
  <c r="D65" i="2"/>
  <c r="D64" i="2"/>
  <c r="D63" i="2"/>
  <c r="D62" i="2"/>
  <c r="D61" i="2"/>
  <c r="AP60" i="2"/>
  <c r="D60" i="2"/>
  <c r="AP59" i="2"/>
  <c r="D59" i="2"/>
  <c r="D58" i="2"/>
  <c r="D57" i="2"/>
  <c r="D56" i="2"/>
  <c r="D55" i="2"/>
  <c r="D54" i="2"/>
  <c r="D53" i="2"/>
  <c r="D52" i="2"/>
  <c r="D51" i="2"/>
  <c r="D50" i="2"/>
  <c r="D49" i="2"/>
  <c r="D48" i="2"/>
  <c r="AP47" i="2"/>
  <c r="D47" i="2"/>
  <c r="AP46" i="2"/>
  <c r="D46" i="2"/>
  <c r="D45" i="2"/>
  <c r="D44" i="2"/>
  <c r="D43" i="2"/>
  <c r="D42" i="2"/>
  <c r="D41" i="2"/>
  <c r="D40" i="2"/>
  <c r="D39" i="2"/>
  <c r="D38" i="2"/>
  <c r="D37" i="2"/>
  <c r="D36" i="2"/>
  <c r="D35" i="2"/>
  <c r="D34" i="2"/>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D5" i="2"/>
  <c r="D4" i="2"/>
  <c r="D3" i="2"/>
  <c r="D2" i="2"/>
  <c r="AC495" i="1"/>
  <c r="E495" i="1"/>
  <c r="AC494" i="1"/>
  <c r="E494" i="1"/>
  <c r="AC493" i="1"/>
  <c r="E493" i="1"/>
  <c r="AL492" i="1"/>
  <c r="AK492" i="1"/>
  <c r="AI492" i="1"/>
  <c r="AD492" i="1"/>
  <c r="X492" i="1"/>
  <c r="W492" i="1"/>
  <c r="AC492" i="1" s="1"/>
  <c r="U492" i="1"/>
  <c r="R492" i="1"/>
  <c r="E492" i="1"/>
  <c r="AL491" i="1"/>
  <c r="AK491" i="1"/>
  <c r="AI491" i="1"/>
  <c r="AD491" i="1"/>
  <c r="X491" i="1"/>
  <c r="U491" i="1"/>
  <c r="R491" i="1"/>
  <c r="E491" i="1"/>
  <c r="AL490" i="1"/>
  <c r="AK490" i="1"/>
  <c r="AI490" i="1"/>
  <c r="AD490" i="1"/>
  <c r="U490" i="1"/>
  <c r="X490" i="1" s="1"/>
  <c r="R490" i="1"/>
  <c r="E490" i="1"/>
  <c r="AR489" i="1"/>
  <c r="AK489" i="1"/>
  <c r="AI489" i="1"/>
  <c r="AD489" i="1"/>
  <c r="X489" i="1"/>
  <c r="U489" i="1"/>
  <c r="R489" i="1"/>
  <c r="AL488" i="1"/>
  <c r="AK488" i="1"/>
  <c r="AI488" i="1"/>
  <c r="AD488" i="1"/>
  <c r="AC488" i="1"/>
  <c r="Z488" i="1"/>
  <c r="X488" i="1"/>
  <c r="W488" i="1"/>
  <c r="AA488" i="1" s="1"/>
  <c r="AB488" i="1" s="1"/>
  <c r="U488" i="1"/>
  <c r="R488" i="1"/>
  <c r="E488" i="1"/>
  <c r="AR487" i="1"/>
  <c r="AL487" i="1"/>
  <c r="AK487" i="1"/>
  <c r="AI487" i="1"/>
  <c r="AD487" i="1"/>
  <c r="AC487" i="1"/>
  <c r="W487" i="1"/>
  <c r="Y487" i="1" s="1"/>
  <c r="U487" i="1"/>
  <c r="X487" i="1" s="1"/>
  <c r="R487" i="1"/>
  <c r="Z487" i="1" s="1"/>
  <c r="E487" i="1"/>
  <c r="AL486" i="1"/>
  <c r="AK486" i="1"/>
  <c r="AI486" i="1"/>
  <c r="AD486" i="1"/>
  <c r="Z486" i="1"/>
  <c r="S486" i="1"/>
  <c r="W486" i="1" s="1"/>
  <c r="R486" i="1"/>
  <c r="E486" i="1"/>
  <c r="AL485" i="1"/>
  <c r="AK485" i="1"/>
  <c r="AI485" i="1"/>
  <c r="AD485" i="1"/>
  <c r="Z485" i="1"/>
  <c r="U485" i="1"/>
  <c r="X485" i="1" s="1"/>
  <c r="S485" i="1"/>
  <c r="R485" i="1"/>
  <c r="W485" i="1" s="1"/>
  <c r="E485" i="1"/>
  <c r="AL484" i="1"/>
  <c r="AK484" i="1"/>
  <c r="AI484" i="1"/>
  <c r="AD484" i="1"/>
  <c r="S484" i="1"/>
  <c r="U484" i="1" s="1"/>
  <c r="X484" i="1" s="1"/>
  <c r="R484" i="1"/>
  <c r="Z484" i="1" s="1"/>
  <c r="E484" i="1"/>
  <c r="AL483" i="1"/>
  <c r="AI483" i="1"/>
  <c r="AD483" i="1"/>
  <c r="W483" i="1"/>
  <c r="AC483" i="1" s="1"/>
  <c r="U483" i="1"/>
  <c r="X483" i="1" s="1"/>
  <c r="S483" i="1"/>
  <c r="R483" i="1"/>
  <c r="E483" i="1"/>
  <c r="AL482" i="1"/>
  <c r="AK482" i="1"/>
  <c r="AI482" i="1"/>
  <c r="AD482" i="1"/>
  <c r="Z482" i="1"/>
  <c r="U482" i="1"/>
  <c r="X482" i="1" s="1"/>
  <c r="S482" i="1"/>
  <c r="R482" i="1"/>
  <c r="W482" i="1" s="1"/>
  <c r="E482" i="1"/>
  <c r="AL481" i="1"/>
  <c r="AI481" i="1"/>
  <c r="AD481" i="1"/>
  <c r="U481" i="1"/>
  <c r="X481" i="1" s="1"/>
  <c r="S481" i="1"/>
  <c r="R481" i="1"/>
  <c r="E481" i="1"/>
  <c r="AL480" i="1"/>
  <c r="AK480" i="1"/>
  <c r="AI480" i="1"/>
  <c r="AD480" i="1"/>
  <c r="Z480" i="1"/>
  <c r="S480" i="1"/>
  <c r="W480" i="1" s="1"/>
  <c r="R480" i="1"/>
  <c r="E480" i="1"/>
  <c r="AL479" i="1"/>
  <c r="AI479" i="1"/>
  <c r="AD479" i="1"/>
  <c r="Z479" i="1"/>
  <c r="S479" i="1"/>
  <c r="W479" i="1" s="1"/>
  <c r="R479" i="1"/>
  <c r="E479" i="1"/>
  <c r="AL478" i="1"/>
  <c r="AK478" i="1"/>
  <c r="AI478" i="1"/>
  <c r="AD478" i="1"/>
  <c r="Z478" i="1"/>
  <c r="U478" i="1"/>
  <c r="X478" i="1" s="1"/>
  <c r="S478" i="1"/>
  <c r="R478" i="1"/>
  <c r="W478" i="1" s="1"/>
  <c r="E478" i="1"/>
  <c r="AL477" i="1"/>
  <c r="AK477" i="1"/>
  <c r="AI477" i="1"/>
  <c r="AD477" i="1"/>
  <c r="Z477" i="1"/>
  <c r="S477" i="1"/>
  <c r="W477" i="1" s="1"/>
  <c r="R477" i="1"/>
  <c r="E477" i="1"/>
  <c r="AL476" i="1"/>
  <c r="AK476" i="1"/>
  <c r="AI476" i="1"/>
  <c r="AD476" i="1"/>
  <c r="Z476" i="1"/>
  <c r="X476" i="1"/>
  <c r="U476" i="1"/>
  <c r="S476" i="1"/>
  <c r="R476" i="1"/>
  <c r="W476" i="1" s="1"/>
  <c r="E476" i="1"/>
  <c r="AL475" i="1"/>
  <c r="AK475" i="1"/>
  <c r="AI475" i="1"/>
  <c r="AD475" i="1"/>
  <c r="AC475" i="1"/>
  <c r="Z475" i="1"/>
  <c r="W475" i="1"/>
  <c r="Y475" i="1" s="1"/>
  <c r="S475" i="1"/>
  <c r="U475" i="1" s="1"/>
  <c r="X475" i="1" s="1"/>
  <c r="R475" i="1"/>
  <c r="E475" i="1"/>
  <c r="AL474" i="1"/>
  <c r="AK474" i="1"/>
  <c r="AI474" i="1"/>
  <c r="AD474" i="1"/>
  <c r="U474" i="1"/>
  <c r="X474" i="1" s="1"/>
  <c r="S474" i="1"/>
  <c r="R474" i="1"/>
  <c r="W474" i="1" s="1"/>
  <c r="E474" i="1"/>
  <c r="AL473" i="1"/>
  <c r="AK473" i="1"/>
  <c r="AI473" i="1"/>
  <c r="AD473" i="1"/>
  <c r="Z473" i="1"/>
  <c r="X473" i="1"/>
  <c r="U473" i="1"/>
  <c r="R473" i="1"/>
  <c r="W473" i="1" s="1"/>
  <c r="E473" i="1"/>
  <c r="AL472" i="1"/>
  <c r="AK472" i="1"/>
  <c r="AI472" i="1"/>
  <c r="AD472" i="1"/>
  <c r="X472" i="1"/>
  <c r="U472" i="1"/>
  <c r="R472" i="1"/>
  <c r="E472" i="1"/>
  <c r="AL471" i="1"/>
  <c r="AK471" i="1"/>
  <c r="AI471" i="1"/>
  <c r="AD471" i="1"/>
  <c r="Z471" i="1"/>
  <c r="W471" i="1"/>
  <c r="AC471" i="1" s="1"/>
  <c r="U471" i="1"/>
  <c r="X471" i="1" s="1"/>
  <c r="R471" i="1"/>
  <c r="E471" i="1"/>
  <c r="AL470" i="1"/>
  <c r="AK470" i="1"/>
  <c r="AI470" i="1"/>
  <c r="AD470" i="1"/>
  <c r="X470" i="1"/>
  <c r="U470" i="1"/>
  <c r="R470" i="1"/>
  <c r="E470" i="1"/>
  <c r="AL469" i="1"/>
  <c r="AC469" i="1"/>
  <c r="W469" i="1"/>
  <c r="E469" i="1"/>
  <c r="AL468" i="1"/>
  <c r="AK468" i="1"/>
  <c r="AI468" i="1"/>
  <c r="AD468" i="1"/>
  <c r="Z468" i="1"/>
  <c r="W468" i="1"/>
  <c r="AC468" i="1" s="1"/>
  <c r="U468" i="1"/>
  <c r="X468" i="1" s="1"/>
  <c r="R468" i="1"/>
  <c r="E468" i="1"/>
  <c r="AL467" i="1"/>
  <c r="AK467" i="1"/>
  <c r="AI467" i="1"/>
  <c r="AD467" i="1"/>
  <c r="X467" i="1"/>
  <c r="U467" i="1"/>
  <c r="R467" i="1"/>
  <c r="E467" i="1"/>
  <c r="AL466" i="1"/>
  <c r="AK466" i="1"/>
  <c r="AI466" i="1"/>
  <c r="AD466" i="1"/>
  <c r="U466" i="1"/>
  <c r="X466" i="1" s="1"/>
  <c r="R466" i="1"/>
  <c r="E466" i="1"/>
  <c r="AR465" i="1"/>
  <c r="AL465" i="1"/>
  <c r="AK465" i="1"/>
  <c r="AI465" i="1"/>
  <c r="AD465" i="1"/>
  <c r="Z465" i="1"/>
  <c r="U465" i="1"/>
  <c r="X465" i="1" s="1"/>
  <c r="R465" i="1"/>
  <c r="W465" i="1" s="1"/>
  <c r="E465" i="1"/>
  <c r="AL464" i="1"/>
  <c r="AK464" i="1"/>
  <c r="AI464" i="1"/>
  <c r="AD464" i="1"/>
  <c r="AC464" i="1"/>
  <c r="AA464" i="1"/>
  <c r="AB464" i="1" s="1"/>
  <c r="Z464" i="1"/>
  <c r="X464" i="1"/>
  <c r="W464" i="1"/>
  <c r="Y464" i="1" s="1"/>
  <c r="U464" i="1"/>
  <c r="R464" i="1"/>
  <c r="E464" i="1"/>
  <c r="AL463" i="1"/>
  <c r="AK463" i="1"/>
  <c r="AI463" i="1"/>
  <c r="AD463" i="1"/>
  <c r="Z463" i="1"/>
  <c r="X463" i="1"/>
  <c r="U463" i="1"/>
  <c r="R463" i="1"/>
  <c r="W463" i="1" s="1"/>
  <c r="E463" i="1"/>
  <c r="AL462" i="1"/>
  <c r="AK462" i="1"/>
  <c r="AI462" i="1"/>
  <c r="AD462" i="1"/>
  <c r="AB462" i="1"/>
  <c r="AA462" i="1"/>
  <c r="Y462" i="1"/>
  <c r="W462" i="1"/>
  <c r="AC462" i="1" s="1"/>
  <c r="U462" i="1"/>
  <c r="X462" i="1" s="1"/>
  <c r="R462" i="1"/>
  <c r="Z462" i="1" s="1"/>
  <c r="E462" i="1"/>
  <c r="AL461" i="1"/>
  <c r="AK461" i="1"/>
  <c r="AI461" i="1"/>
  <c r="AD461" i="1"/>
  <c r="Z461" i="1"/>
  <c r="Y461" i="1"/>
  <c r="W461" i="1"/>
  <c r="AC461" i="1" s="1"/>
  <c r="U461" i="1"/>
  <c r="X461" i="1" s="1"/>
  <c r="R461" i="1"/>
  <c r="E461" i="1"/>
  <c r="AL460" i="1"/>
  <c r="AK460" i="1"/>
  <c r="AI460" i="1"/>
  <c r="AD460" i="1"/>
  <c r="Z460" i="1"/>
  <c r="X460" i="1"/>
  <c r="W460" i="1"/>
  <c r="AC460" i="1" s="1"/>
  <c r="U460" i="1"/>
  <c r="R460" i="1"/>
  <c r="E460" i="1"/>
  <c r="AL459" i="1"/>
  <c r="AK459" i="1"/>
  <c r="AI459" i="1"/>
  <c r="AD459" i="1"/>
  <c r="U459" i="1"/>
  <c r="X459" i="1" s="1"/>
  <c r="R459" i="1"/>
  <c r="E459" i="1"/>
  <c r="AL458" i="1"/>
  <c r="AK458" i="1"/>
  <c r="AI458" i="1"/>
  <c r="AD458" i="1"/>
  <c r="Z458" i="1"/>
  <c r="W458" i="1"/>
  <c r="AC458" i="1" s="1"/>
  <c r="U458" i="1"/>
  <c r="X458" i="1" s="1"/>
  <c r="R458" i="1"/>
  <c r="E458" i="1"/>
  <c r="AL457" i="1"/>
  <c r="AK457" i="1"/>
  <c r="AI457" i="1"/>
  <c r="AD457" i="1"/>
  <c r="Z457" i="1"/>
  <c r="U457" i="1"/>
  <c r="X457" i="1" s="1"/>
  <c r="R457" i="1"/>
  <c r="W457" i="1" s="1"/>
  <c r="E457" i="1"/>
  <c r="AL456" i="1"/>
  <c r="AK456" i="1"/>
  <c r="AI456" i="1"/>
  <c r="AD456" i="1"/>
  <c r="AC456" i="1"/>
  <c r="AA456" i="1"/>
  <c r="AB456" i="1" s="1"/>
  <c r="Z456" i="1"/>
  <c r="X456" i="1"/>
  <c r="W456" i="1"/>
  <c r="Y456" i="1" s="1"/>
  <c r="U456" i="1"/>
  <c r="R456" i="1"/>
  <c r="E456" i="1"/>
  <c r="AL455" i="1"/>
  <c r="AK455" i="1"/>
  <c r="AI455" i="1"/>
  <c r="AD455" i="1"/>
  <c r="Z455" i="1"/>
  <c r="X455" i="1"/>
  <c r="U455" i="1"/>
  <c r="R455" i="1"/>
  <c r="W455" i="1" s="1"/>
  <c r="E455" i="1"/>
  <c r="AL454" i="1"/>
  <c r="AK454" i="1"/>
  <c r="AI454" i="1"/>
  <c r="AD454" i="1"/>
  <c r="AB454" i="1"/>
  <c r="AA454" i="1"/>
  <c r="Y454" i="1"/>
  <c r="W454" i="1"/>
  <c r="AC454" i="1" s="1"/>
  <c r="U454" i="1"/>
  <c r="X454" i="1" s="1"/>
  <c r="S454" i="1"/>
  <c r="R454" i="1"/>
  <c r="Z454" i="1" s="1"/>
  <c r="AL453" i="1"/>
  <c r="AK453" i="1"/>
  <c r="AI453" i="1"/>
  <c r="AD453" i="1"/>
  <c r="Z453" i="1"/>
  <c r="S453" i="1"/>
  <c r="U453" i="1" s="1"/>
  <c r="X453" i="1" s="1"/>
  <c r="R453" i="1"/>
  <c r="W453" i="1" s="1"/>
  <c r="E453" i="1"/>
  <c r="AL452" i="1"/>
  <c r="AK452" i="1"/>
  <c r="AI452" i="1"/>
  <c r="AD452" i="1"/>
  <c r="X452" i="1"/>
  <c r="U452" i="1"/>
  <c r="S452" i="1"/>
  <c r="R452" i="1"/>
  <c r="AL451" i="1"/>
  <c r="AK451" i="1"/>
  <c r="AI451" i="1"/>
  <c r="AD451" i="1"/>
  <c r="W451" i="1"/>
  <c r="AC451" i="1" s="1"/>
  <c r="U451" i="1"/>
  <c r="X451" i="1" s="1"/>
  <c r="S451" i="1"/>
  <c r="R451" i="1"/>
  <c r="E451" i="1"/>
  <c r="AL450" i="1"/>
  <c r="AK450" i="1"/>
  <c r="AI450" i="1"/>
  <c r="AD450" i="1"/>
  <c r="Z450" i="1"/>
  <c r="U450" i="1"/>
  <c r="X450" i="1" s="1"/>
  <c r="S450" i="1"/>
  <c r="W450" i="1" s="1"/>
  <c r="R450" i="1"/>
  <c r="E450" i="1"/>
  <c r="AL449" i="1"/>
  <c r="AK449" i="1"/>
  <c r="AI449" i="1"/>
  <c r="AD449" i="1"/>
  <c r="X449" i="1"/>
  <c r="U449" i="1"/>
  <c r="R449" i="1"/>
  <c r="E449" i="1"/>
  <c r="AL448" i="1"/>
  <c r="AK448" i="1"/>
  <c r="AI448" i="1"/>
  <c r="AD448" i="1"/>
  <c r="U448" i="1"/>
  <c r="X448" i="1" s="1"/>
  <c r="R448" i="1"/>
  <c r="E448" i="1"/>
  <c r="AL447" i="1"/>
  <c r="AK447" i="1"/>
  <c r="AI447" i="1"/>
  <c r="AD447" i="1"/>
  <c r="X447" i="1"/>
  <c r="U447" i="1"/>
  <c r="R447" i="1"/>
  <c r="Z447" i="1" s="1"/>
  <c r="E447" i="1"/>
  <c r="AL446" i="1"/>
  <c r="AK446" i="1"/>
  <c r="AI446" i="1"/>
  <c r="AD446" i="1"/>
  <c r="Z446" i="1"/>
  <c r="Y446" i="1"/>
  <c r="W446" i="1"/>
  <c r="AA446" i="1" s="1"/>
  <c r="AB446" i="1" s="1"/>
  <c r="U446" i="1"/>
  <c r="X446" i="1" s="1"/>
  <c r="R446" i="1"/>
  <c r="E446" i="1"/>
  <c r="AL445" i="1"/>
  <c r="AK445" i="1"/>
  <c r="AI445" i="1"/>
  <c r="AD445" i="1"/>
  <c r="AC445" i="1"/>
  <c r="Z445" i="1"/>
  <c r="X445" i="1"/>
  <c r="W445" i="1"/>
  <c r="Y445" i="1" s="1"/>
  <c r="U445" i="1"/>
  <c r="R445" i="1"/>
  <c r="E445" i="1"/>
  <c r="AL444" i="1"/>
  <c r="AK444" i="1"/>
  <c r="AI444" i="1"/>
  <c r="AD444" i="1"/>
  <c r="Z444" i="1"/>
  <c r="X444" i="1"/>
  <c r="U444" i="1"/>
  <c r="R444" i="1"/>
  <c r="W444" i="1" s="1"/>
  <c r="E444" i="1"/>
  <c r="AL443" i="1"/>
  <c r="AK443" i="1"/>
  <c r="AI443" i="1"/>
  <c r="AD443" i="1"/>
  <c r="X443" i="1"/>
  <c r="U443" i="1"/>
  <c r="R443" i="1"/>
  <c r="E443" i="1"/>
  <c r="AL442" i="1"/>
  <c r="AI442" i="1"/>
  <c r="AD442" i="1"/>
  <c r="U442" i="1"/>
  <c r="X442" i="1" s="1"/>
  <c r="R442" i="1"/>
  <c r="E442" i="1"/>
  <c r="AL441" i="1"/>
  <c r="AI441" i="1"/>
  <c r="AD441" i="1"/>
  <c r="U441" i="1"/>
  <c r="X441" i="1" s="1"/>
  <c r="R441" i="1"/>
  <c r="E441" i="1"/>
  <c r="AL440" i="1"/>
  <c r="AK440" i="1"/>
  <c r="AI440" i="1"/>
  <c r="AD440" i="1"/>
  <c r="X440" i="1"/>
  <c r="U440" i="1"/>
  <c r="R440" i="1"/>
  <c r="Z440" i="1" s="1"/>
  <c r="E440" i="1"/>
  <c r="AL439" i="1"/>
  <c r="AK439" i="1"/>
  <c r="AI439" i="1"/>
  <c r="AD439" i="1"/>
  <c r="Z439" i="1"/>
  <c r="Y439" i="1"/>
  <c r="W439" i="1"/>
  <c r="AA439" i="1" s="1"/>
  <c r="AB439" i="1" s="1"/>
  <c r="U439" i="1"/>
  <c r="X439" i="1" s="1"/>
  <c r="R439" i="1"/>
  <c r="E439" i="1"/>
  <c r="AL438" i="1"/>
  <c r="AK438" i="1"/>
  <c r="AI438" i="1"/>
  <c r="AD438" i="1"/>
  <c r="AC438" i="1"/>
  <c r="Z438" i="1"/>
  <c r="X438" i="1"/>
  <c r="W438" i="1"/>
  <c r="Y438" i="1" s="1"/>
  <c r="U438" i="1"/>
  <c r="R438" i="1"/>
  <c r="E438" i="1"/>
  <c r="AL437" i="1"/>
  <c r="AK437" i="1"/>
  <c r="AI437" i="1"/>
  <c r="AD437" i="1"/>
  <c r="Z437" i="1"/>
  <c r="X437" i="1"/>
  <c r="U437" i="1"/>
  <c r="R437" i="1"/>
  <c r="W437" i="1" s="1"/>
  <c r="E437" i="1"/>
  <c r="AL436" i="1"/>
  <c r="AI436" i="1"/>
  <c r="AD436" i="1"/>
  <c r="Z436" i="1"/>
  <c r="X436" i="1"/>
  <c r="W436" i="1"/>
  <c r="AC436" i="1" s="1"/>
  <c r="U436" i="1"/>
  <c r="R436" i="1"/>
  <c r="E436" i="1"/>
  <c r="AL435" i="1"/>
  <c r="AK435" i="1"/>
  <c r="AI435" i="1"/>
  <c r="AD435" i="1"/>
  <c r="U435" i="1"/>
  <c r="X435" i="1" s="1"/>
  <c r="R435" i="1"/>
  <c r="E435" i="1"/>
  <c r="AL434" i="1"/>
  <c r="AK434" i="1"/>
  <c r="AI434" i="1"/>
  <c r="AD434" i="1"/>
  <c r="U434" i="1"/>
  <c r="X434" i="1" s="1"/>
  <c r="R434" i="1"/>
  <c r="Z434" i="1" s="1"/>
  <c r="E434" i="1"/>
  <c r="AL433" i="1"/>
  <c r="AI433" i="1"/>
  <c r="AD433" i="1"/>
  <c r="AC433" i="1"/>
  <c r="AA433" i="1"/>
  <c r="AB433" i="1" s="1"/>
  <c r="Z433" i="1"/>
  <c r="Y433" i="1"/>
  <c r="X433" i="1"/>
  <c r="W433" i="1"/>
  <c r="U433" i="1"/>
  <c r="E433" i="1"/>
  <c r="AL432" i="1"/>
  <c r="AK432" i="1"/>
  <c r="AI432" i="1"/>
  <c r="AD432" i="1"/>
  <c r="Z432" i="1"/>
  <c r="X432" i="1"/>
  <c r="U432" i="1"/>
  <c r="R432" i="1"/>
  <c r="W432" i="1" s="1"/>
  <c r="E432" i="1"/>
  <c r="AL431" i="1"/>
  <c r="AK431" i="1"/>
  <c r="AI431" i="1"/>
  <c r="AD431" i="1"/>
  <c r="AB431" i="1"/>
  <c r="AA431" i="1"/>
  <c r="Y431" i="1"/>
  <c r="W431" i="1"/>
  <c r="AC431" i="1" s="1"/>
  <c r="U431" i="1"/>
  <c r="X431" i="1" s="1"/>
  <c r="R431" i="1"/>
  <c r="Z431" i="1" s="1"/>
  <c r="E431" i="1"/>
  <c r="AL430" i="1"/>
  <c r="AK430" i="1"/>
  <c r="AI430" i="1"/>
  <c r="AD430" i="1"/>
  <c r="Z430" i="1"/>
  <c r="Y430" i="1"/>
  <c r="W430" i="1"/>
  <c r="AC430" i="1" s="1"/>
  <c r="U430" i="1"/>
  <c r="X430" i="1" s="1"/>
  <c r="R430" i="1"/>
  <c r="E430" i="1"/>
  <c r="AL429" i="1"/>
  <c r="AK429" i="1"/>
  <c r="AI429" i="1"/>
  <c r="AD429" i="1"/>
  <c r="Z429" i="1"/>
  <c r="X429" i="1"/>
  <c r="W429" i="1"/>
  <c r="AC429" i="1" s="1"/>
  <c r="U429" i="1"/>
  <c r="R429" i="1"/>
  <c r="E429" i="1"/>
  <c r="AL428" i="1"/>
  <c r="AK428" i="1"/>
  <c r="AI428" i="1"/>
  <c r="AD428" i="1"/>
  <c r="U428" i="1"/>
  <c r="X428" i="1" s="1"/>
  <c r="R428" i="1"/>
  <c r="E428" i="1"/>
  <c r="AL427" i="1"/>
  <c r="AK427" i="1"/>
  <c r="AI427" i="1"/>
  <c r="AD427" i="1"/>
  <c r="U427" i="1"/>
  <c r="R427" i="1"/>
  <c r="E427" i="1"/>
  <c r="AL426" i="1"/>
  <c r="AK426" i="1"/>
  <c r="AI426" i="1"/>
  <c r="AD426" i="1"/>
  <c r="AC426" i="1"/>
  <c r="AA426" i="1"/>
  <c r="AB426" i="1" s="1"/>
  <c r="Z426" i="1"/>
  <c r="Y426" i="1"/>
  <c r="X426" i="1"/>
  <c r="W426" i="1"/>
  <c r="U426" i="1"/>
  <c r="R426" i="1"/>
  <c r="E426" i="1"/>
  <c r="AL425" i="1"/>
  <c r="AK425" i="1"/>
  <c r="AI425" i="1"/>
  <c r="AD425" i="1"/>
  <c r="AB425" i="1"/>
  <c r="AA425" i="1"/>
  <c r="Z425" i="1"/>
  <c r="Y425" i="1"/>
  <c r="W425" i="1"/>
  <c r="AC425" i="1" s="1"/>
  <c r="U425" i="1"/>
  <c r="X425" i="1" s="1"/>
  <c r="R425" i="1"/>
  <c r="E425" i="1"/>
  <c r="AL424" i="1"/>
  <c r="AK424" i="1"/>
  <c r="AI424" i="1"/>
  <c r="AD424" i="1"/>
  <c r="AC424" i="1"/>
  <c r="Z424" i="1"/>
  <c r="X424" i="1"/>
  <c r="W424" i="1"/>
  <c r="Y424" i="1" s="1"/>
  <c r="U424" i="1"/>
  <c r="R424" i="1"/>
  <c r="E424" i="1"/>
  <c r="AL423" i="1"/>
  <c r="AK423" i="1"/>
  <c r="AI423" i="1"/>
  <c r="AD423" i="1"/>
  <c r="Z423" i="1"/>
  <c r="X423" i="1"/>
  <c r="U423" i="1"/>
  <c r="R423" i="1"/>
  <c r="W423" i="1" s="1"/>
  <c r="E423" i="1"/>
  <c r="AL422" i="1"/>
  <c r="AK422" i="1"/>
  <c r="AI422" i="1"/>
  <c r="AD422" i="1"/>
  <c r="X422" i="1"/>
  <c r="U422" i="1"/>
  <c r="R422" i="1"/>
  <c r="E422" i="1"/>
  <c r="AL421" i="1"/>
  <c r="AK421" i="1"/>
  <c r="AI421" i="1"/>
  <c r="AD421" i="1"/>
  <c r="Z421" i="1"/>
  <c r="W421" i="1"/>
  <c r="AC421" i="1" s="1"/>
  <c r="U421" i="1"/>
  <c r="X421" i="1" s="1"/>
  <c r="R421" i="1"/>
  <c r="E421" i="1"/>
  <c r="AL420" i="1"/>
  <c r="AK420" i="1"/>
  <c r="AI420" i="1"/>
  <c r="AD420" i="1"/>
  <c r="X420" i="1"/>
  <c r="U420" i="1"/>
  <c r="R420" i="1"/>
  <c r="E420" i="1"/>
  <c r="AL419" i="1"/>
  <c r="AK419" i="1"/>
  <c r="AI419" i="1"/>
  <c r="W419" i="1"/>
  <c r="AC419" i="1" s="1"/>
  <c r="E419" i="1"/>
  <c r="AL418" i="1"/>
  <c r="AK418" i="1"/>
  <c r="AI418" i="1"/>
  <c r="AD418" i="1"/>
  <c r="X418" i="1"/>
  <c r="U418" i="1"/>
  <c r="R418" i="1"/>
  <c r="E418" i="1"/>
  <c r="AL417" i="1"/>
  <c r="AK417" i="1"/>
  <c r="AI417" i="1"/>
  <c r="AD417" i="1"/>
  <c r="W417" i="1"/>
  <c r="AC417" i="1" s="1"/>
  <c r="U417" i="1"/>
  <c r="X417" i="1" s="1"/>
  <c r="R417" i="1"/>
  <c r="E417" i="1"/>
  <c r="AL416" i="1"/>
  <c r="AK416" i="1"/>
  <c r="AI416" i="1"/>
  <c r="W416" i="1"/>
  <c r="AC416" i="1" s="1"/>
  <c r="E416" i="1"/>
  <c r="AL415" i="1"/>
  <c r="AK415" i="1"/>
  <c r="AI415" i="1"/>
  <c r="AD415" i="1"/>
  <c r="X415" i="1"/>
  <c r="U415" i="1"/>
  <c r="R415" i="1"/>
  <c r="W415" i="1" s="1"/>
  <c r="E415" i="1"/>
  <c r="AL414" i="1"/>
  <c r="AK414" i="1"/>
  <c r="AI414" i="1"/>
  <c r="AD414" i="1"/>
  <c r="X414" i="1"/>
  <c r="U414" i="1"/>
  <c r="R414" i="1"/>
  <c r="E414" i="1"/>
  <c r="AR413" i="1"/>
  <c r="AL413" i="1"/>
  <c r="AK413" i="1"/>
  <c r="AI413" i="1"/>
  <c r="AD413" i="1"/>
  <c r="X413" i="1"/>
  <c r="W413" i="1"/>
  <c r="AC413" i="1" s="1"/>
  <c r="U413" i="1"/>
  <c r="R413" i="1"/>
  <c r="E413" i="1"/>
  <c r="AL412" i="1"/>
  <c r="AK412" i="1"/>
  <c r="AI412" i="1"/>
  <c r="AD412" i="1"/>
  <c r="U412" i="1"/>
  <c r="X412" i="1" s="1"/>
  <c r="R412" i="1"/>
  <c r="E412" i="1"/>
  <c r="AL411" i="1"/>
  <c r="AK411" i="1"/>
  <c r="AI411" i="1"/>
  <c r="AD411" i="1"/>
  <c r="AC411" i="1"/>
  <c r="AB411" i="1"/>
  <c r="AA411" i="1"/>
  <c r="Z411" i="1"/>
  <c r="W411" i="1"/>
  <c r="Y411" i="1" s="1"/>
  <c r="U411" i="1"/>
  <c r="X411" i="1" s="1"/>
  <c r="R411" i="1"/>
  <c r="E411" i="1"/>
  <c r="AL410" i="1"/>
  <c r="AK410" i="1"/>
  <c r="AI410" i="1"/>
  <c r="AD410" i="1"/>
  <c r="Z410" i="1"/>
  <c r="X410" i="1"/>
  <c r="U410" i="1"/>
  <c r="R410" i="1"/>
  <c r="W410" i="1" s="1"/>
  <c r="E410" i="1"/>
  <c r="AL409" i="1"/>
  <c r="AK409" i="1"/>
  <c r="AI409" i="1"/>
  <c r="AD409" i="1"/>
  <c r="AC409" i="1"/>
  <c r="AA409" i="1"/>
  <c r="AB409" i="1" s="1"/>
  <c r="Z409" i="1"/>
  <c r="Y409" i="1"/>
  <c r="X409" i="1"/>
  <c r="W409" i="1"/>
  <c r="U409" i="1"/>
  <c r="R409" i="1"/>
  <c r="E409" i="1"/>
  <c r="AL408" i="1"/>
  <c r="AK408" i="1"/>
  <c r="AI408" i="1"/>
  <c r="AD408" i="1"/>
  <c r="AC408" i="1"/>
  <c r="AA408" i="1"/>
  <c r="AB408" i="1" s="1"/>
  <c r="Z408" i="1"/>
  <c r="Y408" i="1"/>
  <c r="X408" i="1"/>
  <c r="W408" i="1"/>
  <c r="U408" i="1"/>
  <c r="R408" i="1"/>
  <c r="E408" i="1"/>
  <c r="AL407" i="1"/>
  <c r="AK407" i="1"/>
  <c r="AI407" i="1"/>
  <c r="AD407" i="1"/>
  <c r="AA407" i="1"/>
  <c r="AB407" i="1" s="1"/>
  <c r="Y407" i="1"/>
  <c r="W407" i="1"/>
  <c r="AC407" i="1" s="1"/>
  <c r="U407" i="1"/>
  <c r="X407" i="1" s="1"/>
  <c r="R407" i="1"/>
  <c r="Z407" i="1" s="1"/>
  <c r="E407" i="1"/>
  <c r="AL406" i="1"/>
  <c r="AK406" i="1"/>
  <c r="AI406" i="1"/>
  <c r="AD406" i="1"/>
  <c r="Z406" i="1"/>
  <c r="Y406" i="1"/>
  <c r="W406" i="1"/>
  <c r="AC406" i="1" s="1"/>
  <c r="U406" i="1"/>
  <c r="X406" i="1" s="1"/>
  <c r="R406" i="1"/>
  <c r="E406" i="1"/>
  <c r="AL405" i="1"/>
  <c r="AK405" i="1"/>
  <c r="AI405" i="1"/>
  <c r="AD405" i="1"/>
  <c r="X405" i="1"/>
  <c r="W405" i="1"/>
  <c r="AC405" i="1" s="1"/>
  <c r="U405" i="1"/>
  <c r="R405" i="1"/>
  <c r="E405" i="1"/>
  <c r="AL404" i="1"/>
  <c r="AK404" i="1"/>
  <c r="AI404" i="1"/>
  <c r="AD404" i="1"/>
  <c r="U404" i="1"/>
  <c r="X404" i="1" s="1"/>
  <c r="R404" i="1"/>
  <c r="E404" i="1"/>
  <c r="AL403" i="1"/>
  <c r="AK403" i="1"/>
  <c r="AI403" i="1"/>
  <c r="AD403" i="1"/>
  <c r="AC403" i="1"/>
  <c r="AB403" i="1"/>
  <c r="AA403" i="1"/>
  <c r="Z403" i="1"/>
  <c r="W403" i="1"/>
  <c r="Y403" i="1" s="1"/>
  <c r="U403" i="1"/>
  <c r="X403" i="1" s="1"/>
  <c r="R403" i="1"/>
  <c r="E403" i="1"/>
  <c r="AL402" i="1"/>
  <c r="AK402" i="1"/>
  <c r="AI402" i="1"/>
  <c r="AD402" i="1"/>
  <c r="Z402" i="1"/>
  <c r="X402" i="1"/>
  <c r="U402" i="1"/>
  <c r="R402" i="1"/>
  <c r="W402" i="1" s="1"/>
  <c r="E402" i="1"/>
  <c r="AL401" i="1"/>
  <c r="AK401" i="1"/>
  <c r="AI401" i="1"/>
  <c r="AD401" i="1"/>
  <c r="AC401" i="1"/>
  <c r="AA401" i="1"/>
  <c r="AB401" i="1" s="1"/>
  <c r="Z401" i="1"/>
  <c r="Y401" i="1"/>
  <c r="X401" i="1"/>
  <c r="W401" i="1"/>
  <c r="U401" i="1"/>
  <c r="R401" i="1"/>
  <c r="E401" i="1"/>
  <c r="AL400" i="1"/>
  <c r="AK400" i="1"/>
  <c r="AI400" i="1"/>
  <c r="AD400" i="1"/>
  <c r="AC400" i="1"/>
  <c r="AA400" i="1"/>
  <c r="AB400" i="1" s="1"/>
  <c r="Z400" i="1"/>
  <c r="Y400" i="1"/>
  <c r="X400" i="1"/>
  <c r="W400" i="1"/>
  <c r="U400" i="1"/>
  <c r="R400" i="1"/>
  <c r="E400" i="1"/>
  <c r="AL399" i="1"/>
  <c r="AK399" i="1"/>
  <c r="AI399" i="1"/>
  <c r="AD399" i="1"/>
  <c r="AA399" i="1"/>
  <c r="AB399" i="1" s="1"/>
  <c r="Y399" i="1"/>
  <c r="W399" i="1"/>
  <c r="AC399" i="1" s="1"/>
  <c r="U399" i="1"/>
  <c r="X399" i="1" s="1"/>
  <c r="R399" i="1"/>
  <c r="Z399" i="1" s="1"/>
  <c r="E399" i="1"/>
  <c r="AL398" i="1"/>
  <c r="AK398" i="1"/>
  <c r="AI398" i="1"/>
  <c r="AD398" i="1"/>
  <c r="Z398" i="1"/>
  <c r="Y398" i="1"/>
  <c r="W398" i="1"/>
  <c r="AC398" i="1" s="1"/>
  <c r="U398" i="1"/>
  <c r="X398" i="1" s="1"/>
  <c r="R398" i="1"/>
  <c r="E398" i="1"/>
  <c r="AL397" i="1"/>
  <c r="AK397" i="1"/>
  <c r="AI397" i="1"/>
  <c r="AD397" i="1"/>
  <c r="X397" i="1"/>
  <c r="W397" i="1"/>
  <c r="U397" i="1"/>
  <c r="R397" i="1"/>
  <c r="E397" i="1"/>
  <c r="AL396" i="1"/>
  <c r="AK396" i="1"/>
  <c r="AI396" i="1"/>
  <c r="AD396" i="1"/>
  <c r="U396" i="1"/>
  <c r="X396" i="1" s="1"/>
  <c r="R396" i="1"/>
  <c r="E396" i="1"/>
  <c r="AL395" i="1"/>
  <c r="AK395" i="1"/>
  <c r="AI395" i="1"/>
  <c r="AD395" i="1"/>
  <c r="AC395" i="1"/>
  <c r="AB395" i="1"/>
  <c r="AA395" i="1"/>
  <c r="Z395" i="1"/>
  <c r="W395" i="1"/>
  <c r="Y395" i="1" s="1"/>
  <c r="U395" i="1"/>
  <c r="X395" i="1" s="1"/>
  <c r="R395" i="1"/>
  <c r="E395" i="1"/>
  <c r="AL394" i="1"/>
  <c r="AK394" i="1"/>
  <c r="AI394" i="1"/>
  <c r="AD394" i="1"/>
  <c r="Z394" i="1"/>
  <c r="X394" i="1"/>
  <c r="U394" i="1"/>
  <c r="R394" i="1"/>
  <c r="W394" i="1" s="1"/>
  <c r="E394" i="1"/>
  <c r="AL393" i="1"/>
  <c r="AK393" i="1"/>
  <c r="AI393" i="1"/>
  <c r="AD393" i="1"/>
  <c r="AC393" i="1"/>
  <c r="AA393" i="1"/>
  <c r="AB393" i="1" s="1"/>
  <c r="Z393" i="1"/>
  <c r="Y393" i="1"/>
  <c r="X393" i="1"/>
  <c r="W393" i="1"/>
  <c r="U393" i="1"/>
  <c r="R393" i="1"/>
  <c r="E393" i="1"/>
  <c r="AL392" i="1"/>
  <c r="AK392" i="1"/>
  <c r="AI392" i="1"/>
  <c r="AD392" i="1"/>
  <c r="AC392" i="1"/>
  <c r="AA392" i="1"/>
  <c r="AB392" i="1" s="1"/>
  <c r="Z392" i="1"/>
  <c r="Y392" i="1"/>
  <c r="X392" i="1"/>
  <c r="W392" i="1"/>
  <c r="U392" i="1"/>
  <c r="R392" i="1"/>
  <c r="E392" i="1"/>
  <c r="AL391" i="1"/>
  <c r="AK391" i="1"/>
  <c r="AI391" i="1"/>
  <c r="AD391" i="1"/>
  <c r="AB391" i="1"/>
  <c r="AA391" i="1"/>
  <c r="Y391" i="1"/>
  <c r="W391" i="1"/>
  <c r="AC391" i="1" s="1"/>
  <c r="U391" i="1"/>
  <c r="X391" i="1" s="1"/>
  <c r="R391" i="1"/>
  <c r="Z391" i="1" s="1"/>
  <c r="E391" i="1"/>
  <c r="AL390" i="1"/>
  <c r="AK390" i="1"/>
  <c r="AI390" i="1"/>
  <c r="AD390" i="1"/>
  <c r="Z390" i="1"/>
  <c r="Y390" i="1"/>
  <c r="W390" i="1"/>
  <c r="AC390" i="1" s="1"/>
  <c r="U390" i="1"/>
  <c r="X390" i="1" s="1"/>
  <c r="R390" i="1"/>
  <c r="E390" i="1"/>
  <c r="AL389" i="1"/>
  <c r="AK389" i="1"/>
  <c r="AI389" i="1"/>
  <c r="AD389" i="1"/>
  <c r="X389" i="1"/>
  <c r="W389" i="1"/>
  <c r="U389" i="1"/>
  <c r="R389" i="1"/>
  <c r="E389" i="1"/>
  <c r="AL388" i="1"/>
  <c r="AK388" i="1"/>
  <c r="AD388" i="1"/>
  <c r="X388" i="1"/>
  <c r="U388" i="1"/>
  <c r="R388" i="1"/>
  <c r="E388" i="1"/>
  <c r="AL387" i="1"/>
  <c r="AK387" i="1"/>
  <c r="AI387" i="1"/>
  <c r="AD387" i="1"/>
  <c r="U387" i="1"/>
  <c r="X387" i="1" s="1"/>
  <c r="R387" i="1"/>
  <c r="E387" i="1"/>
  <c r="AL386" i="1"/>
  <c r="AK386" i="1"/>
  <c r="AI386" i="1"/>
  <c r="AD386" i="1"/>
  <c r="AA386" i="1"/>
  <c r="AB386" i="1" s="1"/>
  <c r="Z386" i="1"/>
  <c r="Y386" i="1"/>
  <c r="X386" i="1"/>
  <c r="W386" i="1"/>
  <c r="AC386" i="1" s="1"/>
  <c r="U386" i="1"/>
  <c r="R386" i="1"/>
  <c r="E386" i="1"/>
  <c r="AL385" i="1"/>
  <c r="AK385" i="1"/>
  <c r="AI385" i="1"/>
  <c r="AD385" i="1"/>
  <c r="Z385" i="1"/>
  <c r="Y385" i="1"/>
  <c r="X385" i="1"/>
  <c r="W385" i="1"/>
  <c r="AA385" i="1" s="1"/>
  <c r="AB385" i="1" s="1"/>
  <c r="U385" i="1"/>
  <c r="R385" i="1"/>
  <c r="E385" i="1"/>
  <c r="AL384" i="1"/>
  <c r="AK384" i="1"/>
  <c r="AI384" i="1"/>
  <c r="AD384" i="1"/>
  <c r="AC384" i="1"/>
  <c r="Z384" i="1"/>
  <c r="X384" i="1"/>
  <c r="W384" i="1"/>
  <c r="U384" i="1"/>
  <c r="R384" i="1"/>
  <c r="E384" i="1"/>
  <c r="AL383" i="1"/>
  <c r="AK383" i="1"/>
  <c r="AI383" i="1"/>
  <c r="AD383" i="1"/>
  <c r="U383" i="1"/>
  <c r="X383" i="1" s="1"/>
  <c r="R383" i="1"/>
  <c r="E383" i="1"/>
  <c r="AL382" i="1"/>
  <c r="AK382" i="1"/>
  <c r="AI382" i="1"/>
  <c r="AD382" i="1"/>
  <c r="U382" i="1"/>
  <c r="X382" i="1" s="1"/>
  <c r="R382" i="1"/>
  <c r="E382" i="1"/>
  <c r="AL381" i="1"/>
  <c r="AK381" i="1"/>
  <c r="AI381" i="1"/>
  <c r="AD381" i="1"/>
  <c r="W381" i="1"/>
  <c r="U381" i="1"/>
  <c r="X381" i="1" s="1"/>
  <c r="R381" i="1"/>
  <c r="E381" i="1"/>
  <c r="AL380" i="1"/>
  <c r="AK380" i="1"/>
  <c r="AI380" i="1"/>
  <c r="AD380" i="1"/>
  <c r="X380" i="1"/>
  <c r="U380" i="1"/>
  <c r="R380" i="1"/>
  <c r="E380" i="1"/>
  <c r="AL379" i="1"/>
  <c r="AK379" i="1"/>
  <c r="AI379" i="1"/>
  <c r="AD379" i="1"/>
  <c r="U379" i="1"/>
  <c r="X379" i="1" s="1"/>
  <c r="R379" i="1"/>
  <c r="E379" i="1"/>
  <c r="AL378" i="1"/>
  <c r="AK378" i="1"/>
  <c r="AI378" i="1"/>
  <c r="AD378" i="1"/>
  <c r="AC378" i="1"/>
  <c r="AA378" i="1"/>
  <c r="AB378" i="1" s="1"/>
  <c r="Z378" i="1"/>
  <c r="Y378" i="1"/>
  <c r="X378" i="1"/>
  <c r="W378" i="1"/>
  <c r="U378" i="1"/>
  <c r="R378" i="1"/>
  <c r="E378" i="1"/>
  <c r="AL377" i="1"/>
  <c r="AK377" i="1"/>
  <c r="AI377" i="1"/>
  <c r="AD377" i="1"/>
  <c r="Z377" i="1"/>
  <c r="Y377" i="1"/>
  <c r="X377" i="1"/>
  <c r="W377" i="1"/>
  <c r="AA377" i="1" s="1"/>
  <c r="AB377" i="1" s="1"/>
  <c r="U377" i="1"/>
  <c r="R377" i="1"/>
  <c r="E377" i="1"/>
  <c r="AL376" i="1"/>
  <c r="AK376" i="1"/>
  <c r="AI376" i="1"/>
  <c r="AD376" i="1"/>
  <c r="Z376" i="1"/>
  <c r="X376" i="1"/>
  <c r="W376" i="1"/>
  <c r="U376" i="1"/>
  <c r="R376" i="1"/>
  <c r="E376" i="1"/>
  <c r="AL375" i="1"/>
  <c r="AK375" i="1"/>
  <c r="AI375" i="1"/>
  <c r="AD375" i="1"/>
  <c r="Z375" i="1"/>
  <c r="U375" i="1"/>
  <c r="X375" i="1" s="1"/>
  <c r="R375" i="1"/>
  <c r="E375" i="1"/>
  <c r="AL374" i="1"/>
  <c r="AK374" i="1"/>
  <c r="AI374" i="1"/>
  <c r="AD374" i="1"/>
  <c r="U374" i="1"/>
  <c r="X374" i="1" s="1"/>
  <c r="R374" i="1"/>
  <c r="E374" i="1"/>
  <c r="AL373" i="1"/>
  <c r="AK373" i="1"/>
  <c r="AI373" i="1"/>
  <c r="AD373" i="1"/>
  <c r="W373" i="1"/>
  <c r="U373" i="1"/>
  <c r="X373" i="1" s="1"/>
  <c r="R373" i="1"/>
  <c r="E373" i="1"/>
  <c r="AL372" i="1"/>
  <c r="AK372" i="1"/>
  <c r="AI372" i="1"/>
  <c r="AD372" i="1"/>
  <c r="W372" i="1"/>
  <c r="U372" i="1"/>
  <c r="X372" i="1" s="1"/>
  <c r="R372" i="1"/>
  <c r="E372" i="1"/>
  <c r="AL371" i="1"/>
  <c r="AK371" i="1"/>
  <c r="AI371" i="1"/>
  <c r="AD371" i="1"/>
  <c r="U371" i="1"/>
  <c r="X371" i="1" s="1"/>
  <c r="R371" i="1"/>
  <c r="E371" i="1"/>
  <c r="AL370" i="1"/>
  <c r="AK370" i="1"/>
  <c r="AI370" i="1"/>
  <c r="AD370" i="1"/>
  <c r="AC370" i="1"/>
  <c r="AA370" i="1"/>
  <c r="AB370" i="1" s="1"/>
  <c r="Z370" i="1"/>
  <c r="Y370" i="1"/>
  <c r="X370" i="1"/>
  <c r="W370" i="1"/>
  <c r="U370" i="1"/>
  <c r="R370" i="1"/>
  <c r="E370" i="1"/>
  <c r="AL369" i="1"/>
  <c r="AK369" i="1"/>
  <c r="AI369" i="1"/>
  <c r="AD369" i="1"/>
  <c r="Z369" i="1"/>
  <c r="Y369" i="1"/>
  <c r="X369" i="1"/>
  <c r="W369" i="1"/>
  <c r="AA369" i="1" s="1"/>
  <c r="AB369" i="1" s="1"/>
  <c r="U369" i="1"/>
  <c r="R369" i="1"/>
  <c r="E369" i="1"/>
  <c r="AL368" i="1"/>
  <c r="AK368" i="1"/>
  <c r="AI368" i="1"/>
  <c r="AD368" i="1"/>
  <c r="Z368" i="1"/>
  <c r="X368" i="1"/>
  <c r="W368" i="1"/>
  <c r="U368" i="1"/>
  <c r="R368" i="1"/>
  <c r="E368" i="1"/>
  <c r="AL367" i="1"/>
  <c r="AK367" i="1"/>
  <c r="AI367" i="1"/>
  <c r="AD367" i="1"/>
  <c r="U367" i="1"/>
  <c r="X367" i="1" s="1"/>
  <c r="R367" i="1"/>
  <c r="E367" i="1"/>
  <c r="AL366" i="1"/>
  <c r="AK366" i="1"/>
  <c r="AI366" i="1"/>
  <c r="AD366" i="1"/>
  <c r="X366" i="1"/>
  <c r="U366" i="1"/>
  <c r="R366" i="1"/>
  <c r="E366" i="1"/>
  <c r="AL365" i="1"/>
  <c r="AK365" i="1"/>
  <c r="AI365" i="1"/>
  <c r="AD365" i="1"/>
  <c r="Z365" i="1"/>
  <c r="W365" i="1"/>
  <c r="U365" i="1"/>
  <c r="X365" i="1" s="1"/>
  <c r="R365" i="1"/>
  <c r="E365" i="1"/>
  <c r="AL364" i="1"/>
  <c r="AK364" i="1"/>
  <c r="AI364" i="1"/>
  <c r="AD364" i="1"/>
  <c r="X364" i="1"/>
  <c r="U364" i="1"/>
  <c r="R364" i="1"/>
  <c r="E364" i="1"/>
  <c r="AL363" i="1"/>
  <c r="AK363" i="1"/>
  <c r="AI363" i="1"/>
  <c r="AD363" i="1"/>
  <c r="U363" i="1"/>
  <c r="X363" i="1" s="1"/>
  <c r="R363" i="1"/>
  <c r="E363" i="1"/>
  <c r="AL362" i="1"/>
  <c r="AK362" i="1"/>
  <c r="AI362" i="1"/>
  <c r="AD362" i="1"/>
  <c r="AC362" i="1"/>
  <c r="AA362" i="1"/>
  <c r="AB362" i="1" s="1"/>
  <c r="Z362" i="1"/>
  <c r="Y362" i="1"/>
  <c r="X362" i="1"/>
  <c r="W362" i="1"/>
  <c r="U362" i="1"/>
  <c r="R362" i="1"/>
  <c r="E362" i="1"/>
  <c r="AL361" i="1"/>
  <c r="AK361" i="1"/>
  <c r="AI361" i="1"/>
  <c r="AD361" i="1"/>
  <c r="Z361" i="1"/>
  <c r="Y361" i="1"/>
  <c r="X361" i="1"/>
  <c r="W361" i="1"/>
  <c r="AA361" i="1" s="1"/>
  <c r="AB361" i="1" s="1"/>
  <c r="U361" i="1"/>
  <c r="R361" i="1"/>
  <c r="E361" i="1"/>
  <c r="AL360" i="1"/>
  <c r="AK360" i="1"/>
  <c r="AI360" i="1"/>
  <c r="AD360" i="1"/>
  <c r="AC360" i="1"/>
  <c r="Z360" i="1"/>
  <c r="X360" i="1"/>
  <c r="W360" i="1"/>
  <c r="U360" i="1"/>
  <c r="R360" i="1"/>
  <c r="E360" i="1"/>
  <c r="AL359" i="1"/>
  <c r="AK359" i="1"/>
  <c r="AI359" i="1"/>
  <c r="AD359" i="1"/>
  <c r="Z359" i="1"/>
  <c r="U359" i="1"/>
  <c r="X359" i="1" s="1"/>
  <c r="R359" i="1"/>
  <c r="E359" i="1"/>
  <c r="AL358" i="1"/>
  <c r="AK358" i="1"/>
  <c r="AI358" i="1"/>
  <c r="AD358" i="1"/>
  <c r="U358" i="1"/>
  <c r="X358" i="1" s="1"/>
  <c r="R358" i="1"/>
  <c r="E358" i="1"/>
  <c r="AL357" i="1"/>
  <c r="AK357" i="1"/>
  <c r="AI357" i="1"/>
  <c r="AD357" i="1"/>
  <c r="Z357" i="1"/>
  <c r="W357" i="1"/>
  <c r="U357" i="1"/>
  <c r="X357" i="1" s="1"/>
  <c r="R357" i="1"/>
  <c r="E357" i="1"/>
  <c r="AL356" i="1"/>
  <c r="AK356" i="1"/>
  <c r="AI356" i="1"/>
  <c r="AD356" i="1"/>
  <c r="X356" i="1"/>
  <c r="U356" i="1"/>
  <c r="R356" i="1"/>
  <c r="E356" i="1"/>
  <c r="AL355" i="1"/>
  <c r="AK355" i="1"/>
  <c r="AI355" i="1"/>
  <c r="AD355" i="1"/>
  <c r="U355" i="1"/>
  <c r="X355" i="1" s="1"/>
  <c r="R355" i="1"/>
  <c r="E355" i="1"/>
  <c r="AL354" i="1"/>
  <c r="AK354" i="1"/>
  <c r="AI354" i="1"/>
  <c r="AD354" i="1"/>
  <c r="AC354" i="1"/>
  <c r="AA354" i="1"/>
  <c r="AB354" i="1" s="1"/>
  <c r="Z354" i="1"/>
  <c r="Y354" i="1"/>
  <c r="W354" i="1"/>
  <c r="U354" i="1"/>
  <c r="X354" i="1" s="1"/>
  <c r="R354" i="1"/>
  <c r="E354" i="1"/>
  <c r="AL353" i="1"/>
  <c r="AK353" i="1"/>
  <c r="AI353" i="1"/>
  <c r="AD353" i="1"/>
  <c r="Z353" i="1"/>
  <c r="Y353" i="1"/>
  <c r="X353" i="1"/>
  <c r="W353" i="1"/>
  <c r="AA353" i="1" s="1"/>
  <c r="AB353" i="1" s="1"/>
  <c r="U353" i="1"/>
  <c r="R353" i="1"/>
  <c r="E353" i="1"/>
  <c r="AL352" i="1"/>
  <c r="AK352" i="1"/>
  <c r="AI352" i="1"/>
  <c r="AD352" i="1"/>
  <c r="Z352" i="1"/>
  <c r="X352" i="1"/>
  <c r="W352" i="1"/>
  <c r="U352" i="1"/>
  <c r="R352" i="1"/>
  <c r="E352" i="1"/>
  <c r="AL351" i="1"/>
  <c r="AK351" i="1"/>
  <c r="AI351" i="1"/>
  <c r="AD351" i="1"/>
  <c r="Z351" i="1"/>
  <c r="U351" i="1"/>
  <c r="X351" i="1" s="1"/>
  <c r="R351" i="1"/>
  <c r="E351" i="1"/>
  <c r="AL350" i="1"/>
  <c r="AK350" i="1"/>
  <c r="AI350" i="1"/>
  <c r="AD350" i="1"/>
  <c r="X350" i="1"/>
  <c r="U350" i="1"/>
  <c r="R350" i="1"/>
  <c r="E350" i="1"/>
  <c r="AL349" i="1"/>
  <c r="AK349" i="1"/>
  <c r="AI349" i="1"/>
  <c r="AD349" i="1"/>
  <c r="Z349" i="1"/>
  <c r="W349" i="1"/>
  <c r="U349" i="1"/>
  <c r="X349" i="1" s="1"/>
  <c r="R349" i="1"/>
  <c r="E349" i="1"/>
  <c r="AL348" i="1"/>
  <c r="AK348" i="1"/>
  <c r="AI348" i="1"/>
  <c r="AD348" i="1"/>
  <c r="X348" i="1"/>
  <c r="U348" i="1"/>
  <c r="R348" i="1"/>
  <c r="E348" i="1"/>
  <c r="AL347" i="1"/>
  <c r="AK347" i="1"/>
  <c r="AI347" i="1"/>
  <c r="AD347" i="1"/>
  <c r="U347" i="1"/>
  <c r="X347" i="1" s="1"/>
  <c r="R347" i="1"/>
  <c r="E347" i="1"/>
  <c r="AL346" i="1"/>
  <c r="AK346" i="1"/>
  <c r="AI346" i="1"/>
  <c r="AD346" i="1"/>
  <c r="AA346" i="1"/>
  <c r="AB346" i="1" s="1"/>
  <c r="Z346" i="1"/>
  <c r="U346" i="1"/>
  <c r="X346" i="1" s="1"/>
  <c r="R346" i="1"/>
  <c r="W346" i="1" s="1"/>
  <c r="E346" i="1"/>
  <c r="AL345" i="1"/>
  <c r="AK345" i="1"/>
  <c r="AI345" i="1"/>
  <c r="AD345" i="1"/>
  <c r="AB345" i="1"/>
  <c r="Z345" i="1"/>
  <c r="Y345" i="1"/>
  <c r="X345" i="1"/>
  <c r="W345" i="1"/>
  <c r="AA345" i="1" s="1"/>
  <c r="U345" i="1"/>
  <c r="R345" i="1"/>
  <c r="E345" i="1"/>
  <c r="AL344" i="1"/>
  <c r="AK344" i="1"/>
  <c r="AI344" i="1"/>
  <c r="AD344" i="1"/>
  <c r="Z344" i="1"/>
  <c r="X344" i="1"/>
  <c r="W344" i="1"/>
  <c r="U344" i="1"/>
  <c r="R344" i="1"/>
  <c r="E344" i="1"/>
  <c r="AL343" i="1"/>
  <c r="AD343" i="1"/>
  <c r="X343" i="1"/>
  <c r="U343" i="1"/>
  <c r="R343" i="1"/>
  <c r="E343" i="1"/>
  <c r="AL342" i="1"/>
  <c r="AD342" i="1"/>
  <c r="U342" i="1"/>
  <c r="X342" i="1" s="1"/>
  <c r="R342" i="1"/>
  <c r="E342" i="1"/>
  <c r="AL341" i="1"/>
  <c r="AK341" i="1"/>
  <c r="AI341" i="1"/>
  <c r="AD341" i="1"/>
  <c r="U341" i="1"/>
  <c r="X341" i="1" s="1"/>
  <c r="R341" i="1"/>
  <c r="E341" i="1"/>
  <c r="AL340" i="1"/>
  <c r="AK340" i="1"/>
  <c r="AI340" i="1"/>
  <c r="AD340" i="1"/>
  <c r="AA340" i="1"/>
  <c r="AB340" i="1" s="1"/>
  <c r="Z340" i="1"/>
  <c r="U340" i="1"/>
  <c r="X340" i="1" s="1"/>
  <c r="R340" i="1"/>
  <c r="W340" i="1" s="1"/>
  <c r="E340" i="1"/>
  <c r="AL339" i="1"/>
  <c r="AK339" i="1"/>
  <c r="AI339" i="1"/>
  <c r="AD339" i="1"/>
  <c r="AB339" i="1"/>
  <c r="Z339" i="1"/>
  <c r="Y339" i="1"/>
  <c r="X339" i="1"/>
  <c r="W339" i="1"/>
  <c r="AA339" i="1" s="1"/>
  <c r="U339" i="1"/>
  <c r="R339" i="1"/>
  <c r="E339" i="1"/>
  <c r="AL338" i="1"/>
  <c r="AK338" i="1"/>
  <c r="AI338" i="1"/>
  <c r="AD338" i="1"/>
  <c r="Z338" i="1"/>
  <c r="X338" i="1"/>
  <c r="W338" i="1"/>
  <c r="U338" i="1"/>
  <c r="R338" i="1"/>
  <c r="E338" i="1"/>
  <c r="AL337" i="1"/>
  <c r="AK337" i="1"/>
  <c r="AI337" i="1"/>
  <c r="AD337" i="1"/>
  <c r="X337" i="1"/>
  <c r="U337" i="1"/>
  <c r="R337" i="1"/>
  <c r="E337" i="1"/>
  <c r="AL336" i="1"/>
  <c r="AK336" i="1"/>
  <c r="AI336" i="1"/>
  <c r="AD336" i="1"/>
  <c r="Z336" i="1"/>
  <c r="U336" i="1"/>
  <c r="X336" i="1" s="1"/>
  <c r="R336" i="1"/>
  <c r="E336" i="1"/>
  <c r="AL335" i="1"/>
  <c r="AK335" i="1"/>
  <c r="AI335" i="1"/>
  <c r="AD335" i="1"/>
  <c r="W335" i="1"/>
  <c r="U335" i="1"/>
  <c r="X335" i="1" s="1"/>
  <c r="R335" i="1"/>
  <c r="E335" i="1"/>
  <c r="AL334" i="1"/>
  <c r="AK334" i="1"/>
  <c r="AI334" i="1"/>
  <c r="AD334" i="1"/>
  <c r="W334" i="1"/>
  <c r="U334" i="1"/>
  <c r="X334" i="1" s="1"/>
  <c r="R334" i="1"/>
  <c r="E334" i="1"/>
  <c r="AL333" i="1"/>
  <c r="AK333" i="1"/>
  <c r="AI333" i="1"/>
  <c r="AD333" i="1"/>
  <c r="U333" i="1"/>
  <c r="X333" i="1" s="1"/>
  <c r="R333" i="1"/>
  <c r="E333" i="1"/>
  <c r="AL332" i="1"/>
  <c r="AK332" i="1"/>
  <c r="AI332" i="1"/>
  <c r="AD332" i="1"/>
  <c r="AC332" i="1"/>
  <c r="AB332" i="1"/>
  <c r="AA332" i="1"/>
  <c r="Z332" i="1"/>
  <c r="Y332" i="1"/>
  <c r="W332" i="1"/>
  <c r="U332" i="1"/>
  <c r="X332" i="1" s="1"/>
  <c r="R332" i="1"/>
  <c r="E332" i="1"/>
  <c r="AL331" i="1"/>
  <c r="AK331" i="1"/>
  <c r="AI331" i="1"/>
  <c r="AD331" i="1"/>
  <c r="Z331" i="1"/>
  <c r="Y331" i="1"/>
  <c r="X331" i="1"/>
  <c r="W331" i="1"/>
  <c r="AA331" i="1" s="1"/>
  <c r="AB331" i="1" s="1"/>
  <c r="U331" i="1"/>
  <c r="R331" i="1"/>
  <c r="E331" i="1"/>
  <c r="AL330" i="1"/>
  <c r="AK330" i="1"/>
  <c r="AI330" i="1"/>
  <c r="AD330" i="1"/>
  <c r="AC330" i="1"/>
  <c r="Z330" i="1"/>
  <c r="X330" i="1"/>
  <c r="W330" i="1"/>
  <c r="U330" i="1"/>
  <c r="R330" i="1"/>
  <c r="E330" i="1"/>
  <c r="AL329" i="1"/>
  <c r="AK329" i="1"/>
  <c r="AI329" i="1"/>
  <c r="AD329" i="1"/>
  <c r="Z329" i="1"/>
  <c r="U329" i="1"/>
  <c r="X329" i="1" s="1"/>
  <c r="R329" i="1"/>
  <c r="E329" i="1"/>
  <c r="AL328" i="1"/>
  <c r="AK328" i="1"/>
  <c r="AI328" i="1"/>
  <c r="AD328" i="1"/>
  <c r="U328" i="1"/>
  <c r="X328" i="1" s="1"/>
  <c r="R328" i="1"/>
  <c r="E328" i="1"/>
  <c r="AL327" i="1"/>
  <c r="AK327" i="1"/>
  <c r="AI327" i="1"/>
  <c r="AD327" i="1"/>
  <c r="W327" i="1"/>
  <c r="U327" i="1"/>
  <c r="X327" i="1" s="1"/>
  <c r="R327" i="1"/>
  <c r="Z327" i="1" s="1"/>
  <c r="E327" i="1"/>
  <c r="AL326" i="1"/>
  <c r="AK326" i="1"/>
  <c r="AI326" i="1"/>
  <c r="AD326" i="1"/>
  <c r="W326" i="1"/>
  <c r="U326" i="1"/>
  <c r="X326" i="1" s="1"/>
  <c r="R326" i="1"/>
  <c r="E326" i="1"/>
  <c r="AL325" i="1"/>
  <c r="AK325" i="1"/>
  <c r="AI325" i="1"/>
  <c r="AD325" i="1"/>
  <c r="X325" i="1"/>
  <c r="U325" i="1"/>
  <c r="R325" i="1"/>
  <c r="E325" i="1"/>
  <c r="AL324" i="1"/>
  <c r="AK324" i="1"/>
  <c r="AI324" i="1"/>
  <c r="AD324" i="1"/>
  <c r="Z324" i="1"/>
  <c r="U324" i="1"/>
  <c r="X324" i="1" s="1"/>
  <c r="R324" i="1"/>
  <c r="W324" i="1" s="1"/>
  <c r="E324" i="1"/>
  <c r="AL323" i="1"/>
  <c r="AK323" i="1"/>
  <c r="AI323" i="1"/>
  <c r="AD323" i="1"/>
  <c r="AB323" i="1"/>
  <c r="AA323" i="1"/>
  <c r="Z323" i="1"/>
  <c r="Y323" i="1"/>
  <c r="X323" i="1"/>
  <c r="W323" i="1"/>
  <c r="AC323" i="1" s="1"/>
  <c r="U323" i="1"/>
  <c r="R323" i="1"/>
  <c r="E323" i="1"/>
  <c r="AL322" i="1"/>
  <c r="AK322" i="1"/>
  <c r="AI322" i="1"/>
  <c r="AD322" i="1"/>
  <c r="Z322" i="1"/>
  <c r="X322" i="1"/>
  <c r="W322" i="1"/>
  <c r="U322" i="1"/>
  <c r="R322" i="1"/>
  <c r="E322" i="1"/>
  <c r="AL321" i="1"/>
  <c r="AK321" i="1"/>
  <c r="AI321" i="1"/>
  <c r="AD321" i="1"/>
  <c r="Z321" i="1"/>
  <c r="U321" i="1"/>
  <c r="X321" i="1" s="1"/>
  <c r="R321" i="1"/>
  <c r="E321" i="1"/>
  <c r="AL320" i="1"/>
  <c r="AK320" i="1"/>
  <c r="AI320" i="1"/>
  <c r="AD320" i="1"/>
  <c r="X320" i="1"/>
  <c r="U320" i="1"/>
  <c r="R320" i="1"/>
  <c r="E320" i="1"/>
  <c r="AL319" i="1"/>
  <c r="AK319" i="1"/>
  <c r="AI319" i="1"/>
  <c r="AD319" i="1"/>
  <c r="Y319" i="1"/>
  <c r="W319" i="1"/>
  <c r="U319" i="1"/>
  <c r="X319" i="1" s="1"/>
  <c r="R319" i="1"/>
  <c r="Z319" i="1" s="1"/>
  <c r="E319" i="1"/>
  <c r="AL318" i="1"/>
  <c r="AK318" i="1"/>
  <c r="AI318" i="1"/>
  <c r="AD318" i="1"/>
  <c r="U318" i="1"/>
  <c r="X318" i="1" s="1"/>
  <c r="R318" i="1"/>
  <c r="E318" i="1"/>
  <c r="AL317" i="1"/>
  <c r="AK317" i="1"/>
  <c r="AI317" i="1"/>
  <c r="AD317" i="1"/>
  <c r="X317" i="1"/>
  <c r="U317" i="1"/>
  <c r="R317" i="1"/>
  <c r="E317" i="1"/>
  <c r="AL316" i="1"/>
  <c r="AK316" i="1"/>
  <c r="AI316" i="1"/>
  <c r="AD316" i="1"/>
  <c r="AC316" i="1"/>
  <c r="AA316" i="1"/>
  <c r="AB316" i="1" s="1"/>
  <c r="Z316" i="1"/>
  <c r="Y316" i="1"/>
  <c r="W316" i="1"/>
  <c r="U316" i="1"/>
  <c r="X316" i="1" s="1"/>
  <c r="R316" i="1"/>
  <c r="E316" i="1"/>
  <c r="AL315" i="1"/>
  <c r="AK315" i="1"/>
  <c r="AI315" i="1"/>
  <c r="AD315" i="1"/>
  <c r="Z315" i="1"/>
  <c r="Y315" i="1"/>
  <c r="X315" i="1"/>
  <c r="W315" i="1"/>
  <c r="AA315" i="1" s="1"/>
  <c r="AB315" i="1" s="1"/>
  <c r="U315" i="1"/>
  <c r="R315" i="1"/>
  <c r="E315" i="1"/>
  <c r="AK314" i="1"/>
  <c r="AI314" i="1"/>
  <c r="AD314" i="1"/>
  <c r="W314" i="1"/>
  <c r="U314" i="1"/>
  <c r="X314" i="1" s="1"/>
  <c r="R314" i="1"/>
  <c r="Z314" i="1" s="1"/>
  <c r="E314" i="1"/>
  <c r="AL313" i="1"/>
  <c r="AK313" i="1"/>
  <c r="AI313" i="1"/>
  <c r="AD313" i="1"/>
  <c r="U313" i="1"/>
  <c r="X313" i="1" s="1"/>
  <c r="R313" i="1"/>
  <c r="Z313" i="1" s="1"/>
  <c r="E313" i="1"/>
  <c r="AL312" i="1"/>
  <c r="AD312" i="1"/>
  <c r="S312" i="1"/>
  <c r="W312" i="1" s="1"/>
  <c r="R312" i="1"/>
  <c r="Z312" i="1" s="1"/>
  <c r="E312" i="1"/>
  <c r="AL311" i="1"/>
  <c r="AK311" i="1"/>
  <c r="AI311" i="1"/>
  <c r="AD311" i="1"/>
  <c r="U311" i="1"/>
  <c r="X311" i="1" s="1"/>
  <c r="R311" i="1"/>
  <c r="E311" i="1"/>
  <c r="AL310" i="1"/>
  <c r="AK310" i="1"/>
  <c r="AI310" i="1"/>
  <c r="AD310" i="1"/>
  <c r="X310" i="1"/>
  <c r="U310" i="1"/>
  <c r="R310" i="1"/>
  <c r="E310" i="1"/>
  <c r="AL309" i="1"/>
  <c r="AD309" i="1"/>
  <c r="S309" i="1"/>
  <c r="W309" i="1" s="1"/>
  <c r="R309" i="1"/>
  <c r="E309" i="1"/>
  <c r="AL308" i="1"/>
  <c r="AK308" i="1"/>
  <c r="AI308" i="1"/>
  <c r="AD308" i="1"/>
  <c r="Z308" i="1"/>
  <c r="X308" i="1"/>
  <c r="W308" i="1"/>
  <c r="U308" i="1"/>
  <c r="R308" i="1"/>
  <c r="E308" i="1"/>
  <c r="AL307" i="1"/>
  <c r="AK307" i="1"/>
  <c r="AI307" i="1"/>
  <c r="AD307" i="1"/>
  <c r="S307" i="1"/>
  <c r="U307" i="1" s="1"/>
  <c r="X307" i="1" s="1"/>
  <c r="R307" i="1"/>
  <c r="E307" i="1"/>
  <c r="AL306" i="1"/>
  <c r="AK306" i="1"/>
  <c r="AI306" i="1"/>
  <c r="AD306" i="1"/>
  <c r="AB306" i="1"/>
  <c r="W306" i="1"/>
  <c r="AA306" i="1" s="1"/>
  <c r="U306" i="1"/>
  <c r="X306" i="1" s="1"/>
  <c r="R306" i="1"/>
  <c r="Z306" i="1" s="1"/>
  <c r="E306" i="1"/>
  <c r="AL305" i="1"/>
  <c r="AK305" i="1"/>
  <c r="AI305" i="1"/>
  <c r="AD305" i="1"/>
  <c r="Z305" i="1"/>
  <c r="X305" i="1"/>
  <c r="U305" i="1"/>
  <c r="R305" i="1"/>
  <c r="W305" i="1" s="1"/>
  <c r="E305" i="1"/>
  <c r="AL304" i="1"/>
  <c r="AK304" i="1"/>
  <c r="AI304" i="1"/>
  <c r="AD304" i="1"/>
  <c r="Z304" i="1"/>
  <c r="X304" i="1"/>
  <c r="U304" i="1"/>
  <c r="R304" i="1"/>
  <c r="W304" i="1" s="1"/>
  <c r="E304" i="1"/>
  <c r="AL303" i="1"/>
  <c r="AK303" i="1"/>
  <c r="AI303" i="1"/>
  <c r="AD303" i="1"/>
  <c r="Z303" i="1"/>
  <c r="Y303" i="1"/>
  <c r="W303" i="1"/>
  <c r="AC303" i="1" s="1"/>
  <c r="U303" i="1"/>
  <c r="X303" i="1" s="1"/>
  <c r="R303" i="1"/>
  <c r="E303" i="1"/>
  <c r="AL302" i="1"/>
  <c r="AK302" i="1"/>
  <c r="AI302" i="1"/>
  <c r="AD302" i="1"/>
  <c r="W302" i="1"/>
  <c r="AC302" i="1" s="1"/>
  <c r="U302" i="1"/>
  <c r="X302" i="1" s="1"/>
  <c r="R302" i="1"/>
  <c r="Z302" i="1" s="1"/>
  <c r="E302" i="1"/>
  <c r="AL301" i="1"/>
  <c r="AK301" i="1"/>
  <c r="AI301" i="1"/>
  <c r="AD301" i="1"/>
  <c r="Z301" i="1"/>
  <c r="X301" i="1"/>
  <c r="U301" i="1"/>
  <c r="R301" i="1"/>
  <c r="E301" i="1"/>
  <c r="AL300" i="1"/>
  <c r="AK300" i="1"/>
  <c r="AI300" i="1"/>
  <c r="AD300" i="1"/>
  <c r="X300" i="1"/>
  <c r="U300" i="1"/>
  <c r="R300" i="1"/>
  <c r="E300" i="1"/>
  <c r="AL299" i="1"/>
  <c r="AK299" i="1"/>
  <c r="AI299" i="1"/>
  <c r="AD299" i="1"/>
  <c r="Y299" i="1"/>
  <c r="W299" i="1"/>
  <c r="AC299" i="1" s="1"/>
  <c r="U299" i="1"/>
  <c r="X299" i="1" s="1"/>
  <c r="R299" i="1"/>
  <c r="E299" i="1"/>
  <c r="AL298" i="1"/>
  <c r="AK298" i="1"/>
  <c r="AI298" i="1"/>
  <c r="AD298" i="1"/>
  <c r="AB298" i="1"/>
  <c r="W298" i="1"/>
  <c r="AA298" i="1" s="1"/>
  <c r="U298" i="1"/>
  <c r="X298" i="1" s="1"/>
  <c r="R298" i="1"/>
  <c r="Z298" i="1" s="1"/>
  <c r="E298" i="1"/>
  <c r="AL297" i="1"/>
  <c r="AK297" i="1"/>
  <c r="AI297" i="1"/>
  <c r="AD297" i="1"/>
  <c r="Z297" i="1"/>
  <c r="X297" i="1"/>
  <c r="U297" i="1"/>
  <c r="R297" i="1"/>
  <c r="W297" i="1" s="1"/>
  <c r="E297" i="1"/>
  <c r="AL296" i="1"/>
  <c r="AK296" i="1"/>
  <c r="AI296" i="1"/>
  <c r="AD296" i="1"/>
  <c r="Z296" i="1"/>
  <c r="X296" i="1"/>
  <c r="U296" i="1"/>
  <c r="R296" i="1"/>
  <c r="W296" i="1" s="1"/>
  <c r="E296" i="1"/>
  <c r="AL295" i="1"/>
  <c r="AI295" i="1"/>
  <c r="AD295" i="1"/>
  <c r="X295" i="1"/>
  <c r="U295" i="1"/>
  <c r="R295" i="1"/>
  <c r="E295" i="1"/>
  <c r="AL294" i="1"/>
  <c r="AK294" i="1"/>
  <c r="AI294" i="1"/>
  <c r="AD294" i="1"/>
  <c r="U294" i="1"/>
  <c r="X294" i="1" s="1"/>
  <c r="R294" i="1"/>
  <c r="E294" i="1"/>
  <c r="AL293" i="1"/>
  <c r="AK293" i="1"/>
  <c r="AI293" i="1"/>
  <c r="AD293" i="1"/>
  <c r="Z293" i="1"/>
  <c r="Y293" i="1"/>
  <c r="W293" i="1"/>
  <c r="AC293" i="1" s="1"/>
  <c r="U293" i="1"/>
  <c r="X293" i="1" s="1"/>
  <c r="R293" i="1"/>
  <c r="E293" i="1"/>
  <c r="AL292" i="1"/>
  <c r="AK292" i="1"/>
  <c r="AI292" i="1"/>
  <c r="AD292" i="1"/>
  <c r="Z292" i="1"/>
  <c r="X292" i="1"/>
  <c r="W292" i="1"/>
  <c r="U292" i="1"/>
  <c r="R292" i="1"/>
  <c r="E292" i="1"/>
  <c r="AL291" i="1"/>
  <c r="AK291" i="1"/>
  <c r="AI291" i="1"/>
  <c r="AD291" i="1"/>
  <c r="X291" i="1"/>
  <c r="U291" i="1"/>
  <c r="R291" i="1"/>
  <c r="E291" i="1"/>
  <c r="AL290" i="1"/>
  <c r="AK290" i="1"/>
  <c r="AI290" i="1"/>
  <c r="AD290" i="1"/>
  <c r="U290" i="1"/>
  <c r="X290" i="1" s="1"/>
  <c r="R290" i="1"/>
  <c r="Z290" i="1" s="1"/>
  <c r="E290" i="1"/>
  <c r="AL289" i="1"/>
  <c r="AK289" i="1"/>
  <c r="AI289" i="1"/>
  <c r="AD289" i="1"/>
  <c r="AC289" i="1"/>
  <c r="AB289" i="1"/>
  <c r="AA289" i="1"/>
  <c r="Z289" i="1"/>
  <c r="Y289" i="1"/>
  <c r="W289" i="1"/>
  <c r="U289" i="1"/>
  <c r="X289" i="1" s="1"/>
  <c r="R289" i="1"/>
  <c r="E289" i="1"/>
  <c r="AL288" i="1"/>
  <c r="AK288" i="1"/>
  <c r="AI288" i="1"/>
  <c r="AD288" i="1"/>
  <c r="Z288" i="1"/>
  <c r="X288" i="1"/>
  <c r="W288" i="1"/>
  <c r="U288" i="1"/>
  <c r="R288" i="1"/>
  <c r="E288" i="1"/>
  <c r="AL287" i="1"/>
  <c r="AK287" i="1"/>
  <c r="AI287" i="1"/>
  <c r="AD287" i="1"/>
  <c r="X287" i="1"/>
  <c r="U287" i="1"/>
  <c r="R287" i="1"/>
  <c r="E287" i="1"/>
  <c r="AL286" i="1"/>
  <c r="AK286" i="1"/>
  <c r="AI286" i="1"/>
  <c r="AD286" i="1"/>
  <c r="U286" i="1"/>
  <c r="X286" i="1" s="1"/>
  <c r="R286" i="1"/>
  <c r="E286" i="1"/>
  <c r="AL285" i="1"/>
  <c r="AK285" i="1"/>
  <c r="AI285" i="1"/>
  <c r="AD285" i="1"/>
  <c r="Z285" i="1"/>
  <c r="Y285" i="1"/>
  <c r="W285" i="1"/>
  <c r="AC285" i="1" s="1"/>
  <c r="U285" i="1"/>
  <c r="X285" i="1" s="1"/>
  <c r="R285" i="1"/>
  <c r="E285" i="1"/>
  <c r="AK284" i="1"/>
  <c r="AI284" i="1"/>
  <c r="AD284" i="1"/>
  <c r="Y284" i="1"/>
  <c r="W284" i="1"/>
  <c r="AC284" i="1" s="1"/>
  <c r="U284" i="1"/>
  <c r="X284" i="1" s="1"/>
  <c r="R284" i="1"/>
  <c r="E284" i="1"/>
  <c r="AL283" i="1"/>
  <c r="AK283" i="1"/>
  <c r="AI283" i="1"/>
  <c r="AD283" i="1"/>
  <c r="W283" i="1"/>
  <c r="AA283" i="1" s="1"/>
  <c r="AB283" i="1" s="1"/>
  <c r="U283" i="1"/>
  <c r="X283" i="1" s="1"/>
  <c r="R283" i="1"/>
  <c r="Z283" i="1" s="1"/>
  <c r="E283" i="1"/>
  <c r="AL282" i="1"/>
  <c r="AK282" i="1"/>
  <c r="AI282" i="1"/>
  <c r="AD282" i="1"/>
  <c r="Z282" i="1"/>
  <c r="X282" i="1"/>
  <c r="U282" i="1"/>
  <c r="R282" i="1"/>
  <c r="W282" i="1" s="1"/>
  <c r="E282" i="1"/>
  <c r="AL281" i="1"/>
  <c r="AK281" i="1"/>
  <c r="AI281" i="1"/>
  <c r="AD281" i="1"/>
  <c r="Z281" i="1"/>
  <c r="X281" i="1"/>
  <c r="U281" i="1"/>
  <c r="R281" i="1"/>
  <c r="W281" i="1" s="1"/>
  <c r="E281" i="1"/>
  <c r="AL280" i="1"/>
  <c r="AK280" i="1"/>
  <c r="AI280" i="1"/>
  <c r="AD280" i="1"/>
  <c r="Z280" i="1"/>
  <c r="Y280" i="1"/>
  <c r="W280" i="1"/>
  <c r="AC280" i="1" s="1"/>
  <c r="U280" i="1"/>
  <c r="X280" i="1" s="1"/>
  <c r="R280" i="1"/>
  <c r="E280" i="1"/>
  <c r="AL279" i="1"/>
  <c r="AK279" i="1"/>
  <c r="AI279" i="1"/>
  <c r="AD279" i="1"/>
  <c r="W279" i="1"/>
  <c r="AC279" i="1" s="1"/>
  <c r="U279" i="1"/>
  <c r="X279" i="1" s="1"/>
  <c r="R279" i="1"/>
  <c r="Z279" i="1" s="1"/>
  <c r="E279" i="1"/>
  <c r="AL278" i="1"/>
  <c r="AK278" i="1"/>
  <c r="AI278" i="1"/>
  <c r="AD278" i="1"/>
  <c r="Z278" i="1"/>
  <c r="X278" i="1"/>
  <c r="U278" i="1"/>
  <c r="R278" i="1"/>
  <c r="E278" i="1"/>
  <c r="AL277" i="1"/>
  <c r="AK277" i="1"/>
  <c r="AI277" i="1"/>
  <c r="AD277" i="1"/>
  <c r="X277" i="1"/>
  <c r="U277" i="1"/>
  <c r="R277" i="1"/>
  <c r="E277" i="1"/>
  <c r="AL276" i="1"/>
  <c r="AK276" i="1"/>
  <c r="AI276" i="1"/>
  <c r="AC276" i="1"/>
  <c r="W276" i="1"/>
  <c r="E276" i="1"/>
  <c r="AL275" i="1"/>
  <c r="AK275" i="1"/>
  <c r="AI275" i="1"/>
  <c r="AD275" i="1"/>
  <c r="W275" i="1"/>
  <c r="AC275" i="1" s="1"/>
  <c r="U275" i="1"/>
  <c r="X275" i="1" s="1"/>
  <c r="R275" i="1"/>
  <c r="Z275" i="1" s="1"/>
  <c r="E275" i="1"/>
  <c r="AL274" i="1"/>
  <c r="AK274" i="1"/>
  <c r="AI274" i="1"/>
  <c r="AD274" i="1"/>
  <c r="Z274" i="1"/>
  <c r="X274" i="1"/>
  <c r="U274" i="1"/>
  <c r="R274" i="1"/>
  <c r="E274" i="1"/>
  <c r="AL273" i="1"/>
  <c r="AK273" i="1"/>
  <c r="AI273" i="1"/>
  <c r="AD273" i="1"/>
  <c r="X273" i="1"/>
  <c r="U273" i="1"/>
  <c r="R273" i="1"/>
  <c r="E273" i="1"/>
  <c r="AL272" i="1"/>
  <c r="AK272" i="1"/>
  <c r="AI272" i="1"/>
  <c r="AD272" i="1"/>
  <c r="Y272" i="1"/>
  <c r="W272" i="1"/>
  <c r="AC272" i="1" s="1"/>
  <c r="U272" i="1"/>
  <c r="X272" i="1" s="1"/>
  <c r="R272" i="1"/>
  <c r="AB272" i="1" s="1"/>
  <c r="E272" i="1"/>
  <c r="AL271" i="1"/>
  <c r="AK271" i="1"/>
  <c r="AI271" i="1"/>
  <c r="AD271" i="1"/>
  <c r="AB271" i="1"/>
  <c r="W271" i="1"/>
  <c r="AA271" i="1" s="1"/>
  <c r="U271" i="1"/>
  <c r="X271" i="1" s="1"/>
  <c r="R271" i="1"/>
  <c r="Z271" i="1" s="1"/>
  <c r="E271" i="1"/>
  <c r="AL270" i="1"/>
  <c r="AK270" i="1"/>
  <c r="AI270" i="1"/>
  <c r="AD270" i="1"/>
  <c r="Z270" i="1"/>
  <c r="U270" i="1"/>
  <c r="X270" i="1" s="1"/>
  <c r="R270" i="1"/>
  <c r="W270" i="1" s="1"/>
  <c r="E270" i="1"/>
  <c r="AL269" i="1"/>
  <c r="AK269" i="1"/>
  <c r="AI269" i="1"/>
  <c r="AD269" i="1"/>
  <c r="Z269" i="1"/>
  <c r="X269" i="1"/>
  <c r="U269" i="1"/>
  <c r="R269" i="1"/>
  <c r="W269" i="1" s="1"/>
  <c r="E269" i="1"/>
  <c r="AL268" i="1"/>
  <c r="AK268" i="1"/>
  <c r="AI268" i="1"/>
  <c r="AD268" i="1"/>
  <c r="Z268" i="1"/>
  <c r="Y268" i="1"/>
  <c r="W268" i="1"/>
  <c r="AC268" i="1" s="1"/>
  <c r="U268" i="1"/>
  <c r="X268" i="1" s="1"/>
  <c r="R268" i="1"/>
  <c r="E268" i="1"/>
  <c r="AL267" i="1"/>
  <c r="AK267" i="1"/>
  <c r="AI267" i="1"/>
  <c r="AD267" i="1"/>
  <c r="W267" i="1"/>
  <c r="AC267" i="1" s="1"/>
  <c r="U267" i="1"/>
  <c r="X267" i="1" s="1"/>
  <c r="R267" i="1"/>
  <c r="Z267" i="1" s="1"/>
  <c r="E267" i="1"/>
  <c r="AL266" i="1"/>
  <c r="AK266" i="1"/>
  <c r="AI266" i="1"/>
  <c r="AD266" i="1"/>
  <c r="Z266" i="1"/>
  <c r="X266" i="1"/>
  <c r="U266" i="1"/>
  <c r="R266" i="1"/>
  <c r="E266" i="1"/>
  <c r="AL265" i="1"/>
  <c r="AK265" i="1"/>
  <c r="AI265" i="1"/>
  <c r="AD265" i="1"/>
  <c r="X265" i="1"/>
  <c r="U265" i="1"/>
  <c r="R265" i="1"/>
  <c r="E265" i="1"/>
  <c r="AL264" i="1"/>
  <c r="AK264" i="1"/>
  <c r="AI264" i="1"/>
  <c r="AD264" i="1"/>
  <c r="Y264" i="1"/>
  <c r="W264" i="1"/>
  <c r="AC264" i="1" s="1"/>
  <c r="U264" i="1"/>
  <c r="X264" i="1" s="1"/>
  <c r="R264" i="1"/>
  <c r="E264" i="1"/>
  <c r="AL263" i="1"/>
  <c r="AK263" i="1"/>
  <c r="AI263" i="1"/>
  <c r="AD263" i="1"/>
  <c r="W263" i="1"/>
  <c r="AA263" i="1" s="1"/>
  <c r="AB263" i="1" s="1"/>
  <c r="U263" i="1"/>
  <c r="X263" i="1" s="1"/>
  <c r="R263" i="1"/>
  <c r="Z263" i="1" s="1"/>
  <c r="E263" i="1"/>
  <c r="AL262" i="1"/>
  <c r="AK262" i="1"/>
  <c r="AI262" i="1"/>
  <c r="AD262" i="1"/>
  <c r="Z262" i="1"/>
  <c r="U262" i="1"/>
  <c r="X262" i="1" s="1"/>
  <c r="R262" i="1"/>
  <c r="W262" i="1" s="1"/>
  <c r="E262" i="1"/>
  <c r="AL261" i="1"/>
  <c r="AK261" i="1"/>
  <c r="AI261" i="1"/>
  <c r="AD261" i="1"/>
  <c r="AB261" i="1"/>
  <c r="Z261" i="1"/>
  <c r="X261" i="1"/>
  <c r="U261" i="1"/>
  <c r="R261" i="1"/>
  <c r="W261" i="1" s="1"/>
  <c r="E261" i="1"/>
  <c r="AL260" i="1"/>
  <c r="AK260" i="1"/>
  <c r="AI260" i="1"/>
  <c r="AD260" i="1"/>
  <c r="AB260" i="1"/>
  <c r="Z260" i="1"/>
  <c r="Y260" i="1"/>
  <c r="W260" i="1"/>
  <c r="AC260" i="1" s="1"/>
  <c r="U260" i="1"/>
  <c r="X260" i="1" s="1"/>
  <c r="R260" i="1"/>
  <c r="E260" i="1"/>
  <c r="AL259" i="1"/>
  <c r="AK259" i="1"/>
  <c r="AI259" i="1"/>
  <c r="AD259" i="1"/>
  <c r="W259" i="1"/>
  <c r="AC259" i="1" s="1"/>
  <c r="U259" i="1"/>
  <c r="X259" i="1" s="1"/>
  <c r="R259" i="1"/>
  <c r="Z259" i="1" s="1"/>
  <c r="E259" i="1"/>
  <c r="AL258" i="1"/>
  <c r="AK258" i="1"/>
  <c r="AI258" i="1"/>
  <c r="AD258" i="1"/>
  <c r="Z258" i="1"/>
  <c r="X258" i="1"/>
  <c r="U258" i="1"/>
  <c r="R258" i="1"/>
  <c r="E258" i="1"/>
  <c r="AK257" i="1"/>
  <c r="AI257" i="1"/>
  <c r="AD257" i="1"/>
  <c r="Z257" i="1"/>
  <c r="X257" i="1"/>
  <c r="W257" i="1"/>
  <c r="U257" i="1"/>
  <c r="R257" i="1"/>
  <c r="E257" i="1"/>
  <c r="AL256" i="1"/>
  <c r="AK256" i="1"/>
  <c r="AI256" i="1"/>
  <c r="AD256" i="1"/>
  <c r="X256" i="1"/>
  <c r="U256" i="1"/>
  <c r="R256" i="1"/>
  <c r="E256" i="1"/>
  <c r="AL255" i="1"/>
  <c r="AK255" i="1"/>
  <c r="AI255" i="1"/>
  <c r="AD255" i="1"/>
  <c r="AC255" i="1"/>
  <c r="AA255" i="1"/>
  <c r="AB255" i="1" s="1"/>
  <c r="W255" i="1"/>
  <c r="Y255" i="1" s="1"/>
  <c r="U255" i="1"/>
  <c r="X255" i="1" s="1"/>
  <c r="R255" i="1"/>
  <c r="Z255" i="1" s="1"/>
  <c r="E255" i="1"/>
  <c r="AL254" i="1"/>
  <c r="AK254" i="1"/>
  <c r="AI254" i="1"/>
  <c r="AD254" i="1"/>
  <c r="Z254" i="1"/>
  <c r="U254" i="1"/>
  <c r="X254" i="1" s="1"/>
  <c r="R254" i="1"/>
  <c r="W254" i="1" s="1"/>
  <c r="E254" i="1"/>
  <c r="AL253" i="1"/>
  <c r="AK253" i="1"/>
  <c r="AI253" i="1"/>
  <c r="AD253" i="1"/>
  <c r="Z253" i="1"/>
  <c r="X253" i="1"/>
  <c r="W253" i="1"/>
  <c r="U253" i="1"/>
  <c r="R253" i="1"/>
  <c r="E253" i="1"/>
  <c r="AL252" i="1"/>
  <c r="AK252" i="1"/>
  <c r="AI252" i="1"/>
  <c r="AD252" i="1"/>
  <c r="X252" i="1"/>
  <c r="U252" i="1"/>
  <c r="R252" i="1"/>
  <c r="E252" i="1"/>
  <c r="AL251" i="1"/>
  <c r="AK251" i="1"/>
  <c r="AI251" i="1"/>
  <c r="AD251" i="1"/>
  <c r="U251" i="1"/>
  <c r="X251" i="1" s="1"/>
  <c r="R251" i="1"/>
  <c r="E251" i="1"/>
  <c r="AL250" i="1"/>
  <c r="AK250" i="1"/>
  <c r="AI250" i="1"/>
  <c r="AD250" i="1"/>
  <c r="Y250" i="1"/>
  <c r="W250" i="1"/>
  <c r="AC250" i="1" s="1"/>
  <c r="U250" i="1"/>
  <c r="X250" i="1" s="1"/>
  <c r="R250" i="1"/>
  <c r="Z250" i="1" s="1"/>
  <c r="E250" i="1"/>
  <c r="AL249" i="1"/>
  <c r="AK249" i="1"/>
  <c r="AI249" i="1"/>
  <c r="AD249" i="1"/>
  <c r="Z249" i="1"/>
  <c r="X249" i="1"/>
  <c r="W249" i="1"/>
  <c r="U249" i="1"/>
  <c r="R249" i="1"/>
  <c r="E249" i="1"/>
  <c r="AL248" i="1"/>
  <c r="AI248" i="1"/>
  <c r="AD248" i="1"/>
  <c r="W248" i="1"/>
  <c r="AA248" i="1" s="1"/>
  <c r="AB248" i="1" s="1"/>
  <c r="U248" i="1"/>
  <c r="X248" i="1" s="1"/>
  <c r="R248" i="1"/>
  <c r="Z248" i="1" s="1"/>
  <c r="E248" i="1"/>
  <c r="AL247" i="1"/>
  <c r="AK247" i="1"/>
  <c r="AI247" i="1"/>
  <c r="AD247" i="1"/>
  <c r="Z247" i="1"/>
  <c r="U247" i="1"/>
  <c r="X247" i="1" s="1"/>
  <c r="R247" i="1"/>
  <c r="W247" i="1" s="1"/>
  <c r="E247" i="1"/>
  <c r="AL246" i="1"/>
  <c r="AK246" i="1"/>
  <c r="AI246" i="1"/>
  <c r="AD246" i="1"/>
  <c r="Z246" i="1"/>
  <c r="X246" i="1"/>
  <c r="U246" i="1"/>
  <c r="R246" i="1"/>
  <c r="W246" i="1" s="1"/>
  <c r="E246" i="1"/>
  <c r="AL245" i="1"/>
  <c r="AK245" i="1"/>
  <c r="AI245" i="1"/>
  <c r="AD245" i="1"/>
  <c r="Z245" i="1"/>
  <c r="Y245" i="1"/>
  <c r="W245" i="1"/>
  <c r="AC245" i="1" s="1"/>
  <c r="U245" i="1"/>
  <c r="X245" i="1" s="1"/>
  <c r="R245" i="1"/>
  <c r="E245" i="1"/>
  <c r="AL244" i="1"/>
  <c r="AK244" i="1"/>
  <c r="AI244" i="1"/>
  <c r="AD244" i="1"/>
  <c r="W244" i="1"/>
  <c r="AC244" i="1" s="1"/>
  <c r="U244" i="1"/>
  <c r="X244" i="1" s="1"/>
  <c r="R244" i="1"/>
  <c r="Z244" i="1" s="1"/>
  <c r="E244" i="1"/>
  <c r="AL243" i="1"/>
  <c r="AK243" i="1"/>
  <c r="AI243" i="1"/>
  <c r="AD243" i="1"/>
  <c r="Z243" i="1"/>
  <c r="X243" i="1"/>
  <c r="U243" i="1"/>
  <c r="R243" i="1"/>
  <c r="E243" i="1"/>
  <c r="AL242" i="1"/>
  <c r="AK242" i="1"/>
  <c r="AI242" i="1"/>
  <c r="AD242" i="1"/>
  <c r="X242" i="1"/>
  <c r="U242" i="1"/>
  <c r="R242" i="1"/>
  <c r="E242" i="1"/>
  <c r="AL241" i="1"/>
  <c r="AK241" i="1"/>
  <c r="AI241" i="1"/>
  <c r="AD241" i="1"/>
  <c r="Y241" i="1"/>
  <c r="W241" i="1"/>
  <c r="AC241" i="1" s="1"/>
  <c r="U241" i="1"/>
  <c r="X241" i="1" s="1"/>
  <c r="R241" i="1"/>
  <c r="E241" i="1"/>
  <c r="AL240" i="1"/>
  <c r="AK240" i="1"/>
  <c r="AI240" i="1"/>
  <c r="AD240" i="1"/>
  <c r="W240" i="1"/>
  <c r="AA240" i="1" s="1"/>
  <c r="AB240" i="1" s="1"/>
  <c r="U240" i="1"/>
  <c r="X240" i="1" s="1"/>
  <c r="R240" i="1"/>
  <c r="Z240" i="1" s="1"/>
  <c r="E240" i="1"/>
  <c r="AL239" i="1"/>
  <c r="AK239" i="1"/>
  <c r="AI239" i="1"/>
  <c r="AD239" i="1"/>
  <c r="Z239" i="1"/>
  <c r="U239" i="1"/>
  <c r="X239" i="1" s="1"/>
  <c r="R239" i="1"/>
  <c r="W239" i="1" s="1"/>
  <c r="AC239" i="1" s="1"/>
  <c r="E239" i="1"/>
  <c r="AL238" i="1"/>
  <c r="AK238" i="1"/>
  <c r="AI238" i="1"/>
  <c r="AD238" i="1"/>
  <c r="Z238" i="1"/>
  <c r="X238" i="1"/>
  <c r="U238" i="1"/>
  <c r="R238" i="1"/>
  <c r="W238" i="1" s="1"/>
  <c r="E238" i="1"/>
  <c r="AL237" i="1"/>
  <c r="AK237" i="1"/>
  <c r="AI237" i="1"/>
  <c r="AD237" i="1"/>
  <c r="Z237" i="1"/>
  <c r="Y237" i="1"/>
  <c r="W237" i="1"/>
  <c r="AC237" i="1" s="1"/>
  <c r="U237" i="1"/>
  <c r="X237" i="1" s="1"/>
  <c r="R237" i="1"/>
  <c r="E237" i="1"/>
  <c r="AL236" i="1"/>
  <c r="AK236" i="1"/>
  <c r="AI236" i="1"/>
  <c r="AD236" i="1"/>
  <c r="W236" i="1"/>
  <c r="U236" i="1"/>
  <c r="X236" i="1" s="1"/>
  <c r="R236" i="1"/>
  <c r="Z236" i="1" s="1"/>
  <c r="E236" i="1"/>
  <c r="AL235" i="1"/>
  <c r="AK235" i="1"/>
  <c r="AI235" i="1"/>
  <c r="AD235" i="1"/>
  <c r="X235" i="1"/>
  <c r="U235" i="1"/>
  <c r="R235" i="1"/>
  <c r="E235" i="1"/>
  <c r="AL234" i="1"/>
  <c r="AK234" i="1"/>
  <c r="AI234" i="1"/>
  <c r="AD234" i="1"/>
  <c r="X234" i="1"/>
  <c r="U234" i="1"/>
  <c r="R234" i="1"/>
  <c r="E234" i="1"/>
  <c r="AL233" i="1"/>
  <c r="AK233" i="1"/>
  <c r="AI233" i="1"/>
  <c r="AD233" i="1"/>
  <c r="Z233" i="1"/>
  <c r="Y233" i="1"/>
  <c r="W233" i="1"/>
  <c r="AC233" i="1" s="1"/>
  <c r="U233" i="1"/>
  <c r="X233" i="1" s="1"/>
  <c r="R233" i="1"/>
  <c r="E233" i="1"/>
  <c r="AL232" i="1"/>
  <c r="AK232" i="1"/>
  <c r="AI232" i="1"/>
  <c r="AD232" i="1"/>
  <c r="X232" i="1"/>
  <c r="W232" i="1"/>
  <c r="U232" i="1"/>
  <c r="R232" i="1"/>
  <c r="Z232" i="1" s="1"/>
  <c r="E232" i="1"/>
  <c r="AL231" i="1"/>
  <c r="AK231" i="1"/>
  <c r="AI231" i="1"/>
  <c r="AD231" i="1"/>
  <c r="Z231" i="1"/>
  <c r="U231" i="1"/>
  <c r="X231" i="1" s="1"/>
  <c r="R231" i="1"/>
  <c r="E231" i="1"/>
  <c r="AL230" i="1"/>
  <c r="AK230" i="1"/>
  <c r="AI230" i="1"/>
  <c r="AD230" i="1"/>
  <c r="Z230" i="1"/>
  <c r="X230" i="1"/>
  <c r="U230" i="1"/>
  <c r="R230" i="1"/>
  <c r="W230" i="1" s="1"/>
  <c r="AA230" i="1" s="1"/>
  <c r="AB230" i="1" s="1"/>
  <c r="E230" i="1"/>
  <c r="AL229" i="1"/>
  <c r="AK229" i="1"/>
  <c r="AI229" i="1"/>
  <c r="AD229" i="1"/>
  <c r="Z229" i="1"/>
  <c r="Y229" i="1"/>
  <c r="W229" i="1"/>
  <c r="AC229" i="1" s="1"/>
  <c r="U229" i="1"/>
  <c r="X229" i="1" s="1"/>
  <c r="R229" i="1"/>
  <c r="E229" i="1"/>
  <c r="AL228" i="1"/>
  <c r="AK228" i="1"/>
  <c r="AI228" i="1"/>
  <c r="AD228" i="1"/>
  <c r="W228" i="1"/>
  <c r="U228" i="1"/>
  <c r="X228" i="1" s="1"/>
  <c r="R228" i="1"/>
  <c r="Z228" i="1" s="1"/>
  <c r="E228" i="1"/>
  <c r="AL227" i="1"/>
  <c r="AK227" i="1"/>
  <c r="AI227" i="1"/>
  <c r="AD227" i="1"/>
  <c r="X227" i="1"/>
  <c r="U227" i="1"/>
  <c r="R227" i="1"/>
  <c r="E227" i="1"/>
  <c r="AL226" i="1"/>
  <c r="AK226" i="1"/>
  <c r="AI226" i="1"/>
  <c r="AD226" i="1"/>
  <c r="X226" i="1"/>
  <c r="U226" i="1"/>
  <c r="R226" i="1"/>
  <c r="E226" i="1"/>
  <c r="AL225" i="1"/>
  <c r="AK225" i="1"/>
  <c r="AI225" i="1"/>
  <c r="AD225" i="1"/>
  <c r="Z225" i="1"/>
  <c r="Y225" i="1"/>
  <c r="W225" i="1"/>
  <c r="AC225" i="1" s="1"/>
  <c r="U225" i="1"/>
  <c r="X225" i="1" s="1"/>
  <c r="R225" i="1"/>
  <c r="E225" i="1"/>
  <c r="AL224" i="1"/>
  <c r="AK224" i="1"/>
  <c r="AI224" i="1"/>
  <c r="AD224" i="1"/>
  <c r="X224" i="1"/>
  <c r="W224" i="1"/>
  <c r="U224" i="1"/>
  <c r="R224" i="1"/>
  <c r="Z224" i="1" s="1"/>
  <c r="E224" i="1"/>
  <c r="AL223" i="1"/>
  <c r="AK223" i="1"/>
  <c r="AI223" i="1"/>
  <c r="AD223" i="1"/>
  <c r="U223" i="1"/>
  <c r="X223" i="1" s="1"/>
  <c r="R223" i="1"/>
  <c r="E223" i="1"/>
  <c r="AL222" i="1"/>
  <c r="AK222" i="1"/>
  <c r="AI222" i="1"/>
  <c r="AD222" i="1"/>
  <c r="Z222" i="1"/>
  <c r="X222" i="1"/>
  <c r="U222" i="1"/>
  <c r="R222" i="1"/>
  <c r="W222" i="1" s="1"/>
  <c r="E222" i="1"/>
  <c r="AL221" i="1"/>
  <c r="AK221" i="1"/>
  <c r="AI221" i="1"/>
  <c r="AD221" i="1"/>
  <c r="Z221" i="1"/>
  <c r="Y221" i="1"/>
  <c r="W221" i="1"/>
  <c r="AC221" i="1" s="1"/>
  <c r="U221" i="1"/>
  <c r="X221" i="1" s="1"/>
  <c r="R221" i="1"/>
  <c r="E221" i="1"/>
  <c r="AL220" i="1"/>
  <c r="AK220" i="1"/>
  <c r="AI220" i="1"/>
  <c r="AD220" i="1"/>
  <c r="W220" i="1"/>
  <c r="U220" i="1"/>
  <c r="X220" i="1" s="1"/>
  <c r="R220" i="1"/>
  <c r="Z220" i="1" s="1"/>
  <c r="E220" i="1"/>
  <c r="AL219" i="1"/>
  <c r="AK219" i="1"/>
  <c r="AI219" i="1"/>
  <c r="AD219" i="1"/>
  <c r="X219" i="1"/>
  <c r="U219" i="1"/>
  <c r="R219" i="1"/>
  <c r="E219" i="1"/>
  <c r="AL218" i="1"/>
  <c r="AK218" i="1"/>
  <c r="AI218" i="1"/>
  <c r="AD218" i="1"/>
  <c r="X218" i="1"/>
  <c r="U218" i="1"/>
  <c r="R218" i="1"/>
  <c r="E218" i="1"/>
  <c r="AL217" i="1"/>
  <c r="AK217" i="1"/>
  <c r="AI217" i="1"/>
  <c r="AD217" i="1"/>
  <c r="Y217" i="1"/>
  <c r="W217" i="1"/>
  <c r="AC217" i="1" s="1"/>
  <c r="U217" i="1"/>
  <c r="X217" i="1" s="1"/>
  <c r="R217" i="1"/>
  <c r="E217" i="1"/>
  <c r="AL216" i="1"/>
  <c r="AK216" i="1"/>
  <c r="AI216" i="1"/>
  <c r="AD216" i="1"/>
  <c r="X216" i="1"/>
  <c r="W216" i="1"/>
  <c r="U216" i="1"/>
  <c r="R216" i="1"/>
  <c r="Z216" i="1" s="1"/>
  <c r="E216" i="1"/>
  <c r="AL215" i="1"/>
  <c r="AK215" i="1"/>
  <c r="AI215" i="1"/>
  <c r="AD215" i="1"/>
  <c r="Z215" i="1"/>
  <c r="U215" i="1"/>
  <c r="X215" i="1" s="1"/>
  <c r="R215" i="1"/>
  <c r="E215" i="1"/>
  <c r="AL214" i="1"/>
  <c r="AK214" i="1"/>
  <c r="AI214" i="1"/>
  <c r="AD214" i="1"/>
  <c r="AA214" i="1"/>
  <c r="AB214" i="1" s="1"/>
  <c r="Z214" i="1"/>
  <c r="X214" i="1"/>
  <c r="U214" i="1"/>
  <c r="R214" i="1"/>
  <c r="W214" i="1" s="1"/>
  <c r="E214" i="1"/>
  <c r="AL213" i="1"/>
  <c r="AK213" i="1"/>
  <c r="AI213" i="1"/>
  <c r="AD213" i="1"/>
  <c r="Z213" i="1"/>
  <c r="Y213" i="1"/>
  <c r="W213" i="1"/>
  <c r="AC213" i="1" s="1"/>
  <c r="U213" i="1"/>
  <c r="X213" i="1" s="1"/>
  <c r="R213" i="1"/>
  <c r="E213" i="1"/>
  <c r="AL212" i="1"/>
  <c r="AK212" i="1"/>
  <c r="AI212" i="1"/>
  <c r="AD212" i="1"/>
  <c r="W212" i="1"/>
  <c r="U212" i="1"/>
  <c r="X212" i="1" s="1"/>
  <c r="R212" i="1"/>
  <c r="Z212" i="1" s="1"/>
  <c r="E212" i="1"/>
  <c r="AL211" i="1"/>
  <c r="AK211" i="1"/>
  <c r="AI211" i="1"/>
  <c r="AD211" i="1"/>
  <c r="X211" i="1"/>
  <c r="U211" i="1"/>
  <c r="R211" i="1"/>
  <c r="E211" i="1"/>
  <c r="AL210" i="1"/>
  <c r="AK210" i="1"/>
  <c r="AI210" i="1"/>
  <c r="AD210" i="1"/>
  <c r="X210" i="1"/>
  <c r="U210" i="1"/>
  <c r="R210" i="1"/>
  <c r="E210" i="1"/>
  <c r="AL209" i="1"/>
  <c r="AK209" i="1"/>
  <c r="AI209" i="1"/>
  <c r="AD209" i="1"/>
  <c r="Y209" i="1"/>
  <c r="W209" i="1"/>
  <c r="AC209" i="1" s="1"/>
  <c r="U209" i="1"/>
  <c r="X209" i="1" s="1"/>
  <c r="R209" i="1"/>
  <c r="Z209" i="1" s="1"/>
  <c r="E209" i="1"/>
  <c r="AL208" i="1"/>
  <c r="AK208" i="1"/>
  <c r="AI208" i="1"/>
  <c r="AD208" i="1"/>
  <c r="W208" i="1"/>
  <c r="U208" i="1"/>
  <c r="X208" i="1" s="1"/>
  <c r="R208" i="1"/>
  <c r="Z208" i="1" s="1"/>
  <c r="E208" i="1"/>
  <c r="AL207" i="1"/>
  <c r="AK207" i="1"/>
  <c r="AI207" i="1"/>
  <c r="AD207" i="1"/>
  <c r="X207" i="1"/>
  <c r="U207" i="1"/>
  <c r="R207" i="1"/>
  <c r="Z207" i="1" s="1"/>
  <c r="E207" i="1"/>
  <c r="AL206" i="1"/>
  <c r="AK206" i="1"/>
  <c r="AI206" i="1"/>
  <c r="AD206" i="1"/>
  <c r="Z206" i="1"/>
  <c r="X206" i="1"/>
  <c r="U206" i="1"/>
  <c r="R206" i="1"/>
  <c r="W206" i="1" s="1"/>
  <c r="E206" i="1"/>
  <c r="AL205" i="1"/>
  <c r="AK205" i="1"/>
  <c r="AI205" i="1"/>
  <c r="AD205" i="1"/>
  <c r="Z205" i="1"/>
  <c r="Y205" i="1"/>
  <c r="W205" i="1"/>
  <c r="AC205" i="1" s="1"/>
  <c r="U205" i="1"/>
  <c r="X205" i="1" s="1"/>
  <c r="R205" i="1"/>
  <c r="E205" i="1"/>
  <c r="AL204" i="1"/>
  <c r="AK204" i="1"/>
  <c r="AI204" i="1"/>
  <c r="R204" i="1"/>
  <c r="W204" i="1" s="1"/>
  <c r="AC204" i="1" s="1"/>
  <c r="E204" i="1"/>
  <c r="AL203" i="1"/>
  <c r="AK203" i="1"/>
  <c r="AI203" i="1"/>
  <c r="AD203" i="1"/>
  <c r="U203" i="1"/>
  <c r="X203" i="1" s="1"/>
  <c r="R203" i="1"/>
  <c r="Z203" i="1" s="1"/>
  <c r="E203" i="1"/>
  <c r="AL202" i="1"/>
  <c r="AK202" i="1"/>
  <c r="AI202" i="1"/>
  <c r="U202" i="1"/>
  <c r="R202" i="1"/>
  <c r="W202" i="1" s="1"/>
  <c r="AC202" i="1" s="1"/>
  <c r="E202" i="1"/>
  <c r="AL201" i="1"/>
  <c r="AK201" i="1"/>
  <c r="AI201" i="1"/>
  <c r="AD201" i="1"/>
  <c r="Z201" i="1"/>
  <c r="Y201" i="1"/>
  <c r="X201" i="1"/>
  <c r="W201" i="1"/>
  <c r="AC201" i="1" s="1"/>
  <c r="U201" i="1"/>
  <c r="R201" i="1"/>
  <c r="E201" i="1"/>
  <c r="AL200" i="1"/>
  <c r="AK200" i="1"/>
  <c r="AI200" i="1"/>
  <c r="AD200" i="1"/>
  <c r="Z200" i="1"/>
  <c r="W200" i="1"/>
  <c r="U200" i="1"/>
  <c r="X200" i="1" s="1"/>
  <c r="R200" i="1"/>
  <c r="E200" i="1"/>
  <c r="AL199" i="1"/>
  <c r="AK199" i="1"/>
  <c r="AI199" i="1"/>
  <c r="AD199" i="1"/>
  <c r="X199" i="1"/>
  <c r="U199" i="1"/>
  <c r="R199" i="1"/>
  <c r="E199" i="1"/>
  <c r="AL198" i="1"/>
  <c r="AK198" i="1"/>
  <c r="AI198" i="1"/>
  <c r="AD198" i="1"/>
  <c r="U198" i="1"/>
  <c r="X198" i="1" s="1"/>
  <c r="R198" i="1"/>
  <c r="Z198" i="1" s="1"/>
  <c r="E198" i="1"/>
  <c r="AL197" i="1"/>
  <c r="AK197" i="1"/>
  <c r="AI197" i="1"/>
  <c r="AD197" i="1"/>
  <c r="Z197" i="1"/>
  <c r="Y197" i="1"/>
  <c r="U197" i="1"/>
  <c r="X197" i="1" s="1"/>
  <c r="R197" i="1"/>
  <c r="W197" i="1" s="1"/>
  <c r="E197" i="1"/>
  <c r="AL196" i="1"/>
  <c r="AK196" i="1"/>
  <c r="AI196" i="1"/>
  <c r="AD196" i="1"/>
  <c r="Z196" i="1"/>
  <c r="X196" i="1"/>
  <c r="W196" i="1"/>
  <c r="U196" i="1"/>
  <c r="R196" i="1"/>
  <c r="E196" i="1"/>
  <c r="AD195" i="1"/>
  <c r="Z195" i="1"/>
  <c r="X195" i="1"/>
  <c r="U195" i="1"/>
  <c r="R195" i="1"/>
  <c r="E195" i="1"/>
  <c r="AD194" i="1"/>
  <c r="X194" i="1"/>
  <c r="U194" i="1"/>
  <c r="R194" i="1"/>
  <c r="E194" i="1"/>
  <c r="AL193" i="1"/>
  <c r="AD193" i="1"/>
  <c r="Z193" i="1"/>
  <c r="Y193" i="1"/>
  <c r="U193" i="1"/>
  <c r="X193" i="1" s="1"/>
  <c r="R193" i="1"/>
  <c r="W193" i="1" s="1"/>
  <c r="E193" i="1"/>
  <c r="AL192" i="1"/>
  <c r="AK192" i="1"/>
  <c r="AI192" i="1"/>
  <c r="AD192" i="1"/>
  <c r="Z192" i="1"/>
  <c r="X192" i="1"/>
  <c r="W192" i="1"/>
  <c r="U192" i="1"/>
  <c r="R192" i="1"/>
  <c r="E192" i="1"/>
  <c r="W191" i="1"/>
  <c r="AC191" i="1" s="1"/>
  <c r="E191" i="1"/>
  <c r="AL190" i="1"/>
  <c r="AK190" i="1"/>
  <c r="AI190" i="1"/>
  <c r="AD190" i="1"/>
  <c r="Z190" i="1"/>
  <c r="X190" i="1"/>
  <c r="U190" i="1"/>
  <c r="R190" i="1"/>
  <c r="W190" i="1" s="1"/>
  <c r="E190" i="1"/>
  <c r="AL189" i="1"/>
  <c r="AK189" i="1"/>
  <c r="AI189" i="1"/>
  <c r="AD189" i="1"/>
  <c r="Y189" i="1"/>
  <c r="W189" i="1"/>
  <c r="AC189" i="1" s="1"/>
  <c r="U189" i="1"/>
  <c r="X189" i="1" s="1"/>
  <c r="R189" i="1"/>
  <c r="Z189" i="1" s="1"/>
  <c r="E189" i="1"/>
  <c r="AL188" i="1"/>
  <c r="AK188" i="1"/>
  <c r="AI188" i="1"/>
  <c r="AD188" i="1"/>
  <c r="W188" i="1"/>
  <c r="U188" i="1"/>
  <c r="X188" i="1" s="1"/>
  <c r="R188" i="1"/>
  <c r="Z188" i="1" s="1"/>
  <c r="E188" i="1"/>
  <c r="AL187" i="1"/>
  <c r="AK187" i="1"/>
  <c r="AI187" i="1"/>
  <c r="AD187" i="1"/>
  <c r="Z187" i="1"/>
  <c r="X187" i="1"/>
  <c r="U187" i="1"/>
  <c r="R187" i="1"/>
  <c r="E187" i="1"/>
  <c r="AL186" i="1"/>
  <c r="AK186" i="1"/>
  <c r="AI186" i="1"/>
  <c r="AD186" i="1"/>
  <c r="X186" i="1"/>
  <c r="U186" i="1"/>
  <c r="R186" i="1"/>
  <c r="E186" i="1"/>
  <c r="AL185" i="1"/>
  <c r="AK185" i="1"/>
  <c r="AI185" i="1"/>
  <c r="AD185" i="1"/>
  <c r="U185" i="1"/>
  <c r="X185" i="1" s="1"/>
  <c r="R185" i="1"/>
  <c r="E185" i="1"/>
  <c r="AL184" i="1"/>
  <c r="AK184" i="1"/>
  <c r="AI184" i="1"/>
  <c r="AD184" i="1"/>
  <c r="W184" i="1"/>
  <c r="U184" i="1"/>
  <c r="X184" i="1" s="1"/>
  <c r="R184" i="1"/>
  <c r="Z184" i="1" s="1"/>
  <c r="E184" i="1"/>
  <c r="AL183" i="1"/>
  <c r="AK183" i="1"/>
  <c r="AI183" i="1"/>
  <c r="AD183" i="1"/>
  <c r="X183" i="1"/>
  <c r="U183" i="1"/>
  <c r="R183" i="1"/>
  <c r="E183" i="1"/>
  <c r="AL182" i="1"/>
  <c r="AK182" i="1"/>
  <c r="AI182" i="1"/>
  <c r="AD182" i="1"/>
  <c r="AC182" i="1"/>
  <c r="AA182" i="1"/>
  <c r="AB182" i="1" s="1"/>
  <c r="Z182" i="1"/>
  <c r="Y182" i="1"/>
  <c r="X182" i="1"/>
  <c r="W182" i="1"/>
  <c r="U182" i="1"/>
  <c r="R182" i="1"/>
  <c r="E182" i="1"/>
  <c r="AL181" i="1"/>
  <c r="AK181" i="1"/>
  <c r="AI181" i="1"/>
  <c r="AD181" i="1"/>
  <c r="AB181" i="1"/>
  <c r="Y181" i="1"/>
  <c r="W181" i="1"/>
  <c r="AC181" i="1" s="1"/>
  <c r="U181" i="1"/>
  <c r="X181" i="1" s="1"/>
  <c r="R181" i="1"/>
  <c r="Z181" i="1" s="1"/>
  <c r="E181" i="1"/>
  <c r="AL180" i="1"/>
  <c r="AK180" i="1"/>
  <c r="AI180" i="1"/>
  <c r="AD180" i="1"/>
  <c r="W180" i="1"/>
  <c r="U180" i="1"/>
  <c r="X180" i="1" s="1"/>
  <c r="R180" i="1"/>
  <c r="Z180" i="1" s="1"/>
  <c r="E180" i="1"/>
  <c r="AL179" i="1"/>
  <c r="AK179" i="1"/>
  <c r="AI179" i="1"/>
  <c r="AD179" i="1"/>
  <c r="X179" i="1"/>
  <c r="U179" i="1"/>
  <c r="R179" i="1"/>
  <c r="E179" i="1"/>
  <c r="AL178" i="1"/>
  <c r="AK178" i="1"/>
  <c r="AI178" i="1"/>
  <c r="AD178" i="1"/>
  <c r="X178" i="1"/>
  <c r="U178" i="1"/>
  <c r="R178" i="1"/>
  <c r="E178" i="1"/>
  <c r="AL177" i="1"/>
  <c r="AK177" i="1"/>
  <c r="AI177" i="1"/>
  <c r="AD177" i="1"/>
  <c r="U177" i="1"/>
  <c r="X177" i="1" s="1"/>
  <c r="R177" i="1"/>
  <c r="E177" i="1"/>
  <c r="AL176" i="1"/>
  <c r="AK176" i="1"/>
  <c r="AI176" i="1"/>
  <c r="AD176" i="1"/>
  <c r="AB176" i="1"/>
  <c r="W176" i="1"/>
  <c r="U176" i="1"/>
  <c r="X176" i="1" s="1"/>
  <c r="R176" i="1"/>
  <c r="Z176" i="1" s="1"/>
  <c r="E176" i="1"/>
  <c r="AL175" i="1"/>
  <c r="AK175" i="1"/>
  <c r="AI175" i="1"/>
  <c r="AD175" i="1"/>
  <c r="X175" i="1"/>
  <c r="U175" i="1"/>
  <c r="R175" i="1"/>
  <c r="E175" i="1"/>
  <c r="AL174" i="1"/>
  <c r="AK174" i="1"/>
  <c r="AI174" i="1"/>
  <c r="AD174" i="1"/>
  <c r="AA174" i="1"/>
  <c r="Z174" i="1"/>
  <c r="X174" i="1"/>
  <c r="U174" i="1"/>
  <c r="R174" i="1"/>
  <c r="W174" i="1" s="1"/>
  <c r="E174" i="1"/>
  <c r="AL173" i="1"/>
  <c r="AK173" i="1"/>
  <c r="AI173" i="1"/>
  <c r="AD173" i="1"/>
  <c r="Y173" i="1"/>
  <c r="W173" i="1"/>
  <c r="AC173" i="1" s="1"/>
  <c r="U173" i="1"/>
  <c r="X173" i="1" s="1"/>
  <c r="R173" i="1"/>
  <c r="Z173" i="1" s="1"/>
  <c r="E173" i="1"/>
  <c r="AL172" i="1"/>
  <c r="AK172" i="1"/>
  <c r="AI172" i="1"/>
  <c r="AD172" i="1"/>
  <c r="W172" i="1"/>
  <c r="U172" i="1"/>
  <c r="X172" i="1" s="1"/>
  <c r="R172" i="1"/>
  <c r="Z172" i="1" s="1"/>
  <c r="E172" i="1"/>
  <c r="AL171" i="1"/>
  <c r="AK171" i="1"/>
  <c r="AI171" i="1"/>
  <c r="AD171" i="1"/>
  <c r="X171" i="1"/>
  <c r="U171" i="1"/>
  <c r="R171" i="1"/>
  <c r="Z171" i="1" s="1"/>
  <c r="E171" i="1"/>
  <c r="AL170" i="1"/>
  <c r="AK170" i="1"/>
  <c r="AI170" i="1"/>
  <c r="AD170" i="1"/>
  <c r="Z170" i="1"/>
  <c r="X170" i="1"/>
  <c r="U170" i="1"/>
  <c r="R170" i="1"/>
  <c r="E170" i="1"/>
  <c r="AL169" i="1"/>
  <c r="AK169" i="1"/>
  <c r="AI169" i="1"/>
  <c r="AD169" i="1"/>
  <c r="Y169" i="1"/>
  <c r="W169" i="1"/>
  <c r="AC169" i="1" s="1"/>
  <c r="U169" i="1"/>
  <c r="X169" i="1" s="1"/>
  <c r="R169" i="1"/>
  <c r="E169" i="1"/>
  <c r="AL168" i="1"/>
  <c r="AK168" i="1"/>
  <c r="AI168" i="1"/>
  <c r="AD168" i="1"/>
  <c r="W168" i="1"/>
  <c r="U168" i="1"/>
  <c r="X168" i="1" s="1"/>
  <c r="R168" i="1"/>
  <c r="Z168" i="1" s="1"/>
  <c r="E168" i="1"/>
  <c r="AL167" i="1"/>
  <c r="AK167" i="1"/>
  <c r="AI167" i="1"/>
  <c r="AD167" i="1"/>
  <c r="U167" i="1"/>
  <c r="X167" i="1" s="1"/>
  <c r="R167" i="1"/>
  <c r="E167" i="1"/>
  <c r="AL166" i="1"/>
  <c r="AK166" i="1"/>
  <c r="AI166" i="1"/>
  <c r="AD166" i="1"/>
  <c r="Z166" i="1"/>
  <c r="X166" i="1"/>
  <c r="U166" i="1"/>
  <c r="R166" i="1"/>
  <c r="W166" i="1" s="1"/>
  <c r="AA166" i="1" s="1"/>
  <c r="AB166" i="1" s="1"/>
  <c r="E166" i="1"/>
  <c r="AL165" i="1"/>
  <c r="AK165" i="1"/>
  <c r="AI165" i="1"/>
  <c r="AD165" i="1"/>
  <c r="Z165" i="1"/>
  <c r="Y165" i="1"/>
  <c r="W165" i="1"/>
  <c r="AC165" i="1" s="1"/>
  <c r="U165" i="1"/>
  <c r="X165" i="1" s="1"/>
  <c r="R165" i="1"/>
  <c r="E165" i="1"/>
  <c r="AL164" i="1"/>
  <c r="AK164" i="1"/>
  <c r="AI164" i="1"/>
  <c r="AD164" i="1"/>
  <c r="X164" i="1"/>
  <c r="W164" i="1"/>
  <c r="U164" i="1"/>
  <c r="R164" i="1"/>
  <c r="Z164" i="1" s="1"/>
  <c r="E164" i="1"/>
  <c r="AL163" i="1"/>
  <c r="AK163" i="1"/>
  <c r="AI163" i="1"/>
  <c r="AD163" i="1"/>
  <c r="Z163" i="1"/>
  <c r="S163" i="1"/>
  <c r="R163" i="1"/>
  <c r="E163" i="1"/>
  <c r="AL162" i="1"/>
  <c r="AI162" i="1"/>
  <c r="AD162" i="1"/>
  <c r="X162" i="1"/>
  <c r="S162" i="1"/>
  <c r="U162" i="1" s="1"/>
  <c r="R162" i="1"/>
  <c r="E162" i="1"/>
  <c r="AL161" i="1"/>
  <c r="AK161" i="1"/>
  <c r="AI161" i="1"/>
  <c r="AD161" i="1"/>
  <c r="Z161" i="1"/>
  <c r="W161" i="1"/>
  <c r="U161" i="1"/>
  <c r="X161" i="1" s="1"/>
  <c r="R161" i="1"/>
  <c r="E161" i="1"/>
  <c r="AL160" i="1"/>
  <c r="AK160" i="1"/>
  <c r="AI160" i="1"/>
  <c r="AD160" i="1"/>
  <c r="X160" i="1"/>
  <c r="U160" i="1"/>
  <c r="R160" i="1"/>
  <c r="E160" i="1"/>
  <c r="AL159" i="1"/>
  <c r="AK159" i="1"/>
  <c r="AI159" i="1"/>
  <c r="AD159" i="1"/>
  <c r="U159" i="1"/>
  <c r="X159" i="1" s="1"/>
  <c r="R159" i="1"/>
  <c r="Z159" i="1" s="1"/>
  <c r="E159" i="1"/>
  <c r="AL158" i="1"/>
  <c r="AK158" i="1"/>
  <c r="AI158" i="1"/>
  <c r="AD158" i="1"/>
  <c r="Z158" i="1"/>
  <c r="Y158" i="1"/>
  <c r="W158" i="1"/>
  <c r="AC158" i="1" s="1"/>
  <c r="U158" i="1"/>
  <c r="X158" i="1" s="1"/>
  <c r="R158" i="1"/>
  <c r="E158" i="1"/>
  <c r="AL157" i="1"/>
  <c r="AK157" i="1"/>
  <c r="AI157" i="1"/>
  <c r="AD157" i="1"/>
  <c r="Z157" i="1"/>
  <c r="X157" i="1"/>
  <c r="W157" i="1"/>
  <c r="U157" i="1"/>
  <c r="R157" i="1"/>
  <c r="E157" i="1"/>
  <c r="AL156" i="1"/>
  <c r="AK156" i="1"/>
  <c r="AI156" i="1"/>
  <c r="AD156" i="1"/>
  <c r="X156" i="1"/>
  <c r="U156" i="1"/>
  <c r="R156" i="1"/>
  <c r="E156" i="1"/>
  <c r="AL155" i="1"/>
  <c r="AK155" i="1"/>
  <c r="AI155" i="1"/>
  <c r="AD155" i="1"/>
  <c r="AA155" i="1"/>
  <c r="AB155" i="1" s="1"/>
  <c r="W155" i="1"/>
  <c r="AC155" i="1" s="1"/>
  <c r="U155" i="1"/>
  <c r="X155" i="1" s="1"/>
  <c r="R155" i="1"/>
  <c r="Z155" i="1" s="1"/>
  <c r="E155" i="1"/>
  <c r="AL154" i="1"/>
  <c r="AK154" i="1"/>
  <c r="AI154" i="1"/>
  <c r="AD154" i="1"/>
  <c r="U154" i="1"/>
  <c r="X154" i="1" s="1"/>
  <c r="R154" i="1"/>
  <c r="Z154" i="1" s="1"/>
  <c r="E154" i="1"/>
  <c r="AL153" i="1"/>
  <c r="AK153" i="1"/>
  <c r="AI153" i="1"/>
  <c r="AD153" i="1"/>
  <c r="Z153" i="1"/>
  <c r="X153" i="1"/>
  <c r="W153" i="1"/>
  <c r="U153" i="1"/>
  <c r="R153" i="1"/>
  <c r="E153" i="1"/>
  <c r="AL152" i="1"/>
  <c r="AK152" i="1"/>
  <c r="AI152" i="1"/>
  <c r="AD152" i="1"/>
  <c r="X152" i="1"/>
  <c r="U152" i="1"/>
  <c r="R152" i="1"/>
  <c r="E152" i="1"/>
  <c r="AL151" i="1"/>
  <c r="AK151" i="1"/>
  <c r="AI151" i="1"/>
  <c r="AD151" i="1"/>
  <c r="AA151" i="1"/>
  <c r="Z151" i="1"/>
  <c r="U151" i="1"/>
  <c r="X151" i="1" s="1"/>
  <c r="R151" i="1"/>
  <c r="W151" i="1" s="1"/>
  <c r="AC151" i="1" s="1"/>
  <c r="E151" i="1"/>
  <c r="AL150" i="1"/>
  <c r="AK150" i="1"/>
  <c r="AI150" i="1"/>
  <c r="AD150" i="1"/>
  <c r="X150" i="1"/>
  <c r="U150" i="1"/>
  <c r="R150" i="1"/>
  <c r="E150" i="1"/>
  <c r="AL149" i="1"/>
  <c r="AK149" i="1"/>
  <c r="AI149" i="1"/>
  <c r="AD149" i="1"/>
  <c r="Z149" i="1"/>
  <c r="U149" i="1"/>
  <c r="X149" i="1" s="1"/>
  <c r="R149" i="1"/>
  <c r="E149" i="1"/>
  <c r="AL148" i="1"/>
  <c r="AK148" i="1"/>
  <c r="AI148" i="1"/>
  <c r="AD148" i="1"/>
  <c r="X148" i="1"/>
  <c r="U148" i="1"/>
  <c r="R148" i="1"/>
  <c r="Z148" i="1" s="1"/>
  <c r="E148" i="1"/>
  <c r="AL147" i="1"/>
  <c r="AK147" i="1"/>
  <c r="AI147" i="1"/>
  <c r="AD147" i="1"/>
  <c r="AC147" i="1"/>
  <c r="AA147" i="1"/>
  <c r="AB147" i="1" s="1"/>
  <c r="Z147" i="1"/>
  <c r="Y147" i="1"/>
  <c r="W147" i="1"/>
  <c r="U147" i="1"/>
  <c r="X147" i="1" s="1"/>
  <c r="R147" i="1"/>
  <c r="E147" i="1"/>
  <c r="AI146" i="1"/>
  <c r="AD146" i="1"/>
  <c r="X146" i="1"/>
  <c r="W146" i="1"/>
  <c r="AC146" i="1" s="1"/>
  <c r="U146" i="1"/>
  <c r="R146" i="1"/>
  <c r="Z146" i="1" s="1"/>
  <c r="E146" i="1"/>
  <c r="AL145" i="1"/>
  <c r="AK145" i="1"/>
  <c r="AI145" i="1"/>
  <c r="AD145" i="1"/>
  <c r="U145" i="1"/>
  <c r="X145" i="1" s="1"/>
  <c r="R145" i="1"/>
  <c r="E145" i="1"/>
  <c r="AL144" i="1"/>
  <c r="AK144" i="1"/>
  <c r="AI144" i="1"/>
  <c r="AD144" i="1"/>
  <c r="Z144" i="1"/>
  <c r="W144" i="1"/>
  <c r="AC144" i="1" s="1"/>
  <c r="U144" i="1"/>
  <c r="X144" i="1" s="1"/>
  <c r="R144" i="1"/>
  <c r="E144" i="1"/>
  <c r="AL143" i="1"/>
  <c r="AK143" i="1"/>
  <c r="AI143" i="1"/>
  <c r="W143" i="1"/>
  <c r="AC143" i="1" s="1"/>
  <c r="U143" i="1"/>
  <c r="R143" i="1"/>
  <c r="E143" i="1"/>
  <c r="AL142" i="1"/>
  <c r="AK142" i="1"/>
  <c r="AI142" i="1"/>
  <c r="W142" i="1"/>
  <c r="AC142" i="1" s="1"/>
  <c r="U142" i="1"/>
  <c r="R142" i="1"/>
  <c r="E142" i="1"/>
  <c r="AL141" i="1"/>
  <c r="AK141" i="1"/>
  <c r="AI141" i="1"/>
  <c r="AD141" i="1"/>
  <c r="X141" i="1"/>
  <c r="U141" i="1"/>
  <c r="R141" i="1"/>
  <c r="E141" i="1"/>
  <c r="AL140" i="1"/>
  <c r="AK140" i="1"/>
  <c r="AI140" i="1"/>
  <c r="AD140" i="1"/>
  <c r="Z140" i="1"/>
  <c r="U140" i="1"/>
  <c r="X140" i="1" s="1"/>
  <c r="R140" i="1"/>
  <c r="E140" i="1"/>
  <c r="AL139" i="1"/>
  <c r="AK139" i="1"/>
  <c r="AI139" i="1"/>
  <c r="AD139" i="1"/>
  <c r="X139" i="1"/>
  <c r="U139" i="1"/>
  <c r="R139" i="1"/>
  <c r="Z139" i="1" s="1"/>
  <c r="E139" i="1"/>
  <c r="AL138" i="1"/>
  <c r="AK138" i="1"/>
  <c r="AI138" i="1"/>
  <c r="AD138" i="1"/>
  <c r="AC138" i="1"/>
  <c r="AA138" i="1"/>
  <c r="AB138" i="1" s="1"/>
  <c r="Z138" i="1"/>
  <c r="Y138" i="1"/>
  <c r="W138" i="1"/>
  <c r="U138" i="1"/>
  <c r="X138" i="1" s="1"/>
  <c r="R138" i="1"/>
  <c r="E138" i="1"/>
  <c r="AL137" i="1"/>
  <c r="AK137" i="1"/>
  <c r="AI137" i="1"/>
  <c r="AD137" i="1"/>
  <c r="Z137" i="1"/>
  <c r="Y137" i="1"/>
  <c r="X137" i="1"/>
  <c r="W137" i="1"/>
  <c r="AC137" i="1" s="1"/>
  <c r="U137" i="1"/>
  <c r="R137" i="1"/>
  <c r="E137" i="1"/>
  <c r="AL136" i="1"/>
  <c r="AK136" i="1"/>
  <c r="AI136" i="1"/>
  <c r="AD136" i="1"/>
  <c r="X136" i="1"/>
  <c r="W136" i="1"/>
  <c r="AC136" i="1" s="1"/>
  <c r="U136" i="1"/>
  <c r="R136" i="1"/>
  <c r="Z136" i="1" s="1"/>
  <c r="E136" i="1"/>
  <c r="AL135" i="1"/>
  <c r="AK135" i="1"/>
  <c r="AI135" i="1"/>
  <c r="AD135" i="1"/>
  <c r="U135" i="1"/>
  <c r="X135" i="1" s="1"/>
  <c r="R135" i="1"/>
  <c r="E135" i="1"/>
  <c r="AL134" i="1"/>
  <c r="AK134" i="1"/>
  <c r="AI134" i="1"/>
  <c r="AD134" i="1"/>
  <c r="Z134" i="1"/>
  <c r="W134" i="1"/>
  <c r="AC134" i="1" s="1"/>
  <c r="U134" i="1"/>
  <c r="X134" i="1" s="1"/>
  <c r="R134" i="1"/>
  <c r="E134" i="1"/>
  <c r="AC133" i="1"/>
  <c r="W133" i="1"/>
  <c r="E133" i="1"/>
  <c r="AL132" i="1"/>
  <c r="AK132" i="1"/>
  <c r="AI132" i="1"/>
  <c r="AD132" i="1"/>
  <c r="X132" i="1"/>
  <c r="U132" i="1"/>
  <c r="R132" i="1"/>
  <c r="E132" i="1"/>
  <c r="W131" i="1"/>
  <c r="AC131" i="1" s="1"/>
  <c r="E131" i="1"/>
  <c r="AL130" i="1"/>
  <c r="AK130" i="1"/>
  <c r="AI130" i="1"/>
  <c r="AD130" i="1"/>
  <c r="U130" i="1"/>
  <c r="X130" i="1" s="1"/>
  <c r="R130" i="1"/>
  <c r="E130" i="1"/>
  <c r="AC129" i="1"/>
  <c r="W129" i="1"/>
  <c r="E129" i="1"/>
  <c r="AL128" i="1"/>
  <c r="AK128" i="1"/>
  <c r="AI128" i="1"/>
  <c r="AD128" i="1"/>
  <c r="Z128" i="1"/>
  <c r="W128" i="1"/>
  <c r="AC128" i="1" s="1"/>
  <c r="U128" i="1"/>
  <c r="X128" i="1" s="1"/>
  <c r="R128" i="1"/>
  <c r="E128" i="1"/>
  <c r="AL127" i="1"/>
  <c r="AK127" i="1"/>
  <c r="AI127" i="1"/>
  <c r="AD127" i="1"/>
  <c r="X127" i="1"/>
  <c r="U127" i="1"/>
  <c r="R127" i="1"/>
  <c r="W127" i="1" s="1"/>
  <c r="E127" i="1"/>
  <c r="AL126" i="1"/>
  <c r="AK126" i="1"/>
  <c r="AI126" i="1"/>
  <c r="AD126" i="1"/>
  <c r="U126" i="1"/>
  <c r="X126" i="1" s="1"/>
  <c r="R126" i="1"/>
  <c r="E126" i="1"/>
  <c r="AL125" i="1"/>
  <c r="AK125" i="1"/>
  <c r="AI125" i="1"/>
  <c r="AD125" i="1"/>
  <c r="AA125" i="1"/>
  <c r="W125" i="1"/>
  <c r="AC125" i="1" s="1"/>
  <c r="U125" i="1"/>
  <c r="X125" i="1" s="1"/>
  <c r="R125" i="1"/>
  <c r="AB125" i="1" s="1"/>
  <c r="E125" i="1"/>
  <c r="AL124" i="1"/>
  <c r="AK124" i="1"/>
  <c r="AI124" i="1"/>
  <c r="AD124" i="1"/>
  <c r="Y124" i="1"/>
  <c r="W124" i="1"/>
  <c r="AA124" i="1" s="1"/>
  <c r="AB124" i="1" s="1"/>
  <c r="U124" i="1"/>
  <c r="X124" i="1" s="1"/>
  <c r="R124" i="1"/>
  <c r="Z124" i="1" s="1"/>
  <c r="E124" i="1"/>
  <c r="AL123" i="1"/>
  <c r="AK123" i="1"/>
  <c r="AI123" i="1"/>
  <c r="AD123" i="1"/>
  <c r="AC123" i="1"/>
  <c r="Z123" i="1"/>
  <c r="X123" i="1"/>
  <c r="W123" i="1"/>
  <c r="Y123" i="1" s="1"/>
  <c r="U123" i="1"/>
  <c r="R123" i="1"/>
  <c r="E123" i="1"/>
  <c r="AL122" i="1"/>
  <c r="AK122" i="1"/>
  <c r="AI122" i="1"/>
  <c r="AD122" i="1"/>
  <c r="Z122" i="1"/>
  <c r="X122" i="1"/>
  <c r="U122" i="1"/>
  <c r="R122" i="1"/>
  <c r="W122" i="1" s="1"/>
  <c r="E122" i="1"/>
  <c r="AL121" i="1"/>
  <c r="AK121" i="1"/>
  <c r="AI121" i="1"/>
  <c r="AD121" i="1"/>
  <c r="AA121" i="1"/>
  <c r="AB121" i="1" s="1"/>
  <c r="Z121" i="1"/>
  <c r="Y121" i="1"/>
  <c r="X121" i="1"/>
  <c r="W121" i="1"/>
  <c r="AC121" i="1" s="1"/>
  <c r="U121" i="1"/>
  <c r="R121" i="1"/>
  <c r="E121" i="1"/>
  <c r="AL120" i="1"/>
  <c r="AK120" i="1"/>
  <c r="AI120" i="1"/>
  <c r="AD120" i="1"/>
  <c r="Z120" i="1"/>
  <c r="W120" i="1"/>
  <c r="AC120" i="1" s="1"/>
  <c r="U120" i="1"/>
  <c r="X120" i="1" s="1"/>
  <c r="R120" i="1"/>
  <c r="E120" i="1"/>
  <c r="AL119" i="1"/>
  <c r="AK119" i="1"/>
  <c r="AI119" i="1"/>
  <c r="AD119" i="1"/>
  <c r="X119" i="1"/>
  <c r="U119" i="1"/>
  <c r="R119" i="1"/>
  <c r="W119" i="1" s="1"/>
  <c r="E119" i="1"/>
  <c r="AL118" i="1"/>
  <c r="AK118" i="1"/>
  <c r="AI118" i="1"/>
  <c r="AD118" i="1"/>
  <c r="U118" i="1"/>
  <c r="X118" i="1" s="1"/>
  <c r="R118" i="1"/>
  <c r="E118" i="1"/>
  <c r="AL117" i="1"/>
  <c r="AK117" i="1"/>
  <c r="AI117" i="1"/>
  <c r="AD117" i="1"/>
  <c r="AA117" i="1"/>
  <c r="AB117" i="1" s="1"/>
  <c r="Y117" i="1"/>
  <c r="W117" i="1"/>
  <c r="AC117" i="1" s="1"/>
  <c r="U117" i="1"/>
  <c r="X117" i="1" s="1"/>
  <c r="R117" i="1"/>
  <c r="Z117" i="1" s="1"/>
  <c r="E117" i="1"/>
  <c r="AL116" i="1"/>
  <c r="AK116" i="1"/>
  <c r="AI116" i="1"/>
  <c r="AD116" i="1"/>
  <c r="Y116" i="1"/>
  <c r="W116" i="1"/>
  <c r="AA116" i="1" s="1"/>
  <c r="AB116" i="1" s="1"/>
  <c r="U116" i="1"/>
  <c r="X116" i="1" s="1"/>
  <c r="R116" i="1"/>
  <c r="Z116" i="1" s="1"/>
  <c r="E116" i="1"/>
  <c r="AL115" i="1"/>
  <c r="AK115" i="1"/>
  <c r="AI115" i="1"/>
  <c r="AD115" i="1"/>
  <c r="AC115" i="1"/>
  <c r="Z115" i="1"/>
  <c r="X115" i="1"/>
  <c r="W115" i="1"/>
  <c r="Y115" i="1" s="1"/>
  <c r="U115" i="1"/>
  <c r="R115" i="1"/>
  <c r="E115" i="1"/>
  <c r="AL114" i="1"/>
  <c r="AK114" i="1"/>
  <c r="AI114" i="1"/>
  <c r="AD114" i="1"/>
  <c r="Z114" i="1"/>
  <c r="X114" i="1"/>
  <c r="U114" i="1"/>
  <c r="R114" i="1"/>
  <c r="W114" i="1" s="1"/>
  <c r="E114" i="1"/>
  <c r="AL113" i="1"/>
  <c r="AK113" i="1"/>
  <c r="AI113" i="1"/>
  <c r="AD113" i="1"/>
  <c r="AA113" i="1"/>
  <c r="AB113" i="1" s="1"/>
  <c r="Z113" i="1"/>
  <c r="Y113" i="1"/>
  <c r="X113" i="1"/>
  <c r="W113" i="1"/>
  <c r="AC113" i="1" s="1"/>
  <c r="U113" i="1"/>
  <c r="R113" i="1"/>
  <c r="E113" i="1"/>
  <c r="AL112" i="1"/>
  <c r="AK112" i="1"/>
  <c r="AI112" i="1"/>
  <c r="AD112" i="1"/>
  <c r="Z112" i="1"/>
  <c r="W112" i="1"/>
  <c r="AC112" i="1" s="1"/>
  <c r="U112" i="1"/>
  <c r="X112" i="1" s="1"/>
  <c r="R112" i="1"/>
  <c r="E112" i="1"/>
  <c r="AL111" i="1"/>
  <c r="AK111" i="1"/>
  <c r="AI111" i="1"/>
  <c r="AD111" i="1"/>
  <c r="X111" i="1"/>
  <c r="U111" i="1"/>
  <c r="R111" i="1"/>
  <c r="W111" i="1" s="1"/>
  <c r="E111" i="1"/>
  <c r="AL110" i="1"/>
  <c r="AK110" i="1"/>
  <c r="AI110" i="1"/>
  <c r="AD110" i="1"/>
  <c r="U110" i="1"/>
  <c r="X110" i="1" s="1"/>
  <c r="R110" i="1"/>
  <c r="E110" i="1"/>
  <c r="AL109" i="1"/>
  <c r="AK109" i="1"/>
  <c r="AI109" i="1"/>
  <c r="AD109" i="1"/>
  <c r="AA109" i="1"/>
  <c r="AB109" i="1" s="1"/>
  <c r="Y109" i="1"/>
  <c r="W109" i="1"/>
  <c r="AC109" i="1" s="1"/>
  <c r="U109" i="1"/>
  <c r="X109" i="1" s="1"/>
  <c r="R109" i="1"/>
  <c r="Z109" i="1" s="1"/>
  <c r="E109" i="1"/>
  <c r="AL108" i="1"/>
  <c r="AK108" i="1"/>
  <c r="AI108" i="1"/>
  <c r="AD108" i="1"/>
  <c r="Y108" i="1"/>
  <c r="W108" i="1"/>
  <c r="AA108" i="1" s="1"/>
  <c r="AB108" i="1" s="1"/>
  <c r="U108" i="1"/>
  <c r="X108" i="1" s="1"/>
  <c r="R108" i="1"/>
  <c r="Z108" i="1" s="1"/>
  <c r="E108" i="1"/>
  <c r="AL107" i="1"/>
  <c r="AK107" i="1"/>
  <c r="AI107" i="1"/>
  <c r="AD107" i="1"/>
  <c r="AC107" i="1"/>
  <c r="Z107" i="1"/>
  <c r="X107" i="1"/>
  <c r="W107" i="1"/>
  <c r="Y107" i="1" s="1"/>
  <c r="U107" i="1"/>
  <c r="R107" i="1"/>
  <c r="E107" i="1"/>
  <c r="AL106" i="1"/>
  <c r="AK106" i="1"/>
  <c r="AI106" i="1"/>
  <c r="AD106" i="1"/>
  <c r="Z106" i="1"/>
  <c r="X106" i="1"/>
  <c r="U106" i="1"/>
  <c r="R106" i="1"/>
  <c r="W106" i="1" s="1"/>
  <c r="E106" i="1"/>
  <c r="AL105" i="1"/>
  <c r="AK105" i="1"/>
  <c r="AI105" i="1"/>
  <c r="AD105" i="1"/>
  <c r="AA105" i="1"/>
  <c r="AB105" i="1" s="1"/>
  <c r="Z105" i="1"/>
  <c r="Y105" i="1"/>
  <c r="X105" i="1"/>
  <c r="W105" i="1"/>
  <c r="AC105" i="1" s="1"/>
  <c r="U105" i="1"/>
  <c r="R105" i="1"/>
  <c r="E105" i="1"/>
  <c r="AL104" i="1"/>
  <c r="AK104" i="1"/>
  <c r="AI104" i="1"/>
  <c r="AD104" i="1"/>
  <c r="Z104" i="1"/>
  <c r="W104" i="1"/>
  <c r="AC104" i="1" s="1"/>
  <c r="U104" i="1"/>
  <c r="X104" i="1" s="1"/>
  <c r="R104" i="1"/>
  <c r="E104" i="1"/>
  <c r="AL103" i="1"/>
  <c r="AK103" i="1"/>
  <c r="AI103" i="1"/>
  <c r="AD103" i="1"/>
  <c r="X103" i="1"/>
  <c r="U103" i="1"/>
  <c r="R103" i="1"/>
  <c r="W103" i="1" s="1"/>
  <c r="E103" i="1"/>
  <c r="AL102" i="1"/>
  <c r="AK102" i="1"/>
  <c r="AI102" i="1"/>
  <c r="AD102" i="1"/>
  <c r="U102" i="1"/>
  <c r="X102" i="1" s="1"/>
  <c r="R102" i="1"/>
  <c r="E102" i="1"/>
  <c r="AL101" i="1"/>
  <c r="AK101" i="1"/>
  <c r="AI101" i="1"/>
  <c r="AD101" i="1"/>
  <c r="AA101" i="1"/>
  <c r="Y101" i="1"/>
  <c r="W101" i="1"/>
  <c r="AC101" i="1" s="1"/>
  <c r="U101" i="1"/>
  <c r="X101" i="1" s="1"/>
  <c r="R101" i="1"/>
  <c r="AB101" i="1" s="1"/>
  <c r="E101" i="1"/>
  <c r="AL100" i="1"/>
  <c r="AK100" i="1"/>
  <c r="AI100" i="1"/>
  <c r="AD100" i="1"/>
  <c r="Y100" i="1"/>
  <c r="W100" i="1"/>
  <c r="AA100" i="1" s="1"/>
  <c r="AB100" i="1" s="1"/>
  <c r="U100" i="1"/>
  <c r="X100" i="1" s="1"/>
  <c r="R100" i="1"/>
  <c r="Z100" i="1" s="1"/>
  <c r="E100" i="1"/>
  <c r="AL99" i="1"/>
  <c r="AK99" i="1"/>
  <c r="AI99" i="1"/>
  <c r="AD99" i="1"/>
  <c r="AC99" i="1"/>
  <c r="Z99" i="1"/>
  <c r="X99" i="1"/>
  <c r="W99" i="1"/>
  <c r="Y99" i="1" s="1"/>
  <c r="U99" i="1"/>
  <c r="R99" i="1"/>
  <c r="E99" i="1"/>
  <c r="AL98" i="1"/>
  <c r="AK98" i="1"/>
  <c r="AI98" i="1"/>
  <c r="AD98" i="1"/>
  <c r="Z98" i="1"/>
  <c r="X98" i="1"/>
  <c r="U98" i="1"/>
  <c r="R98" i="1"/>
  <c r="W98" i="1" s="1"/>
  <c r="E98" i="1"/>
  <c r="AL97" i="1"/>
  <c r="AK97" i="1"/>
  <c r="AI97" i="1"/>
  <c r="AD97" i="1"/>
  <c r="AA97" i="1"/>
  <c r="AB97" i="1" s="1"/>
  <c r="Z97" i="1"/>
  <c r="Y97" i="1"/>
  <c r="X97" i="1"/>
  <c r="W97" i="1"/>
  <c r="AC97" i="1" s="1"/>
  <c r="U97" i="1"/>
  <c r="R97" i="1"/>
  <c r="E97" i="1"/>
  <c r="AL96" i="1"/>
  <c r="AK96" i="1"/>
  <c r="AI96" i="1"/>
  <c r="AD96" i="1"/>
  <c r="Z96" i="1"/>
  <c r="W96" i="1"/>
  <c r="AC96" i="1" s="1"/>
  <c r="U96" i="1"/>
  <c r="X96" i="1" s="1"/>
  <c r="R96" i="1"/>
  <c r="E96" i="1"/>
  <c r="AL95" i="1"/>
  <c r="AK95" i="1"/>
  <c r="AI95" i="1"/>
  <c r="AD95" i="1"/>
  <c r="X95" i="1"/>
  <c r="U95" i="1"/>
  <c r="R95" i="1"/>
  <c r="E95" i="1"/>
  <c r="AL94" i="1"/>
  <c r="AK94" i="1"/>
  <c r="AI94" i="1"/>
  <c r="AD94" i="1"/>
  <c r="U94" i="1"/>
  <c r="X94" i="1" s="1"/>
  <c r="R94" i="1"/>
  <c r="E94" i="1"/>
  <c r="AL93" i="1"/>
  <c r="AK93" i="1"/>
  <c r="AI93" i="1"/>
  <c r="AD93" i="1"/>
  <c r="AA93" i="1"/>
  <c r="AB93" i="1" s="1"/>
  <c r="Y93" i="1"/>
  <c r="W93" i="1"/>
  <c r="AC93" i="1" s="1"/>
  <c r="U93" i="1"/>
  <c r="X93" i="1" s="1"/>
  <c r="R93" i="1"/>
  <c r="Z93" i="1" s="1"/>
  <c r="E93" i="1"/>
  <c r="AL92" i="1"/>
  <c r="AK92" i="1"/>
  <c r="AI92" i="1"/>
  <c r="AD92" i="1"/>
  <c r="Y92" i="1"/>
  <c r="W92" i="1"/>
  <c r="AA92" i="1" s="1"/>
  <c r="AB92" i="1" s="1"/>
  <c r="U92" i="1"/>
  <c r="X92" i="1" s="1"/>
  <c r="R92" i="1"/>
  <c r="Z92" i="1" s="1"/>
  <c r="E92" i="1"/>
  <c r="AL91" i="1"/>
  <c r="AK91" i="1"/>
  <c r="AI91" i="1"/>
  <c r="AD91" i="1"/>
  <c r="AC91" i="1"/>
  <c r="Z91" i="1"/>
  <c r="X91" i="1"/>
  <c r="W91" i="1"/>
  <c r="Y91" i="1" s="1"/>
  <c r="U91" i="1"/>
  <c r="R91" i="1"/>
  <c r="E91" i="1"/>
  <c r="AL90" i="1"/>
  <c r="AK90" i="1"/>
  <c r="AI90" i="1"/>
  <c r="AD90" i="1"/>
  <c r="Z90" i="1"/>
  <c r="X90" i="1"/>
  <c r="U90" i="1"/>
  <c r="R90" i="1"/>
  <c r="W90" i="1" s="1"/>
  <c r="E90" i="1"/>
  <c r="AL89" i="1"/>
  <c r="AK89" i="1"/>
  <c r="AI89" i="1"/>
  <c r="AD89" i="1"/>
  <c r="AA89" i="1"/>
  <c r="AB89" i="1" s="1"/>
  <c r="Z89" i="1"/>
  <c r="Y89" i="1"/>
  <c r="X89" i="1"/>
  <c r="W89" i="1"/>
  <c r="AC89" i="1" s="1"/>
  <c r="U89" i="1"/>
  <c r="R89" i="1"/>
  <c r="E89" i="1"/>
  <c r="AL88" i="1"/>
  <c r="AK88" i="1"/>
  <c r="AI88" i="1"/>
  <c r="AD88" i="1"/>
  <c r="Z88" i="1"/>
  <c r="W88" i="1"/>
  <c r="Y88" i="1" s="1"/>
  <c r="U88" i="1"/>
  <c r="X88" i="1" s="1"/>
  <c r="R88" i="1"/>
  <c r="E88" i="1"/>
  <c r="AL87" i="1"/>
  <c r="AK87" i="1"/>
  <c r="AI87" i="1"/>
  <c r="AD87" i="1"/>
  <c r="X87" i="1"/>
  <c r="U87" i="1"/>
  <c r="R87" i="1"/>
  <c r="W87" i="1" s="1"/>
  <c r="E87" i="1"/>
  <c r="AL86" i="1"/>
  <c r="AK86" i="1"/>
  <c r="AI86" i="1"/>
  <c r="AD86" i="1"/>
  <c r="U86" i="1"/>
  <c r="X86" i="1" s="1"/>
  <c r="R86" i="1"/>
  <c r="E86" i="1"/>
  <c r="AL85" i="1"/>
  <c r="AK85" i="1"/>
  <c r="AI85" i="1"/>
  <c r="AD85" i="1"/>
  <c r="AA85" i="1"/>
  <c r="AB85" i="1" s="1"/>
  <c r="Y85" i="1"/>
  <c r="W85" i="1"/>
  <c r="AC85" i="1" s="1"/>
  <c r="U85" i="1"/>
  <c r="X85" i="1" s="1"/>
  <c r="R85" i="1"/>
  <c r="Z85" i="1" s="1"/>
  <c r="E85" i="1"/>
  <c r="AL84" i="1"/>
  <c r="AK84" i="1"/>
  <c r="AI84" i="1"/>
  <c r="AD84" i="1"/>
  <c r="Y84" i="1"/>
  <c r="W84" i="1"/>
  <c r="AA84" i="1" s="1"/>
  <c r="AB84" i="1" s="1"/>
  <c r="U84" i="1"/>
  <c r="X84" i="1" s="1"/>
  <c r="R84" i="1"/>
  <c r="Z84" i="1" s="1"/>
  <c r="E84" i="1"/>
  <c r="AL83" i="1"/>
  <c r="AK83" i="1"/>
  <c r="AI83" i="1"/>
  <c r="AD83" i="1"/>
  <c r="AC83" i="1"/>
  <c r="Z83" i="1"/>
  <c r="X83" i="1"/>
  <c r="W83" i="1"/>
  <c r="Y83" i="1" s="1"/>
  <c r="U83" i="1"/>
  <c r="R83" i="1"/>
  <c r="E83" i="1"/>
  <c r="AL82" i="1"/>
  <c r="AK82" i="1"/>
  <c r="AI82" i="1"/>
  <c r="AD82" i="1"/>
  <c r="Z82" i="1"/>
  <c r="X82" i="1"/>
  <c r="U82" i="1"/>
  <c r="R82" i="1"/>
  <c r="W82" i="1" s="1"/>
  <c r="E82" i="1"/>
  <c r="AL81" i="1"/>
  <c r="AK81" i="1"/>
  <c r="AI81" i="1"/>
  <c r="AD81" i="1"/>
  <c r="AA81" i="1"/>
  <c r="AB81" i="1" s="1"/>
  <c r="Z81" i="1"/>
  <c r="Y81" i="1"/>
  <c r="X81" i="1"/>
  <c r="W81" i="1"/>
  <c r="AC81" i="1" s="1"/>
  <c r="U81" i="1"/>
  <c r="R81" i="1"/>
  <c r="E81" i="1"/>
  <c r="AL80" i="1"/>
  <c r="AK80" i="1"/>
  <c r="AI80" i="1"/>
  <c r="AD80" i="1"/>
  <c r="Z80" i="1"/>
  <c r="W80" i="1"/>
  <c r="AC80" i="1" s="1"/>
  <c r="U80" i="1"/>
  <c r="X80" i="1" s="1"/>
  <c r="R80" i="1"/>
  <c r="E80" i="1"/>
  <c r="AL79" i="1"/>
  <c r="AK79" i="1"/>
  <c r="AI79" i="1"/>
  <c r="AD79" i="1"/>
  <c r="X79" i="1"/>
  <c r="U79" i="1"/>
  <c r="R79" i="1"/>
  <c r="W79" i="1" s="1"/>
  <c r="E79" i="1"/>
  <c r="AL78" i="1"/>
  <c r="AK78" i="1"/>
  <c r="AI78" i="1"/>
  <c r="AD78" i="1"/>
  <c r="U78" i="1"/>
  <c r="X78" i="1" s="1"/>
  <c r="R78" i="1"/>
  <c r="E78" i="1"/>
  <c r="AL77" i="1"/>
  <c r="AK77" i="1"/>
  <c r="AI77" i="1"/>
  <c r="AD77" i="1"/>
  <c r="AA77" i="1"/>
  <c r="AB77" i="1" s="1"/>
  <c r="Y77" i="1"/>
  <c r="W77" i="1"/>
  <c r="AC77" i="1" s="1"/>
  <c r="U77" i="1"/>
  <c r="X77" i="1" s="1"/>
  <c r="R77" i="1"/>
  <c r="Z77" i="1" s="1"/>
  <c r="E77" i="1"/>
  <c r="AL76" i="1"/>
  <c r="AK76" i="1"/>
  <c r="AI76" i="1"/>
  <c r="AD76" i="1"/>
  <c r="Y76" i="1"/>
  <c r="W76" i="1"/>
  <c r="AA76" i="1" s="1"/>
  <c r="AB76" i="1" s="1"/>
  <c r="U76" i="1"/>
  <c r="X76" i="1" s="1"/>
  <c r="R76" i="1"/>
  <c r="Z76" i="1" s="1"/>
  <c r="E76" i="1"/>
  <c r="AL75" i="1"/>
  <c r="AK75" i="1"/>
  <c r="AI75" i="1"/>
  <c r="AD75" i="1"/>
  <c r="AC75" i="1"/>
  <c r="Z75" i="1"/>
  <c r="X75" i="1"/>
  <c r="W75" i="1"/>
  <c r="Y75" i="1" s="1"/>
  <c r="U75" i="1"/>
  <c r="R75" i="1"/>
  <c r="E75" i="1"/>
  <c r="AL74" i="1"/>
  <c r="AK74" i="1"/>
  <c r="AI74" i="1"/>
  <c r="AD74" i="1"/>
  <c r="Z74" i="1"/>
  <c r="X74" i="1"/>
  <c r="U74" i="1"/>
  <c r="R74" i="1"/>
  <c r="W74" i="1" s="1"/>
  <c r="E74" i="1"/>
  <c r="AL73" i="1"/>
  <c r="AK73" i="1"/>
  <c r="AI73" i="1"/>
  <c r="AD73" i="1"/>
  <c r="AA73" i="1"/>
  <c r="AB73" i="1" s="1"/>
  <c r="Z73" i="1"/>
  <c r="Y73" i="1"/>
  <c r="X73" i="1"/>
  <c r="W73" i="1"/>
  <c r="AC73" i="1" s="1"/>
  <c r="U73" i="1"/>
  <c r="R73" i="1"/>
  <c r="E73" i="1"/>
  <c r="AL72" i="1"/>
  <c r="AK72" i="1"/>
  <c r="AI72" i="1"/>
  <c r="AD72" i="1"/>
  <c r="Z72" i="1"/>
  <c r="W72" i="1"/>
  <c r="AC72" i="1" s="1"/>
  <c r="U72" i="1"/>
  <c r="X72" i="1" s="1"/>
  <c r="R72" i="1"/>
  <c r="E72" i="1"/>
  <c r="AL71" i="1"/>
  <c r="AK71" i="1"/>
  <c r="AI71" i="1"/>
  <c r="AD71" i="1"/>
  <c r="X71" i="1"/>
  <c r="U71" i="1"/>
  <c r="R71" i="1"/>
  <c r="E71" i="1"/>
  <c r="AL70" i="1"/>
  <c r="AK70" i="1"/>
  <c r="AI70" i="1"/>
  <c r="AD70" i="1"/>
  <c r="U70" i="1"/>
  <c r="X70" i="1" s="1"/>
  <c r="R70" i="1"/>
  <c r="E70" i="1"/>
  <c r="AL69" i="1"/>
  <c r="AK69" i="1"/>
  <c r="AI69" i="1"/>
  <c r="AD69" i="1"/>
  <c r="AA69" i="1"/>
  <c r="AB69" i="1" s="1"/>
  <c r="Y69" i="1"/>
  <c r="W69" i="1"/>
  <c r="AC69" i="1" s="1"/>
  <c r="U69" i="1"/>
  <c r="X69" i="1" s="1"/>
  <c r="R69" i="1"/>
  <c r="Z69" i="1" s="1"/>
  <c r="E69" i="1"/>
  <c r="AL68" i="1"/>
  <c r="AK68" i="1"/>
  <c r="AI68" i="1"/>
  <c r="AD68" i="1"/>
  <c r="Y68" i="1"/>
  <c r="W68" i="1"/>
  <c r="AA68" i="1" s="1"/>
  <c r="AB68" i="1" s="1"/>
  <c r="U68" i="1"/>
  <c r="X68" i="1" s="1"/>
  <c r="R68" i="1"/>
  <c r="Z68" i="1" s="1"/>
  <c r="E68" i="1"/>
  <c r="AL67" i="1"/>
  <c r="AK67" i="1"/>
  <c r="AI67" i="1"/>
  <c r="AD67" i="1"/>
  <c r="AC67" i="1"/>
  <c r="Z67" i="1"/>
  <c r="X67" i="1"/>
  <c r="W67" i="1"/>
  <c r="Y67" i="1" s="1"/>
  <c r="U67" i="1"/>
  <c r="R67" i="1"/>
  <c r="E67" i="1"/>
  <c r="AL66" i="1"/>
  <c r="AK66" i="1"/>
  <c r="AI66" i="1"/>
  <c r="AD66" i="1"/>
  <c r="Z66" i="1"/>
  <c r="X66" i="1"/>
  <c r="U66" i="1"/>
  <c r="R66" i="1"/>
  <c r="W66" i="1" s="1"/>
  <c r="E66" i="1"/>
  <c r="AL65" i="1"/>
  <c r="AI65" i="1"/>
  <c r="AD65" i="1"/>
  <c r="X65" i="1"/>
  <c r="W65" i="1"/>
  <c r="AC65" i="1" s="1"/>
  <c r="U65" i="1"/>
  <c r="R65" i="1"/>
  <c r="Z65" i="1" s="1"/>
  <c r="E65" i="1"/>
  <c r="AL64" i="1"/>
  <c r="AK64" i="1"/>
  <c r="AI64" i="1"/>
  <c r="AD64" i="1"/>
  <c r="U64" i="1"/>
  <c r="X64" i="1" s="1"/>
  <c r="R64" i="1"/>
  <c r="E64" i="1"/>
  <c r="AL63" i="1"/>
  <c r="AK63" i="1"/>
  <c r="AI63" i="1"/>
  <c r="AD63" i="1"/>
  <c r="Z63" i="1"/>
  <c r="W63" i="1"/>
  <c r="AC63" i="1" s="1"/>
  <c r="U63" i="1"/>
  <c r="X63" i="1" s="1"/>
  <c r="R63" i="1"/>
  <c r="E63" i="1"/>
  <c r="AL62" i="1"/>
  <c r="AK62" i="1"/>
  <c r="AI62" i="1"/>
  <c r="AD62" i="1"/>
  <c r="X62" i="1"/>
  <c r="U62" i="1"/>
  <c r="R62" i="1"/>
  <c r="Z62" i="1" s="1"/>
  <c r="E62" i="1"/>
  <c r="AL61" i="1"/>
  <c r="AK61" i="1"/>
  <c r="AI61" i="1"/>
  <c r="AD61" i="1"/>
  <c r="Z61" i="1"/>
  <c r="X61" i="1"/>
  <c r="U61" i="1"/>
  <c r="R61" i="1"/>
  <c r="E61" i="1"/>
  <c r="AL60" i="1"/>
  <c r="AK60" i="1"/>
  <c r="AI60" i="1"/>
  <c r="AD60" i="1"/>
  <c r="X60" i="1"/>
  <c r="U60" i="1"/>
  <c r="R60" i="1"/>
  <c r="Z60" i="1" s="1"/>
  <c r="E60" i="1"/>
  <c r="AL59" i="1"/>
  <c r="AK59" i="1"/>
  <c r="AI59" i="1"/>
  <c r="AD59" i="1"/>
  <c r="AC59" i="1"/>
  <c r="AA59" i="1"/>
  <c r="AB59" i="1" s="1"/>
  <c r="Z59" i="1"/>
  <c r="Y59" i="1"/>
  <c r="W59" i="1"/>
  <c r="U59" i="1"/>
  <c r="X59" i="1" s="1"/>
  <c r="R59" i="1"/>
  <c r="E59" i="1"/>
  <c r="AL58" i="1"/>
  <c r="AK58" i="1"/>
  <c r="AI58" i="1"/>
  <c r="AD58" i="1"/>
  <c r="Z58" i="1"/>
  <c r="Y58" i="1"/>
  <c r="X58" i="1"/>
  <c r="W58" i="1"/>
  <c r="AC58" i="1" s="1"/>
  <c r="U58" i="1"/>
  <c r="R58" i="1"/>
  <c r="E58" i="1"/>
  <c r="AL57" i="1"/>
  <c r="AK57" i="1"/>
  <c r="AI57" i="1"/>
  <c r="AD57" i="1"/>
  <c r="X57" i="1"/>
  <c r="W57" i="1"/>
  <c r="AA57" i="1" s="1"/>
  <c r="U57" i="1"/>
  <c r="R57" i="1"/>
  <c r="Z57" i="1" s="1"/>
  <c r="E57" i="1"/>
  <c r="AL56" i="1"/>
  <c r="AK56" i="1"/>
  <c r="AI56" i="1"/>
  <c r="AD56" i="1"/>
  <c r="U56" i="1"/>
  <c r="X56" i="1" s="1"/>
  <c r="R56" i="1"/>
  <c r="E56" i="1"/>
  <c r="AL55" i="1"/>
  <c r="AK55" i="1"/>
  <c r="AI55" i="1"/>
  <c r="AD55" i="1"/>
  <c r="AB55" i="1"/>
  <c r="Z55" i="1"/>
  <c r="W55" i="1"/>
  <c r="AC55" i="1" s="1"/>
  <c r="U55" i="1"/>
  <c r="X55" i="1" s="1"/>
  <c r="R55" i="1"/>
  <c r="E55" i="1"/>
  <c r="AL54" i="1"/>
  <c r="AK54" i="1"/>
  <c r="AI54" i="1"/>
  <c r="AD54" i="1"/>
  <c r="X54" i="1"/>
  <c r="U54" i="1"/>
  <c r="R54" i="1"/>
  <c r="Z54" i="1" s="1"/>
  <c r="E54" i="1"/>
  <c r="AL53" i="1"/>
  <c r="AK53" i="1"/>
  <c r="AI53" i="1"/>
  <c r="AD53" i="1"/>
  <c r="Z53" i="1"/>
  <c r="X53" i="1"/>
  <c r="U53" i="1"/>
  <c r="R53" i="1"/>
  <c r="E53" i="1"/>
  <c r="AL52" i="1"/>
  <c r="AK52" i="1"/>
  <c r="AI52" i="1"/>
  <c r="AD52" i="1"/>
  <c r="X52" i="1"/>
  <c r="U52" i="1"/>
  <c r="R52" i="1"/>
  <c r="Z52" i="1" s="1"/>
  <c r="E52" i="1"/>
  <c r="AL51" i="1"/>
  <c r="AK51" i="1"/>
  <c r="AI51" i="1"/>
  <c r="AD51" i="1"/>
  <c r="AC51" i="1"/>
  <c r="AA51" i="1"/>
  <c r="AB51" i="1" s="1"/>
  <c r="Z51" i="1"/>
  <c r="Y51" i="1"/>
  <c r="W51" i="1"/>
  <c r="U51" i="1"/>
  <c r="X51" i="1" s="1"/>
  <c r="R51" i="1"/>
  <c r="E51" i="1"/>
  <c r="AL50" i="1"/>
  <c r="AK50" i="1"/>
  <c r="AI50" i="1"/>
  <c r="AD50" i="1"/>
  <c r="Z50" i="1"/>
  <c r="X50" i="1"/>
  <c r="W50" i="1"/>
  <c r="AC50" i="1" s="1"/>
  <c r="U50" i="1"/>
  <c r="R50" i="1"/>
  <c r="E50" i="1"/>
  <c r="AL49" i="1"/>
  <c r="AK49" i="1"/>
  <c r="AI49" i="1"/>
  <c r="AD49" i="1"/>
  <c r="X49" i="1"/>
  <c r="U49" i="1"/>
  <c r="R49" i="1"/>
  <c r="E49" i="1"/>
  <c r="AL48" i="1"/>
  <c r="AK48" i="1"/>
  <c r="AI48" i="1"/>
  <c r="AD48" i="1"/>
  <c r="U48" i="1"/>
  <c r="X48" i="1" s="1"/>
  <c r="R48" i="1"/>
  <c r="E48" i="1"/>
  <c r="AL47" i="1"/>
  <c r="AK47" i="1"/>
  <c r="AI47" i="1"/>
  <c r="AD47" i="1"/>
  <c r="Z47" i="1"/>
  <c r="W47" i="1"/>
  <c r="AC47" i="1" s="1"/>
  <c r="U47" i="1"/>
  <c r="X47" i="1" s="1"/>
  <c r="R47" i="1"/>
  <c r="E47" i="1"/>
  <c r="AL46" i="1"/>
  <c r="AK46" i="1"/>
  <c r="AI46" i="1"/>
  <c r="AD46" i="1"/>
  <c r="X46" i="1"/>
  <c r="U46" i="1"/>
  <c r="R46" i="1"/>
  <c r="Z46" i="1" s="1"/>
  <c r="E46" i="1"/>
  <c r="AL45" i="1"/>
  <c r="AK45" i="1"/>
  <c r="AI45" i="1"/>
  <c r="AD45" i="1"/>
  <c r="Z45" i="1"/>
  <c r="X45" i="1"/>
  <c r="U45" i="1"/>
  <c r="R45" i="1"/>
  <c r="E45" i="1"/>
  <c r="AL44" i="1"/>
  <c r="AK44" i="1"/>
  <c r="AI44" i="1"/>
  <c r="AD44" i="1"/>
  <c r="X44" i="1"/>
  <c r="U44" i="1"/>
  <c r="R44" i="1"/>
  <c r="Z44" i="1" s="1"/>
  <c r="E44" i="1"/>
  <c r="AL43" i="1"/>
  <c r="AK43" i="1"/>
  <c r="AI43" i="1"/>
  <c r="AD43" i="1"/>
  <c r="AC43" i="1"/>
  <c r="AA43" i="1"/>
  <c r="AB43" i="1" s="1"/>
  <c r="Z43" i="1"/>
  <c r="Y43" i="1"/>
  <c r="W43" i="1"/>
  <c r="U43" i="1"/>
  <c r="X43" i="1" s="1"/>
  <c r="R43" i="1"/>
  <c r="E43" i="1"/>
  <c r="AL42" i="1"/>
  <c r="AK42" i="1"/>
  <c r="AI42" i="1"/>
  <c r="AD42" i="1"/>
  <c r="Z42" i="1"/>
  <c r="X42" i="1"/>
  <c r="W42" i="1"/>
  <c r="U42" i="1"/>
  <c r="R42" i="1"/>
  <c r="E42" i="1"/>
  <c r="AL41" i="1"/>
  <c r="AK41" i="1"/>
  <c r="AI41" i="1"/>
  <c r="AD41" i="1"/>
  <c r="X41" i="1"/>
  <c r="U41" i="1"/>
  <c r="R41" i="1"/>
  <c r="E41" i="1"/>
  <c r="AL40" i="1"/>
  <c r="AK40" i="1"/>
  <c r="AI40" i="1"/>
  <c r="AD40" i="1"/>
  <c r="U40" i="1"/>
  <c r="X40" i="1" s="1"/>
  <c r="R40" i="1"/>
  <c r="E40" i="1"/>
  <c r="AL39" i="1"/>
  <c r="AK39" i="1"/>
  <c r="AI39" i="1"/>
  <c r="AD39" i="1"/>
  <c r="Z39" i="1"/>
  <c r="W39" i="1"/>
  <c r="AC39" i="1" s="1"/>
  <c r="U39" i="1"/>
  <c r="X39" i="1" s="1"/>
  <c r="R39" i="1"/>
  <c r="E39" i="1"/>
  <c r="AL38" i="1"/>
  <c r="AK38" i="1"/>
  <c r="AI38" i="1"/>
  <c r="AD38" i="1"/>
  <c r="X38" i="1"/>
  <c r="U38" i="1"/>
  <c r="R38" i="1"/>
  <c r="Z38" i="1" s="1"/>
  <c r="E38" i="1"/>
  <c r="AL37" i="1"/>
  <c r="AK37" i="1"/>
  <c r="AI37" i="1"/>
  <c r="AD37" i="1"/>
  <c r="Z37" i="1"/>
  <c r="X37" i="1"/>
  <c r="U37" i="1"/>
  <c r="R37" i="1"/>
  <c r="E37" i="1"/>
  <c r="AL36" i="1"/>
  <c r="AK36" i="1"/>
  <c r="AI36" i="1"/>
  <c r="AD36" i="1"/>
  <c r="X36" i="1"/>
  <c r="U36" i="1"/>
  <c r="R36" i="1"/>
  <c r="Z36" i="1" s="1"/>
  <c r="E36" i="1"/>
  <c r="AL35" i="1"/>
  <c r="AK35" i="1"/>
  <c r="AI35" i="1"/>
  <c r="AD35" i="1"/>
  <c r="AC35" i="1"/>
  <c r="AA35" i="1"/>
  <c r="AB35" i="1" s="1"/>
  <c r="Z35" i="1"/>
  <c r="Y35" i="1"/>
  <c r="W35" i="1"/>
  <c r="U35" i="1"/>
  <c r="X35" i="1" s="1"/>
  <c r="R35" i="1"/>
  <c r="E35" i="1"/>
  <c r="AL34" i="1"/>
  <c r="AK34" i="1"/>
  <c r="AI34" i="1"/>
  <c r="AD34" i="1"/>
  <c r="Z34" i="1"/>
  <c r="Y34" i="1"/>
  <c r="X34" i="1"/>
  <c r="W34" i="1"/>
  <c r="U34" i="1"/>
  <c r="R34" i="1"/>
  <c r="E34" i="1"/>
  <c r="AL33" i="1"/>
  <c r="AK33" i="1"/>
  <c r="AI33" i="1"/>
  <c r="AD33" i="1"/>
  <c r="X33" i="1"/>
  <c r="W33" i="1"/>
  <c r="U33" i="1"/>
  <c r="R33" i="1"/>
  <c r="E33" i="1"/>
  <c r="AL32" i="1"/>
  <c r="AK32" i="1"/>
  <c r="AI32" i="1"/>
  <c r="AD32" i="1"/>
  <c r="U32" i="1"/>
  <c r="X32" i="1" s="1"/>
  <c r="R32" i="1"/>
  <c r="E32" i="1"/>
  <c r="AL31" i="1"/>
  <c r="AK31" i="1"/>
  <c r="AI31" i="1"/>
  <c r="AD31" i="1"/>
  <c r="Z31" i="1"/>
  <c r="W31" i="1"/>
  <c r="AC31" i="1" s="1"/>
  <c r="U31" i="1"/>
  <c r="X31" i="1" s="1"/>
  <c r="R31" i="1"/>
  <c r="E31" i="1"/>
  <c r="AL30" i="1"/>
  <c r="AK30" i="1"/>
  <c r="AI30" i="1"/>
  <c r="AC30" i="1"/>
  <c r="E30" i="1"/>
  <c r="AL29" i="1"/>
  <c r="AI29" i="1"/>
  <c r="AC29" i="1"/>
  <c r="U29" i="1"/>
  <c r="R29" i="1"/>
  <c r="E29" i="1"/>
  <c r="AL28" i="1"/>
  <c r="AK28" i="1"/>
  <c r="AI28" i="1"/>
  <c r="AC28" i="1"/>
  <c r="E28" i="1"/>
  <c r="AL27" i="1"/>
  <c r="AK27" i="1"/>
  <c r="AI27" i="1"/>
  <c r="AD27" i="1"/>
  <c r="AC27" i="1"/>
  <c r="AB27" i="1"/>
  <c r="AA27" i="1"/>
  <c r="Z27" i="1"/>
  <c r="Y27" i="1"/>
  <c r="U27" i="1"/>
  <c r="X27" i="1" s="1"/>
  <c r="R27" i="1"/>
  <c r="E27" i="1"/>
  <c r="AL26" i="1"/>
  <c r="AK26" i="1"/>
  <c r="AI26" i="1"/>
  <c r="AD26" i="1"/>
  <c r="AC26" i="1"/>
  <c r="AB26" i="1"/>
  <c r="AA26" i="1"/>
  <c r="Z26" i="1"/>
  <c r="Y26" i="1"/>
  <c r="U26" i="1"/>
  <c r="X26" i="1" s="1"/>
  <c r="R26" i="1"/>
  <c r="E26" i="1"/>
  <c r="AL25" i="1"/>
  <c r="AC25" i="1"/>
  <c r="E25" i="1"/>
  <c r="AL24" i="1"/>
  <c r="AK24" i="1"/>
  <c r="AI24" i="1"/>
  <c r="AD24" i="1"/>
  <c r="AC24" i="1"/>
  <c r="AB24" i="1"/>
  <c r="AA24" i="1"/>
  <c r="Z24" i="1"/>
  <c r="Y24" i="1"/>
  <c r="U24" i="1"/>
  <c r="E24" i="1"/>
  <c r="AL23" i="1"/>
  <c r="AK23" i="1"/>
  <c r="AI23" i="1"/>
  <c r="AC23" i="1"/>
  <c r="E23" i="1"/>
  <c r="AL22" i="1"/>
  <c r="AK22" i="1"/>
  <c r="AI22" i="1"/>
  <c r="AC22" i="1"/>
  <c r="E22" i="1"/>
  <c r="AL21" i="1"/>
  <c r="AK21" i="1"/>
  <c r="AI21" i="1"/>
  <c r="AD21" i="1"/>
  <c r="AC21" i="1"/>
  <c r="AA21" i="1"/>
  <c r="Y21" i="1"/>
  <c r="U21" i="1"/>
  <c r="X21" i="1" s="1"/>
  <c r="R21" i="1"/>
  <c r="AB21" i="1" s="1"/>
  <c r="E21" i="1"/>
  <c r="AL20" i="1"/>
  <c r="AK20" i="1"/>
  <c r="AI20" i="1"/>
  <c r="AD20" i="1"/>
  <c r="AC20" i="1"/>
  <c r="AA20" i="1"/>
  <c r="Y20" i="1"/>
  <c r="U20" i="1"/>
  <c r="X20" i="1" s="1"/>
  <c r="R20" i="1"/>
  <c r="AB20" i="1" s="1"/>
  <c r="E20" i="1"/>
  <c r="AL19" i="1"/>
  <c r="AK19" i="1"/>
  <c r="AI19" i="1"/>
  <c r="AD19" i="1"/>
  <c r="AC19" i="1"/>
  <c r="AA19" i="1"/>
  <c r="Y19" i="1"/>
  <c r="X19" i="1"/>
  <c r="U19" i="1"/>
  <c r="R19" i="1"/>
  <c r="Z19" i="1" s="1"/>
  <c r="E19" i="1"/>
  <c r="AL18" i="1"/>
  <c r="AK18" i="1"/>
  <c r="AI18" i="1"/>
  <c r="AC18" i="1"/>
  <c r="U18" i="1"/>
  <c r="R18" i="1"/>
  <c r="E18" i="1"/>
  <c r="AL17" i="1"/>
  <c r="AK17" i="1"/>
  <c r="AI17" i="1"/>
  <c r="AC17" i="1"/>
  <c r="R17" i="1"/>
  <c r="E17" i="1"/>
  <c r="AL16" i="1"/>
  <c r="AK16" i="1"/>
  <c r="AI16" i="1"/>
  <c r="AC16" i="1"/>
  <c r="R16" i="1"/>
  <c r="E16" i="1"/>
  <c r="AC15" i="1"/>
  <c r="E15" i="1"/>
  <c r="AC14" i="1"/>
  <c r="E14" i="1"/>
  <c r="AL13" i="1"/>
  <c r="AK13" i="1"/>
  <c r="AI13" i="1"/>
  <c r="AC13" i="1"/>
  <c r="U13" i="1"/>
  <c r="R13" i="1"/>
  <c r="E13" i="1"/>
  <c r="AL12" i="1"/>
  <c r="AK12" i="1"/>
  <c r="AI12" i="1"/>
  <c r="AC12" i="1"/>
  <c r="U12" i="1"/>
  <c r="R12" i="1"/>
  <c r="E12" i="1"/>
  <c r="AL11" i="1"/>
  <c r="AK11" i="1"/>
  <c r="AI11" i="1"/>
  <c r="AC11" i="1"/>
  <c r="U11" i="1"/>
  <c r="R11" i="1"/>
  <c r="E11" i="1"/>
  <c r="AL10" i="1"/>
  <c r="AK10" i="1"/>
  <c r="AI10" i="1"/>
  <c r="AC10" i="1"/>
  <c r="U10" i="1"/>
  <c r="R10" i="1"/>
  <c r="E10" i="1"/>
  <c r="AL9" i="1"/>
  <c r="AK9" i="1"/>
  <c r="AI9" i="1"/>
  <c r="AC9" i="1"/>
  <c r="U9" i="1"/>
  <c r="R9" i="1"/>
  <c r="E9" i="1"/>
  <c r="Z32" i="1" l="1"/>
  <c r="W32" i="1"/>
  <c r="AC79" i="1"/>
  <c r="AA79" i="1"/>
  <c r="Y79" i="1"/>
  <c r="AC74" i="1"/>
  <c r="AA74" i="1"/>
  <c r="Y74" i="1"/>
  <c r="AC103" i="1"/>
  <c r="AA103" i="1"/>
  <c r="AB103" i="1" s="1"/>
  <c r="Y103" i="1"/>
  <c r="AC127" i="1"/>
  <c r="AA127" i="1"/>
  <c r="Y127" i="1"/>
  <c r="AC98" i="1"/>
  <c r="AA98" i="1"/>
  <c r="Y98" i="1"/>
  <c r="AC34" i="1"/>
  <c r="AA34" i="1"/>
  <c r="AB34" i="1" s="1"/>
  <c r="AC122" i="1"/>
  <c r="AA122" i="1"/>
  <c r="AB122" i="1" s="1"/>
  <c r="Y122" i="1"/>
  <c r="Z41" i="1"/>
  <c r="W41" i="1"/>
  <c r="AC119" i="1"/>
  <c r="AA119" i="1"/>
  <c r="Y119" i="1"/>
  <c r="AA90" i="1"/>
  <c r="AC90" i="1"/>
  <c r="Y90" i="1"/>
  <c r="Z33" i="1"/>
  <c r="AB33" i="1"/>
  <c r="AC114" i="1"/>
  <c r="AA114" i="1"/>
  <c r="AB114" i="1" s="1"/>
  <c r="Y114" i="1"/>
  <c r="AC33" i="1"/>
  <c r="AA33" i="1"/>
  <c r="Y33" i="1"/>
  <c r="AC87" i="1"/>
  <c r="AA87" i="1"/>
  <c r="Y87" i="1"/>
  <c r="AC111" i="1"/>
  <c r="AA111" i="1"/>
  <c r="Y111" i="1"/>
  <c r="AA66" i="1"/>
  <c r="AC66" i="1"/>
  <c r="Y66" i="1"/>
  <c r="AA82" i="1"/>
  <c r="AC82" i="1"/>
  <c r="Y82" i="1"/>
  <c r="AA106" i="1"/>
  <c r="AB106" i="1" s="1"/>
  <c r="AC106" i="1"/>
  <c r="Y106" i="1"/>
  <c r="W49" i="1"/>
  <c r="Z49" i="1"/>
  <c r="AC42" i="1"/>
  <c r="AA42" i="1"/>
  <c r="AB42" i="1" s="1"/>
  <c r="Y42" i="1"/>
  <c r="W152" i="1"/>
  <c r="AC222" i="1"/>
  <c r="Y222" i="1"/>
  <c r="W227" i="1"/>
  <c r="AC253" i="1"/>
  <c r="AA253" i="1"/>
  <c r="AB253" i="1" s="1"/>
  <c r="Y253" i="1"/>
  <c r="AC308" i="1"/>
  <c r="AA308" i="1"/>
  <c r="Y308" i="1"/>
  <c r="AA476" i="1"/>
  <c r="Y476" i="1"/>
  <c r="AC476" i="1"/>
  <c r="AB19" i="1"/>
  <c r="AA67" i="1"/>
  <c r="AB67" i="1" s="1"/>
  <c r="AC68" i="1"/>
  <c r="AA75" i="1"/>
  <c r="AB75" i="1" s="1"/>
  <c r="AC76" i="1"/>
  <c r="AA83" i="1"/>
  <c r="AB83" i="1" s="1"/>
  <c r="AC84" i="1"/>
  <c r="AA91" i="1"/>
  <c r="AB91" i="1" s="1"/>
  <c r="AC92" i="1"/>
  <c r="AA99" i="1"/>
  <c r="AB99" i="1" s="1"/>
  <c r="AC100" i="1"/>
  <c r="AA107" i="1"/>
  <c r="AB107" i="1" s="1"/>
  <c r="AC108" i="1"/>
  <c r="AA115" i="1"/>
  <c r="AB115" i="1" s="1"/>
  <c r="AC116" i="1"/>
  <c r="AA123" i="1"/>
  <c r="AB123" i="1" s="1"/>
  <c r="AC124" i="1"/>
  <c r="AC157" i="1"/>
  <c r="AA157" i="1"/>
  <c r="Y157" i="1"/>
  <c r="AC164" i="1"/>
  <c r="AA164" i="1"/>
  <c r="AB164" i="1" s="1"/>
  <c r="Y164" i="1"/>
  <c r="AC246" i="1"/>
  <c r="AA246" i="1"/>
  <c r="AB246" i="1" s="1"/>
  <c r="Y246" i="1"/>
  <c r="AC292" i="1"/>
  <c r="AA292" i="1"/>
  <c r="Y292" i="1"/>
  <c r="Z341" i="1"/>
  <c r="W341" i="1"/>
  <c r="W219" i="1"/>
  <c r="Z227" i="1"/>
  <c r="AC296" i="1"/>
  <c r="AA296" i="1"/>
  <c r="AB296" i="1" s="1"/>
  <c r="Y296" i="1"/>
  <c r="W40" i="1"/>
  <c r="W48" i="1"/>
  <c r="AA50" i="1"/>
  <c r="AB50" i="1" s="1"/>
  <c r="W56" i="1"/>
  <c r="Y57" i="1"/>
  <c r="AA58" i="1"/>
  <c r="AB58" i="1" s="1"/>
  <c r="W64" i="1"/>
  <c r="Y65" i="1"/>
  <c r="AB66" i="1"/>
  <c r="AB74" i="1"/>
  <c r="AB82" i="1"/>
  <c r="AB90" i="1"/>
  <c r="AB98" i="1"/>
  <c r="W130" i="1"/>
  <c r="W135" i="1"/>
  <c r="Y136" i="1"/>
  <c r="AA137" i="1"/>
  <c r="AB137" i="1" s="1"/>
  <c r="W145" i="1"/>
  <c r="Y146" i="1"/>
  <c r="AA176" i="1"/>
  <c r="Y176" i="1"/>
  <c r="AC176" i="1"/>
  <c r="AC192" i="1"/>
  <c r="AA192" i="1"/>
  <c r="AB192" i="1" s="1"/>
  <c r="Y192" i="1"/>
  <c r="Z194" i="1"/>
  <c r="W194" i="1"/>
  <c r="AC214" i="1"/>
  <c r="Y214" i="1"/>
  <c r="AA222" i="1"/>
  <c r="AB222" i="1" s="1"/>
  <c r="Y262" i="1"/>
  <c r="AC262" i="1"/>
  <c r="AA262" i="1"/>
  <c r="AB284" i="1"/>
  <c r="Y305" i="1"/>
  <c r="AC305" i="1"/>
  <c r="AA305" i="1"/>
  <c r="AB305" i="1" s="1"/>
  <c r="Y338" i="1"/>
  <c r="AA338" i="1"/>
  <c r="AB338" i="1" s="1"/>
  <c r="AC338" i="1"/>
  <c r="AA224" i="1"/>
  <c r="AB224" i="1" s="1"/>
  <c r="Y224" i="1"/>
  <c r="AC224" i="1"/>
  <c r="AB252" i="1"/>
  <c r="Z252" i="1"/>
  <c r="W252" i="1"/>
  <c r="Y344" i="1"/>
  <c r="AA344" i="1"/>
  <c r="AB344" i="1" s="1"/>
  <c r="AC344" i="1"/>
  <c r="W367" i="1"/>
  <c r="Z367" i="1"/>
  <c r="Y50" i="1"/>
  <c r="AC269" i="1"/>
  <c r="AA269" i="1"/>
  <c r="AB269" i="1" s="1"/>
  <c r="Y269" i="1"/>
  <c r="AC212" i="1"/>
  <c r="AA212" i="1"/>
  <c r="AB212" i="1" s="1"/>
  <c r="Y212" i="1"/>
  <c r="W95" i="1"/>
  <c r="Y120" i="1"/>
  <c r="W132" i="1"/>
  <c r="AA65" i="1"/>
  <c r="AA136" i="1"/>
  <c r="AB136" i="1" s="1"/>
  <c r="AA146" i="1"/>
  <c r="AB146" i="1" s="1"/>
  <c r="Z156" i="1"/>
  <c r="W156" i="1"/>
  <c r="W183" i="1"/>
  <c r="AC188" i="1"/>
  <c r="AA188" i="1"/>
  <c r="AB188" i="1" s="1"/>
  <c r="Y188" i="1"/>
  <c r="AC190" i="1"/>
  <c r="Y190" i="1"/>
  <c r="AB200" i="1"/>
  <c r="Z219" i="1"/>
  <c r="AC257" i="1"/>
  <c r="AA257" i="1"/>
  <c r="AB257" i="1" s="1"/>
  <c r="Y257" i="1"/>
  <c r="Z291" i="1"/>
  <c r="W291" i="1"/>
  <c r="W383" i="1"/>
  <c r="Z383" i="1"/>
  <c r="W71" i="1"/>
  <c r="Z40" i="1"/>
  <c r="Z48" i="1"/>
  <c r="Z56" i="1"/>
  <c r="AB57" i="1"/>
  <c r="Z64" i="1"/>
  <c r="AB65" i="1"/>
  <c r="W70" i="1"/>
  <c r="AA72" i="1"/>
  <c r="AB72" i="1" s="1"/>
  <c r="W78" i="1"/>
  <c r="AA80" i="1"/>
  <c r="AB80" i="1" s="1"/>
  <c r="W86" i="1"/>
  <c r="AA88" i="1"/>
  <c r="AB88" i="1" s="1"/>
  <c r="W94" i="1"/>
  <c r="AA96" i="1"/>
  <c r="AB96" i="1" s="1"/>
  <c r="W102" i="1"/>
  <c r="AA104" i="1"/>
  <c r="AB104" i="1" s="1"/>
  <c r="W110" i="1"/>
  <c r="AA112" i="1"/>
  <c r="AB112" i="1" s="1"/>
  <c r="W118" i="1"/>
  <c r="AA120" i="1"/>
  <c r="AB120" i="1" s="1"/>
  <c r="W126" i="1"/>
  <c r="AA128" i="1"/>
  <c r="AB128" i="1" s="1"/>
  <c r="Z130" i="1"/>
  <c r="Z135" i="1"/>
  <c r="Z145" i="1"/>
  <c r="Y151" i="1"/>
  <c r="AC161" i="1"/>
  <c r="AA161" i="1"/>
  <c r="AB161" i="1" s="1"/>
  <c r="Y161" i="1"/>
  <c r="W163" i="1"/>
  <c r="U163" i="1"/>
  <c r="X163" i="1" s="1"/>
  <c r="W211" i="1"/>
  <c r="W231" i="1"/>
  <c r="AC236" i="1"/>
  <c r="AA236" i="1"/>
  <c r="AB236" i="1" s="1"/>
  <c r="Y236" i="1"/>
  <c r="Y72" i="1"/>
  <c r="Y96" i="1"/>
  <c r="Y128" i="1"/>
  <c r="Y31" i="1"/>
  <c r="W38" i="1"/>
  <c r="Y39" i="1"/>
  <c r="W46" i="1"/>
  <c r="Y47" i="1"/>
  <c r="W54" i="1"/>
  <c r="Y55" i="1"/>
  <c r="AC57" i="1"/>
  <c r="W62" i="1"/>
  <c r="Y63" i="1"/>
  <c r="Z71" i="1"/>
  <c r="Z79" i="1"/>
  <c r="Z87" i="1"/>
  <c r="Z95" i="1"/>
  <c r="Z103" i="1"/>
  <c r="Z111" i="1"/>
  <c r="Z119" i="1"/>
  <c r="Z127" i="1"/>
  <c r="Z132" i="1"/>
  <c r="Y134" i="1"/>
  <c r="W141" i="1"/>
  <c r="Y144" i="1"/>
  <c r="W150" i="1"/>
  <c r="AA168" i="1"/>
  <c r="AB168" i="1" s="1"/>
  <c r="Y168" i="1"/>
  <c r="AC168" i="1"/>
  <c r="W175" i="1"/>
  <c r="AB175" i="1"/>
  <c r="AC180" i="1"/>
  <c r="AA180" i="1"/>
  <c r="AB180" i="1" s="1"/>
  <c r="Y180" i="1"/>
  <c r="AC200" i="1"/>
  <c r="AA200" i="1"/>
  <c r="Y200" i="1"/>
  <c r="AC206" i="1"/>
  <c r="Y206" i="1"/>
  <c r="AC238" i="1"/>
  <c r="Y238" i="1"/>
  <c r="AC254" i="1"/>
  <c r="AA254" i="1"/>
  <c r="AB254" i="1" s="1"/>
  <c r="Z342" i="1"/>
  <c r="W342" i="1"/>
  <c r="W171" i="1"/>
  <c r="W207" i="1"/>
  <c r="Y282" i="1"/>
  <c r="AC282" i="1"/>
  <c r="AA282" i="1"/>
  <c r="AB282" i="1" s="1"/>
  <c r="Z347" i="1"/>
  <c r="W347" i="1"/>
  <c r="Z152" i="1"/>
  <c r="Y80" i="1"/>
  <c r="Y104" i="1"/>
  <c r="Y112" i="1"/>
  <c r="AC88" i="1"/>
  <c r="Z183" i="1"/>
  <c r="AA216" i="1"/>
  <c r="AB216" i="1" s="1"/>
  <c r="Y216" i="1"/>
  <c r="AC216" i="1"/>
  <c r="AC281" i="1"/>
  <c r="AA281" i="1"/>
  <c r="AB281" i="1" s="1"/>
  <c r="Y281" i="1"/>
  <c r="AC288" i="1"/>
  <c r="AA288" i="1"/>
  <c r="AB288" i="1" s="1"/>
  <c r="Y288" i="1"/>
  <c r="AC309" i="1"/>
  <c r="AA309" i="1"/>
  <c r="AB309" i="1" s="1"/>
  <c r="Y309" i="1"/>
  <c r="Z348" i="1"/>
  <c r="W348" i="1"/>
  <c r="AC381" i="1"/>
  <c r="AA381" i="1"/>
  <c r="Y381" i="1"/>
  <c r="AA184" i="1"/>
  <c r="AB184" i="1" s="1"/>
  <c r="Y184" i="1"/>
  <c r="AC184" i="1"/>
  <c r="Y239" i="1"/>
  <c r="AA239" i="1"/>
  <c r="AC196" i="1"/>
  <c r="AA196" i="1"/>
  <c r="AB196" i="1" s="1"/>
  <c r="Y196" i="1"/>
  <c r="Z21" i="1"/>
  <c r="AA31" i="1"/>
  <c r="AB31" i="1" s="1"/>
  <c r="W37" i="1"/>
  <c r="AA39" i="1"/>
  <c r="AB39" i="1" s="1"/>
  <c r="W45" i="1"/>
  <c r="AA47" i="1"/>
  <c r="AB47" i="1" s="1"/>
  <c r="W53" i="1"/>
  <c r="AA55" i="1"/>
  <c r="W61" i="1"/>
  <c r="AA63" i="1"/>
  <c r="AB63" i="1" s="1"/>
  <c r="Z70" i="1"/>
  <c r="Z78" i="1"/>
  <c r="AB79" i="1"/>
  <c r="Z86" i="1"/>
  <c r="AB87" i="1"/>
  <c r="Z94" i="1"/>
  <c r="Z102" i="1"/>
  <c r="Z110" i="1"/>
  <c r="AB111" i="1"/>
  <c r="Z118" i="1"/>
  <c r="AB119" i="1"/>
  <c r="Z126" i="1"/>
  <c r="AB127" i="1"/>
  <c r="AA134" i="1"/>
  <c r="AB134" i="1" s="1"/>
  <c r="W140" i="1"/>
  <c r="AA144" i="1"/>
  <c r="AB144" i="1" s="1"/>
  <c r="W149" i="1"/>
  <c r="AB151" i="1"/>
  <c r="W187" i="1"/>
  <c r="AA190" i="1"/>
  <c r="W195" i="1"/>
  <c r="Z211" i="1"/>
  <c r="W223" i="1"/>
  <c r="Y247" i="1"/>
  <c r="AC247" i="1"/>
  <c r="AA247" i="1"/>
  <c r="Y254" i="1"/>
  <c r="AC261" i="1"/>
  <c r="AA261" i="1"/>
  <c r="Y261" i="1"/>
  <c r="AC166" i="1"/>
  <c r="Y166" i="1"/>
  <c r="Y125" i="1"/>
  <c r="Z141" i="1"/>
  <c r="Z150" i="1"/>
  <c r="Z175" i="1"/>
  <c r="AC197" i="1"/>
  <c r="AA197" i="1"/>
  <c r="AB197" i="1" s="1"/>
  <c r="Z256" i="1"/>
  <c r="W256" i="1"/>
  <c r="Y270" i="1"/>
  <c r="AC270" i="1"/>
  <c r="AA270" i="1"/>
  <c r="AB270" i="1" s="1"/>
  <c r="Z295" i="1"/>
  <c r="W295" i="1"/>
  <c r="AC304" i="1"/>
  <c r="AA304" i="1"/>
  <c r="Y304" i="1"/>
  <c r="Z20" i="1"/>
  <c r="W36" i="1"/>
  <c r="W44" i="1"/>
  <c r="W52" i="1"/>
  <c r="W60" i="1"/>
  <c r="Z101" i="1"/>
  <c r="Z125" i="1"/>
  <c r="W139" i="1"/>
  <c r="W148" i="1"/>
  <c r="AC153" i="1"/>
  <c r="AA153" i="1"/>
  <c r="AB153" i="1" s="1"/>
  <c r="Y153" i="1"/>
  <c r="Z160" i="1"/>
  <c r="W160" i="1"/>
  <c r="W179" i="1"/>
  <c r="AC193" i="1"/>
  <c r="AA193" i="1"/>
  <c r="AB193" i="1" s="1"/>
  <c r="AA206" i="1"/>
  <c r="AB206" i="1" s="1"/>
  <c r="Z223" i="1"/>
  <c r="AC228" i="1"/>
  <c r="AA228" i="1"/>
  <c r="AB228" i="1" s="1"/>
  <c r="Y228" i="1"/>
  <c r="W235" i="1"/>
  <c r="AA238" i="1"/>
  <c r="AB238" i="1" s="1"/>
  <c r="AC249" i="1"/>
  <c r="AA249" i="1"/>
  <c r="AB249" i="1" s="1"/>
  <c r="Y249" i="1"/>
  <c r="Y297" i="1"/>
  <c r="AC297" i="1"/>
  <c r="AA297" i="1"/>
  <c r="AC314" i="1"/>
  <c r="AA314" i="1"/>
  <c r="AB314" i="1" s="1"/>
  <c r="Y314" i="1"/>
  <c r="AC357" i="1"/>
  <c r="AA357" i="1"/>
  <c r="Y357" i="1"/>
  <c r="W167" i="1"/>
  <c r="Z199" i="1"/>
  <c r="W199" i="1"/>
  <c r="AC230" i="1"/>
  <c r="Y230" i="1"/>
  <c r="AA232" i="1"/>
  <c r="AB232" i="1" s="1"/>
  <c r="Y232" i="1"/>
  <c r="AC232" i="1"/>
  <c r="AC172" i="1"/>
  <c r="AA172" i="1"/>
  <c r="AB172" i="1" s="1"/>
  <c r="Y172" i="1"/>
  <c r="AC174" i="1"/>
  <c r="Y174" i="1"/>
  <c r="AA208" i="1"/>
  <c r="AB208" i="1" s="1"/>
  <c r="Y208" i="1"/>
  <c r="AC208" i="1"/>
  <c r="W215" i="1"/>
  <c r="Z287" i="1"/>
  <c r="W287" i="1"/>
  <c r="AB299" i="1"/>
  <c r="AB308" i="1"/>
  <c r="Z310" i="1"/>
  <c r="W310" i="1"/>
  <c r="AB157" i="1"/>
  <c r="Z167" i="1"/>
  <c r="Z179" i="1"/>
  <c r="AC220" i="1"/>
  <c r="AA220" i="1"/>
  <c r="AB220" i="1" s="1"/>
  <c r="Y220" i="1"/>
  <c r="Z235" i="1"/>
  <c r="AB292" i="1"/>
  <c r="AC240" i="1"/>
  <c r="AC248" i="1"/>
  <c r="AC263" i="1"/>
  <c r="AC271" i="1"/>
  <c r="AC283" i="1"/>
  <c r="AC298" i="1"/>
  <c r="AC306" i="1"/>
  <c r="AC324" i="1"/>
  <c r="Y324" i="1"/>
  <c r="AC335" i="1"/>
  <c r="AA335" i="1"/>
  <c r="Z372" i="1"/>
  <c r="AC482" i="1"/>
  <c r="AA482" i="1"/>
  <c r="AB482" i="1" s="1"/>
  <c r="Y482" i="1"/>
  <c r="AA158" i="1"/>
  <c r="AB158" i="1" s="1"/>
  <c r="AB239" i="1"/>
  <c r="AB247" i="1"/>
  <c r="AB262" i="1"/>
  <c r="AB297" i="1"/>
  <c r="Z318" i="1"/>
  <c r="Y335" i="1"/>
  <c r="W359" i="1"/>
  <c r="AB397" i="1"/>
  <c r="AB451" i="1"/>
  <c r="AA463" i="1"/>
  <c r="Y463" i="1"/>
  <c r="AC463" i="1"/>
  <c r="AC478" i="1"/>
  <c r="AA478" i="1"/>
  <c r="AB478" i="1" s="1"/>
  <c r="Y478" i="1"/>
  <c r="W337" i="1"/>
  <c r="Z363" i="1"/>
  <c r="W363" i="1"/>
  <c r="AC372" i="1"/>
  <c r="AA372" i="1"/>
  <c r="AB372" i="1" s="1"/>
  <c r="Y372" i="1"/>
  <c r="AC453" i="1"/>
  <c r="AA453" i="1"/>
  <c r="Y453" i="1"/>
  <c r="AC480" i="1"/>
  <c r="AA480" i="1"/>
  <c r="AB480" i="1" s="1"/>
  <c r="Y480" i="1"/>
  <c r="AC486" i="1"/>
  <c r="AA486" i="1"/>
  <c r="AB486" i="1" s="1"/>
  <c r="Y486" i="1"/>
  <c r="AB174" i="1"/>
  <c r="AB190" i="1"/>
  <c r="W251" i="1"/>
  <c r="W286" i="1"/>
  <c r="W294" i="1"/>
  <c r="AB304" i="1"/>
  <c r="W318" i="1"/>
  <c r="AA324" i="1"/>
  <c r="AB324" i="1" s="1"/>
  <c r="Z326" i="1"/>
  <c r="AC397" i="1"/>
  <c r="AA397" i="1"/>
  <c r="Y397" i="1"/>
  <c r="AC444" i="1"/>
  <c r="AA444" i="1"/>
  <c r="AB444" i="1" s="1"/>
  <c r="Y444" i="1"/>
  <c r="AB471" i="1"/>
  <c r="AA165" i="1"/>
  <c r="AB165" i="1" s="1"/>
  <c r="AA173" i="1"/>
  <c r="AB173" i="1" s="1"/>
  <c r="AA181" i="1"/>
  <c r="AA189" i="1"/>
  <c r="AB189" i="1" s="1"/>
  <c r="AA205" i="1"/>
  <c r="AB205" i="1" s="1"/>
  <c r="AA213" i="1"/>
  <c r="AB213" i="1" s="1"/>
  <c r="AA221" i="1"/>
  <c r="AB221" i="1" s="1"/>
  <c r="AA229" i="1"/>
  <c r="AB229" i="1" s="1"/>
  <c r="AA237" i="1"/>
  <c r="AB237" i="1" s="1"/>
  <c r="W243" i="1"/>
  <c r="Y244" i="1"/>
  <c r="AA245" i="1"/>
  <c r="AB245" i="1" s="1"/>
  <c r="W258" i="1"/>
  <c r="Y259" i="1"/>
  <c r="AA260" i="1"/>
  <c r="W266" i="1"/>
  <c r="Y267" i="1"/>
  <c r="AA268" i="1"/>
  <c r="AB268" i="1" s="1"/>
  <c r="W274" i="1"/>
  <c r="Y275" i="1"/>
  <c r="W278" i="1"/>
  <c r="Y279" i="1"/>
  <c r="AA280" i="1"/>
  <c r="AB280" i="1" s="1"/>
  <c r="W301" i="1"/>
  <c r="Y302" i="1"/>
  <c r="AA303" i="1"/>
  <c r="AB303" i="1" s="1"/>
  <c r="AC312" i="1"/>
  <c r="AA312" i="1"/>
  <c r="AB312" i="1" s="1"/>
  <c r="Y312" i="1"/>
  <c r="Z356" i="1"/>
  <c r="Y368" i="1"/>
  <c r="AA368" i="1"/>
  <c r="AB368" i="1" s="1"/>
  <c r="Z380" i="1"/>
  <c r="AC394" i="1"/>
  <c r="AA394" i="1"/>
  <c r="AB394" i="1" s="1"/>
  <c r="Y394" i="1"/>
  <c r="AC423" i="1"/>
  <c r="AA423" i="1"/>
  <c r="AB423" i="1" s="1"/>
  <c r="Y423" i="1"/>
  <c r="AC473" i="1"/>
  <c r="AA473" i="1"/>
  <c r="AB473" i="1" s="1"/>
  <c r="Y473" i="1"/>
  <c r="AB492" i="1"/>
  <c r="W154" i="1"/>
  <c r="Y155" i="1"/>
  <c r="U309" i="1"/>
  <c r="X309" i="1" s="1"/>
  <c r="U312" i="1"/>
  <c r="X312" i="1" s="1"/>
  <c r="AC326" i="1"/>
  <c r="AA326" i="1"/>
  <c r="AB326" i="1" s="1"/>
  <c r="Y326" i="1"/>
  <c r="Z337" i="1"/>
  <c r="AC340" i="1"/>
  <c r="Y340" i="1"/>
  <c r="AC365" i="1"/>
  <c r="AA365" i="1"/>
  <c r="AB365" i="1" s="1"/>
  <c r="Z388" i="1"/>
  <c r="W388" i="1"/>
  <c r="AA455" i="1"/>
  <c r="AB455" i="1" s="1"/>
  <c r="Y455" i="1"/>
  <c r="AC455" i="1"/>
  <c r="W162" i="1"/>
  <c r="W170" i="1"/>
  <c r="W178" i="1"/>
  <c r="W186" i="1"/>
  <c r="W210" i="1"/>
  <c r="W218" i="1"/>
  <c r="W226" i="1"/>
  <c r="W234" i="1"/>
  <c r="W242" i="1"/>
  <c r="AA244" i="1"/>
  <c r="AB244" i="1" s="1"/>
  <c r="Z251" i="1"/>
  <c r="AA259" i="1"/>
  <c r="AB259" i="1" s="1"/>
  <c r="W265" i="1"/>
  <c r="AA267" i="1"/>
  <c r="AB267" i="1" s="1"/>
  <c r="W273" i="1"/>
  <c r="AA275" i="1"/>
  <c r="AB275" i="1" s="1"/>
  <c r="W277" i="1"/>
  <c r="AA279" i="1"/>
  <c r="AB279" i="1" s="1"/>
  <c r="Z286" i="1"/>
  <c r="Z294" i="1"/>
  <c r="W300" i="1"/>
  <c r="AA302" i="1"/>
  <c r="AB302" i="1" s="1"/>
  <c r="Z334" i="1"/>
  <c r="W356" i="1"/>
  <c r="Y365" i="1"/>
  <c r="W380" i="1"/>
  <c r="AB417" i="1"/>
  <c r="AC465" i="1"/>
  <c r="AA465" i="1"/>
  <c r="AB465" i="1" s="1"/>
  <c r="Y465" i="1"/>
  <c r="W177" i="1"/>
  <c r="W185" i="1"/>
  <c r="Z317" i="1"/>
  <c r="W317" i="1"/>
  <c r="AC334" i="1"/>
  <c r="AA334" i="1"/>
  <c r="AB334" i="1" s="1"/>
  <c r="Y334" i="1"/>
  <c r="AB349" i="1"/>
  <c r="AC368" i="1"/>
  <c r="Z371" i="1"/>
  <c r="W371" i="1"/>
  <c r="AB373" i="1"/>
  <c r="Y376" i="1"/>
  <c r="AA376" i="1"/>
  <c r="AB376" i="1" s="1"/>
  <c r="AC402" i="1"/>
  <c r="AA402" i="1"/>
  <c r="AB402" i="1" s="1"/>
  <c r="Y402" i="1"/>
  <c r="AC485" i="1"/>
  <c r="AA485" i="1"/>
  <c r="AB485" i="1" s="1"/>
  <c r="Y485" i="1"/>
  <c r="Z162" i="1"/>
  <c r="Z178" i="1"/>
  <c r="Z186" i="1"/>
  <c r="AA201" i="1"/>
  <c r="AB201" i="1" s="1"/>
  <c r="Z210" i="1"/>
  <c r="Z218" i="1"/>
  <c r="Z226" i="1"/>
  <c r="Z234" i="1"/>
  <c r="Z242" i="1"/>
  <c r="AA250" i="1"/>
  <c r="AB250" i="1" s="1"/>
  <c r="Z265" i="1"/>
  <c r="Z273" i="1"/>
  <c r="Z277" i="1"/>
  <c r="AA285" i="1"/>
  <c r="AB285" i="1" s="1"/>
  <c r="AA293" i="1"/>
  <c r="AB293" i="1" s="1"/>
  <c r="Z300" i="1"/>
  <c r="W307" i="1"/>
  <c r="Z309" i="1"/>
  <c r="Y322" i="1"/>
  <c r="AA322" i="1"/>
  <c r="AB322" i="1" s="1"/>
  <c r="Y352" i="1"/>
  <c r="AA352" i="1"/>
  <c r="AB352" i="1" s="1"/>
  <c r="AC415" i="1"/>
  <c r="AA415" i="1"/>
  <c r="AB415" i="1" s="1"/>
  <c r="Y415" i="1"/>
  <c r="AC437" i="1"/>
  <c r="AA437" i="1"/>
  <c r="Y437" i="1"/>
  <c r="AC450" i="1"/>
  <c r="AA450" i="1"/>
  <c r="AB450" i="1" s="1"/>
  <c r="Y450" i="1"/>
  <c r="AB483" i="1"/>
  <c r="Z311" i="1"/>
  <c r="Z325" i="1"/>
  <c r="W325" i="1"/>
  <c r="AC349" i="1"/>
  <c r="AA349" i="1"/>
  <c r="Z364" i="1"/>
  <c r="AC373" i="1"/>
  <c r="AA373" i="1"/>
  <c r="Z396" i="1"/>
  <c r="W396" i="1"/>
  <c r="AC457" i="1"/>
  <c r="AA457" i="1"/>
  <c r="AB457" i="1" s="1"/>
  <c r="Y457" i="1"/>
  <c r="AA477" i="1"/>
  <c r="AB477" i="1" s="1"/>
  <c r="Y477" i="1"/>
  <c r="AC477" i="1"/>
  <c r="W159" i="1"/>
  <c r="Z169" i="1"/>
  <c r="Z177" i="1"/>
  <c r="Z185" i="1"/>
  <c r="W198" i="1"/>
  <c r="W203" i="1"/>
  <c r="Z217" i="1"/>
  <c r="Z241" i="1"/>
  <c r="Z264" i="1"/>
  <c r="Z272" i="1"/>
  <c r="Z284" i="1"/>
  <c r="W290" i="1"/>
  <c r="Z299" i="1"/>
  <c r="AC319" i="1"/>
  <c r="AA319" i="1"/>
  <c r="AB319" i="1" s="1"/>
  <c r="Y330" i="1"/>
  <c r="AA330" i="1"/>
  <c r="AB330" i="1" s="1"/>
  <c r="Y349" i="1"/>
  <c r="Y373" i="1"/>
  <c r="W375" i="1"/>
  <c r="Y384" i="1"/>
  <c r="AA384" i="1"/>
  <c r="AB384" i="1" s="1"/>
  <c r="AC410" i="1"/>
  <c r="AA410" i="1"/>
  <c r="AB410" i="1" s="1"/>
  <c r="Y410" i="1"/>
  <c r="AC479" i="1"/>
  <c r="AA479" i="1"/>
  <c r="AB479" i="1" s="1"/>
  <c r="Y479" i="1"/>
  <c r="AA169" i="1"/>
  <c r="AB169" i="1" s="1"/>
  <c r="AA209" i="1"/>
  <c r="AB209" i="1" s="1"/>
  <c r="AA217" i="1"/>
  <c r="AB217" i="1" s="1"/>
  <c r="AA225" i="1"/>
  <c r="AB225" i="1" s="1"/>
  <c r="AA233" i="1"/>
  <c r="AB233" i="1" s="1"/>
  <c r="Y240" i="1"/>
  <c r="AA241" i="1"/>
  <c r="AB241" i="1" s="1"/>
  <c r="Y248" i="1"/>
  <c r="Y263" i="1"/>
  <c r="AA264" i="1"/>
  <c r="AB264" i="1" s="1"/>
  <c r="Y271" i="1"/>
  <c r="AA272" i="1"/>
  <c r="Y283" i="1"/>
  <c r="AA284" i="1"/>
  <c r="Y298" i="1"/>
  <c r="AA299" i="1"/>
  <c r="Y306" i="1"/>
  <c r="Z307" i="1"/>
  <c r="W311" i="1"/>
  <c r="W313" i="1"/>
  <c r="W321" i="1"/>
  <c r="W351" i="1"/>
  <c r="Z355" i="1"/>
  <c r="W355" i="1"/>
  <c r="W364" i="1"/>
  <c r="AC376" i="1"/>
  <c r="Z379" i="1"/>
  <c r="W379" i="1"/>
  <c r="AB389" i="1"/>
  <c r="AC322" i="1"/>
  <c r="AC327" i="1"/>
  <c r="AA327" i="1"/>
  <c r="AB327" i="1" s="1"/>
  <c r="AC346" i="1"/>
  <c r="Y346" i="1"/>
  <c r="AC352" i="1"/>
  <c r="AB357" i="1"/>
  <c r="AB381" i="1"/>
  <c r="Y474" i="1"/>
  <c r="AC474" i="1"/>
  <c r="AA474" i="1"/>
  <c r="AB474" i="1" s="1"/>
  <c r="Y327" i="1"/>
  <c r="W329" i="1"/>
  <c r="Z333" i="1"/>
  <c r="W333" i="1"/>
  <c r="AB335" i="1"/>
  <c r="Y360" i="1"/>
  <c r="AA360" i="1"/>
  <c r="AB360" i="1" s="1"/>
  <c r="AC389" i="1"/>
  <c r="AA389" i="1"/>
  <c r="Y389" i="1"/>
  <c r="AA432" i="1"/>
  <c r="Y432" i="1"/>
  <c r="AC432" i="1"/>
  <c r="AC315" i="1"/>
  <c r="W320" i="1"/>
  <c r="W328" i="1"/>
  <c r="AC331" i="1"/>
  <c r="W336" i="1"/>
  <c r="AC339" i="1"/>
  <c r="W343" i="1"/>
  <c r="AC345" i="1"/>
  <c r="W350" i="1"/>
  <c r="AC353" i="1"/>
  <c r="W358" i="1"/>
  <c r="AC361" i="1"/>
  <c r="W366" i="1"/>
  <c r="AC369" i="1"/>
  <c r="W374" i="1"/>
  <c r="AC377" i="1"/>
  <c r="W382" i="1"/>
  <c r="AC385" i="1"/>
  <c r="W414" i="1"/>
  <c r="W418" i="1"/>
  <c r="W422" i="1"/>
  <c r="AA424" i="1"/>
  <c r="AB424" i="1" s="1"/>
  <c r="AB432" i="1"/>
  <c r="AA438" i="1"/>
  <c r="AB438" i="1" s="1"/>
  <c r="AC439" i="1"/>
  <c r="W443" i="1"/>
  <c r="AA445" i="1"/>
  <c r="AB445" i="1" s="1"/>
  <c r="AC446" i="1"/>
  <c r="W452" i="1"/>
  <c r="AB463" i="1"/>
  <c r="W472" i="1"/>
  <c r="Z474" i="1"/>
  <c r="AA475" i="1"/>
  <c r="AB475" i="1" s="1"/>
  <c r="AB476" i="1"/>
  <c r="W484" i="1"/>
  <c r="AA487" i="1"/>
  <c r="AB487" i="1" s="1"/>
  <c r="Z415" i="1"/>
  <c r="Z320" i="1"/>
  <c r="Z328" i="1"/>
  <c r="Z343" i="1"/>
  <c r="Z350" i="1"/>
  <c r="Z358" i="1"/>
  <c r="Z366" i="1"/>
  <c r="Z374" i="1"/>
  <c r="Z382" i="1"/>
  <c r="AA390" i="1"/>
  <c r="AB390" i="1" s="1"/>
  <c r="AA398" i="1"/>
  <c r="AB398" i="1" s="1"/>
  <c r="W404" i="1"/>
  <c r="Y405" i="1"/>
  <c r="AA406" i="1"/>
  <c r="AB406" i="1" s="1"/>
  <c r="W412" i="1"/>
  <c r="Y413" i="1"/>
  <c r="Z414" i="1"/>
  <c r="Z418" i="1"/>
  <c r="Z422" i="1"/>
  <c r="W428" i="1"/>
  <c r="Y429" i="1"/>
  <c r="AA430" i="1"/>
  <c r="AB430" i="1" s="1"/>
  <c r="W435" i="1"/>
  <c r="Y436" i="1"/>
  <c r="AB437" i="1"/>
  <c r="W442" i="1"/>
  <c r="Z443" i="1"/>
  <c r="Z452" i="1"/>
  <c r="W459" i="1"/>
  <c r="Y460" i="1"/>
  <c r="AA461" i="1"/>
  <c r="AB461" i="1" s="1"/>
  <c r="Z472" i="1"/>
  <c r="Z389" i="1"/>
  <c r="Z397" i="1"/>
  <c r="Z405" i="1"/>
  <c r="Z413" i="1"/>
  <c r="Y417" i="1"/>
  <c r="W420" i="1"/>
  <c r="Y421" i="1"/>
  <c r="W449" i="1"/>
  <c r="Y451" i="1"/>
  <c r="AB453" i="1"/>
  <c r="W467" i="1"/>
  <c r="Y468" i="1"/>
  <c r="W470" i="1"/>
  <c r="Y471" i="1"/>
  <c r="Y483" i="1"/>
  <c r="W491" i="1"/>
  <c r="Y492" i="1"/>
  <c r="Z335" i="1"/>
  <c r="Z373" i="1"/>
  <c r="Z381" i="1"/>
  <c r="AA405" i="1"/>
  <c r="AB405" i="1" s="1"/>
  <c r="AA413" i="1"/>
  <c r="AB413" i="1" s="1"/>
  <c r="Z417" i="1"/>
  <c r="AA429" i="1"/>
  <c r="AB429" i="1" s="1"/>
  <c r="W434" i="1"/>
  <c r="AA436" i="1"/>
  <c r="AB436" i="1" s="1"/>
  <c r="Z451" i="1"/>
  <c r="AA460" i="1"/>
  <c r="AB460" i="1" s="1"/>
  <c r="U480" i="1"/>
  <c r="X480" i="1" s="1"/>
  <c r="W481" i="1"/>
  <c r="Z483" i="1"/>
  <c r="Z492" i="1"/>
  <c r="W387" i="1"/>
  <c r="Z404" i="1"/>
  <c r="Z412" i="1"/>
  <c r="AA417" i="1"/>
  <c r="AA421" i="1"/>
  <c r="AB421" i="1" s="1"/>
  <c r="W427" i="1"/>
  <c r="Z428" i="1"/>
  <c r="Z435" i="1"/>
  <c r="W441" i="1"/>
  <c r="Z442" i="1"/>
  <c r="W448" i="1"/>
  <c r="AA451" i="1"/>
  <c r="Z459" i="1"/>
  <c r="W466" i="1"/>
  <c r="AA468" i="1"/>
  <c r="AB468" i="1" s="1"/>
  <c r="AA471" i="1"/>
  <c r="AA483" i="1"/>
  <c r="W490" i="1"/>
  <c r="AA492" i="1"/>
  <c r="Z420" i="1"/>
  <c r="Z449" i="1"/>
  <c r="Y458" i="1"/>
  <c r="Z467" i="1"/>
  <c r="Z470" i="1"/>
  <c r="U479" i="1"/>
  <c r="X479" i="1" s="1"/>
  <c r="Z491" i="1"/>
  <c r="Z427" i="1"/>
  <c r="W440" i="1"/>
  <c r="W447" i="1"/>
  <c r="Z481" i="1"/>
  <c r="W489" i="1"/>
  <c r="Z387" i="1"/>
  <c r="Z441" i="1"/>
  <c r="Z448" i="1"/>
  <c r="AA458" i="1"/>
  <c r="AB458" i="1" s="1"/>
  <c r="Z466" i="1"/>
  <c r="U477" i="1"/>
  <c r="X477" i="1" s="1"/>
  <c r="Z490" i="1"/>
  <c r="Z489" i="1"/>
  <c r="U486" i="1"/>
  <c r="X486" i="1" s="1"/>
  <c r="Y488" i="1"/>
  <c r="Y290" i="1" l="1"/>
  <c r="AC290" i="1"/>
  <c r="AA290" i="1"/>
  <c r="AB290" i="1" s="1"/>
  <c r="AC489" i="1"/>
  <c r="AA489" i="1"/>
  <c r="AB489" i="1" s="1"/>
  <c r="Y489" i="1"/>
  <c r="AC318" i="1"/>
  <c r="AA318" i="1"/>
  <c r="AB318" i="1" s="1"/>
  <c r="Y318" i="1"/>
  <c r="Y367" i="1"/>
  <c r="AC367" i="1"/>
  <c r="AA367" i="1"/>
  <c r="AB367" i="1" s="1"/>
  <c r="AC466" i="1"/>
  <c r="AA466" i="1"/>
  <c r="AB466" i="1" s="1"/>
  <c r="Y466" i="1"/>
  <c r="AC481" i="1"/>
  <c r="AA481" i="1"/>
  <c r="AB481" i="1" s="1"/>
  <c r="Y481" i="1"/>
  <c r="AC343" i="1"/>
  <c r="AA343" i="1"/>
  <c r="AB343" i="1" s="1"/>
  <c r="Y343" i="1"/>
  <c r="AC364" i="1"/>
  <c r="AA364" i="1"/>
  <c r="AB364" i="1" s="1"/>
  <c r="Y364" i="1"/>
  <c r="AC273" i="1"/>
  <c r="AA273" i="1"/>
  <c r="AB273" i="1" s="1"/>
  <c r="Y273" i="1"/>
  <c r="AC274" i="1"/>
  <c r="AA274" i="1"/>
  <c r="AB274" i="1" s="1"/>
  <c r="Y274" i="1"/>
  <c r="AA199" i="1"/>
  <c r="AB199" i="1" s="1"/>
  <c r="Y199" i="1"/>
  <c r="AC199" i="1"/>
  <c r="AA295" i="1"/>
  <c r="AB295" i="1" s="1"/>
  <c r="Y295" i="1"/>
  <c r="AC295" i="1"/>
  <c r="AC70" i="1"/>
  <c r="AA70" i="1"/>
  <c r="AB70" i="1" s="1"/>
  <c r="Y70" i="1"/>
  <c r="AC265" i="1"/>
  <c r="AA265" i="1"/>
  <c r="AB265" i="1" s="1"/>
  <c r="Y265" i="1"/>
  <c r="AA227" i="1"/>
  <c r="AB227" i="1" s="1"/>
  <c r="Y227" i="1"/>
  <c r="AC227" i="1"/>
  <c r="AC448" i="1"/>
  <c r="AA448" i="1"/>
  <c r="AB448" i="1" s="1"/>
  <c r="Y448" i="1"/>
  <c r="AC414" i="1"/>
  <c r="AA414" i="1"/>
  <c r="AB414" i="1" s="1"/>
  <c r="Y414" i="1"/>
  <c r="AC328" i="1"/>
  <c r="AA328" i="1"/>
  <c r="AB328" i="1" s="1"/>
  <c r="Y328" i="1"/>
  <c r="AC380" i="1"/>
  <c r="AA380" i="1"/>
  <c r="AB380" i="1" s="1"/>
  <c r="Y380" i="1"/>
  <c r="Y167" i="1"/>
  <c r="AA167" i="1"/>
  <c r="AB167" i="1" s="1"/>
  <c r="AC167" i="1"/>
  <c r="Y139" i="1"/>
  <c r="AC139" i="1"/>
  <c r="AA139" i="1"/>
  <c r="AB139" i="1" s="1"/>
  <c r="AA149" i="1"/>
  <c r="AB149" i="1" s="1"/>
  <c r="Y149" i="1"/>
  <c r="AC149" i="1"/>
  <c r="AC54" i="1"/>
  <c r="AA54" i="1"/>
  <c r="AB54" i="1" s="1"/>
  <c r="Y54" i="1"/>
  <c r="AA211" i="1"/>
  <c r="AB211" i="1" s="1"/>
  <c r="Y211" i="1"/>
  <c r="AC211" i="1"/>
  <c r="AC118" i="1"/>
  <c r="AA118" i="1"/>
  <c r="AB118" i="1" s="1"/>
  <c r="Y118" i="1"/>
  <c r="Y231" i="1"/>
  <c r="AA231" i="1"/>
  <c r="AB231" i="1" s="1"/>
  <c r="AC231" i="1"/>
  <c r="AC266" i="1"/>
  <c r="AA266" i="1"/>
  <c r="AB266" i="1" s="1"/>
  <c r="Y266" i="1"/>
  <c r="AC141" i="1"/>
  <c r="AA141" i="1"/>
  <c r="AB141" i="1" s="1"/>
  <c r="Y141" i="1"/>
  <c r="AC95" i="1"/>
  <c r="AA95" i="1"/>
  <c r="AB95" i="1" s="1"/>
  <c r="Y95" i="1"/>
  <c r="Y64" i="1"/>
  <c r="AC64" i="1"/>
  <c r="AA64" i="1"/>
  <c r="AB64" i="1" s="1"/>
  <c r="AC336" i="1"/>
  <c r="AA336" i="1"/>
  <c r="AB336" i="1" s="1"/>
  <c r="Y336" i="1"/>
  <c r="AC418" i="1"/>
  <c r="AA418" i="1"/>
  <c r="AB418" i="1" s="1"/>
  <c r="Y418" i="1"/>
  <c r="AC242" i="1"/>
  <c r="AA242" i="1"/>
  <c r="AB242" i="1" s="1"/>
  <c r="Y242" i="1"/>
  <c r="AC258" i="1"/>
  <c r="AA258" i="1"/>
  <c r="AB258" i="1" s="1"/>
  <c r="Y258" i="1"/>
  <c r="AA287" i="1"/>
  <c r="AB287" i="1" s="1"/>
  <c r="Y287" i="1"/>
  <c r="AC287" i="1"/>
  <c r="AA256" i="1"/>
  <c r="AB256" i="1" s="1"/>
  <c r="Y256" i="1"/>
  <c r="AC256" i="1"/>
  <c r="AA140" i="1"/>
  <c r="AB140" i="1" s="1"/>
  <c r="Y140" i="1"/>
  <c r="AC140" i="1"/>
  <c r="AC46" i="1"/>
  <c r="AA46" i="1"/>
  <c r="AB46" i="1" s="1"/>
  <c r="Y46" i="1"/>
  <c r="AC110" i="1"/>
  <c r="AA110" i="1"/>
  <c r="AB110" i="1" s="1"/>
  <c r="Y110" i="1"/>
  <c r="AA252" i="1"/>
  <c r="Y252" i="1"/>
  <c r="AC252" i="1"/>
  <c r="AA152" i="1"/>
  <c r="AB152" i="1" s="1"/>
  <c r="Y152" i="1"/>
  <c r="AC152" i="1"/>
  <c r="AC467" i="1"/>
  <c r="AA467" i="1"/>
  <c r="AB467" i="1" s="1"/>
  <c r="Y467" i="1"/>
  <c r="AA363" i="1"/>
  <c r="AB363" i="1" s="1"/>
  <c r="Y363" i="1"/>
  <c r="AC363" i="1"/>
  <c r="AC132" i="1"/>
  <c r="AA132" i="1"/>
  <c r="AB132" i="1" s="1"/>
  <c r="Y132" i="1"/>
  <c r="Y321" i="1"/>
  <c r="AC321" i="1"/>
  <c r="AA321" i="1"/>
  <c r="AB321" i="1" s="1"/>
  <c r="Y203" i="1"/>
  <c r="AC203" i="1"/>
  <c r="AA203" i="1"/>
  <c r="AB203" i="1" s="1"/>
  <c r="AC234" i="1"/>
  <c r="AA234" i="1"/>
  <c r="AB234" i="1" s="1"/>
  <c r="Y234" i="1"/>
  <c r="Y359" i="1"/>
  <c r="AC359" i="1"/>
  <c r="AA359" i="1"/>
  <c r="AB359" i="1" s="1"/>
  <c r="Y60" i="1"/>
  <c r="AC60" i="1"/>
  <c r="AA60" i="1"/>
  <c r="AB60" i="1" s="1"/>
  <c r="AA61" i="1"/>
  <c r="AB61" i="1" s="1"/>
  <c r="Y61" i="1"/>
  <c r="AC61" i="1"/>
  <c r="AA163" i="1"/>
  <c r="AB163" i="1" s="1"/>
  <c r="Y163" i="1"/>
  <c r="AC163" i="1"/>
  <c r="AC71" i="1"/>
  <c r="AA71" i="1"/>
  <c r="AB71" i="1" s="1"/>
  <c r="Y71" i="1"/>
  <c r="AC145" i="1"/>
  <c r="AA145" i="1"/>
  <c r="AB145" i="1" s="1"/>
  <c r="Y145" i="1"/>
  <c r="AC470" i="1"/>
  <c r="AA470" i="1"/>
  <c r="AB470" i="1" s="1"/>
  <c r="Y470" i="1"/>
  <c r="AC62" i="1"/>
  <c r="AA62" i="1"/>
  <c r="AB62" i="1" s="1"/>
  <c r="Y62" i="1"/>
  <c r="AC235" i="1"/>
  <c r="AA235" i="1"/>
  <c r="AB235" i="1" s="1"/>
  <c r="Y235" i="1"/>
  <c r="Y351" i="1"/>
  <c r="AC351" i="1"/>
  <c r="AA351" i="1"/>
  <c r="AB351" i="1" s="1"/>
  <c r="AC427" i="1"/>
  <c r="AA427" i="1"/>
  <c r="AB427" i="1" s="1"/>
  <c r="Y427" i="1"/>
  <c r="AC420" i="1"/>
  <c r="AA420" i="1"/>
  <c r="AB420" i="1" s="1"/>
  <c r="Y420" i="1"/>
  <c r="AC374" i="1"/>
  <c r="AA374" i="1"/>
  <c r="AB374" i="1" s="1"/>
  <c r="Y374" i="1"/>
  <c r="AC313" i="1"/>
  <c r="AA313" i="1"/>
  <c r="AB313" i="1" s="1"/>
  <c r="Y313" i="1"/>
  <c r="Y198" i="1"/>
  <c r="AC198" i="1"/>
  <c r="AA198" i="1"/>
  <c r="AB198" i="1" s="1"/>
  <c r="AC226" i="1"/>
  <c r="Y226" i="1"/>
  <c r="AA226" i="1"/>
  <c r="AB226" i="1" s="1"/>
  <c r="Y337" i="1"/>
  <c r="AA337" i="1"/>
  <c r="AB337" i="1" s="1"/>
  <c r="AC337" i="1"/>
  <c r="Y52" i="1"/>
  <c r="AC52" i="1"/>
  <c r="AA52" i="1"/>
  <c r="AB52" i="1" s="1"/>
  <c r="AC38" i="1"/>
  <c r="AA38" i="1"/>
  <c r="AB38" i="1" s="1"/>
  <c r="Y38" i="1"/>
  <c r="AC102" i="1"/>
  <c r="AA102" i="1"/>
  <c r="AB102" i="1" s="1"/>
  <c r="Y102" i="1"/>
  <c r="AC56" i="1"/>
  <c r="Y56" i="1"/>
  <c r="AA56" i="1"/>
  <c r="AB56" i="1" s="1"/>
  <c r="AC447" i="1"/>
  <c r="AA447" i="1"/>
  <c r="AB447" i="1" s="1"/>
  <c r="Y447" i="1"/>
  <c r="AA355" i="1"/>
  <c r="AB355" i="1" s="1"/>
  <c r="Y355" i="1"/>
  <c r="AC355" i="1"/>
  <c r="AA187" i="1"/>
  <c r="AB187" i="1" s="1"/>
  <c r="Y187" i="1"/>
  <c r="AC187" i="1"/>
  <c r="AC422" i="1"/>
  <c r="AA422" i="1"/>
  <c r="AB422" i="1" s="1"/>
  <c r="Y422" i="1"/>
  <c r="AC286" i="1"/>
  <c r="Y286" i="1"/>
  <c r="AA286" i="1"/>
  <c r="AB286" i="1" s="1"/>
  <c r="AC126" i="1"/>
  <c r="AA126" i="1"/>
  <c r="AB126" i="1" s="1"/>
  <c r="Y126" i="1"/>
  <c r="Y329" i="1"/>
  <c r="AC329" i="1"/>
  <c r="AA329" i="1"/>
  <c r="AB329" i="1" s="1"/>
  <c r="AC472" i="1"/>
  <c r="AA472" i="1"/>
  <c r="AB472" i="1" s="1"/>
  <c r="Y472" i="1"/>
  <c r="AA311" i="1"/>
  <c r="AB311" i="1" s="1"/>
  <c r="Y311" i="1"/>
  <c r="AC311" i="1"/>
  <c r="AA317" i="1"/>
  <c r="AB317" i="1" s="1"/>
  <c r="Y317" i="1"/>
  <c r="AC317" i="1"/>
  <c r="AC218" i="1"/>
  <c r="Y218" i="1"/>
  <c r="AA218" i="1"/>
  <c r="AB218" i="1" s="1"/>
  <c r="AC243" i="1"/>
  <c r="AA243" i="1"/>
  <c r="AB243" i="1" s="1"/>
  <c r="Y243" i="1"/>
  <c r="AC44" i="1"/>
  <c r="Y44" i="1"/>
  <c r="AA44" i="1"/>
  <c r="AB44" i="1" s="1"/>
  <c r="AA53" i="1"/>
  <c r="AB53" i="1" s="1"/>
  <c r="Y53" i="1"/>
  <c r="AC53" i="1"/>
  <c r="Y207" i="1"/>
  <c r="AA207" i="1"/>
  <c r="AB207" i="1" s="1"/>
  <c r="AC207" i="1"/>
  <c r="AC440" i="1"/>
  <c r="AA440" i="1"/>
  <c r="AB440" i="1" s="1"/>
  <c r="Y440" i="1"/>
  <c r="AC441" i="1"/>
  <c r="AA441" i="1"/>
  <c r="AB441" i="1" s="1"/>
  <c r="Y441" i="1"/>
  <c r="AC449" i="1"/>
  <c r="AA449" i="1"/>
  <c r="AB449" i="1" s="1"/>
  <c r="Y449" i="1"/>
  <c r="AA307" i="1"/>
  <c r="AB307" i="1" s="1"/>
  <c r="Y307" i="1"/>
  <c r="AC307" i="1"/>
  <c r="Y375" i="1"/>
  <c r="AC375" i="1"/>
  <c r="AA375" i="1"/>
  <c r="AB375" i="1" s="1"/>
  <c r="AC452" i="1"/>
  <c r="AA452" i="1"/>
  <c r="AB452" i="1" s="1"/>
  <c r="Y452" i="1"/>
  <c r="AC300" i="1"/>
  <c r="AA300" i="1"/>
  <c r="AB300" i="1" s="1"/>
  <c r="Y300" i="1"/>
  <c r="AC210" i="1"/>
  <c r="Y210" i="1"/>
  <c r="AA210" i="1"/>
  <c r="AB210" i="1" s="1"/>
  <c r="Y36" i="1"/>
  <c r="AC36" i="1"/>
  <c r="AA36" i="1"/>
  <c r="AB36" i="1" s="1"/>
  <c r="AA171" i="1"/>
  <c r="AB171" i="1" s="1"/>
  <c r="Y171" i="1"/>
  <c r="AC171" i="1"/>
  <c r="AC94" i="1"/>
  <c r="AA94" i="1"/>
  <c r="AB94" i="1" s="1"/>
  <c r="Y94" i="1"/>
  <c r="AC383" i="1"/>
  <c r="Y383" i="1"/>
  <c r="AA383" i="1"/>
  <c r="AB383" i="1" s="1"/>
  <c r="AC135" i="1"/>
  <c r="AA135" i="1"/>
  <c r="AB135" i="1" s="1"/>
  <c r="Y135" i="1"/>
  <c r="AC48" i="1"/>
  <c r="AA48" i="1"/>
  <c r="AB48" i="1" s="1"/>
  <c r="Y48" i="1"/>
  <c r="AA371" i="1"/>
  <c r="AB371" i="1" s="1"/>
  <c r="Y371" i="1"/>
  <c r="AC371" i="1"/>
  <c r="AC294" i="1"/>
  <c r="Y294" i="1"/>
  <c r="AA294" i="1"/>
  <c r="AB294" i="1" s="1"/>
  <c r="AC412" i="1"/>
  <c r="AA412" i="1"/>
  <c r="AB412" i="1" s="1"/>
  <c r="Y412" i="1"/>
  <c r="AC154" i="1"/>
  <c r="AA154" i="1"/>
  <c r="AB154" i="1" s="1"/>
  <c r="Y154" i="1"/>
  <c r="AC150" i="1"/>
  <c r="AA150" i="1"/>
  <c r="AB150" i="1" s="1"/>
  <c r="Y150" i="1"/>
  <c r="AC382" i="1"/>
  <c r="AA382" i="1"/>
  <c r="AB382" i="1" s="1"/>
  <c r="Y382" i="1"/>
  <c r="AC435" i="1"/>
  <c r="AA435" i="1"/>
  <c r="AB435" i="1" s="1"/>
  <c r="Y435" i="1"/>
  <c r="AC366" i="1"/>
  <c r="AA366" i="1"/>
  <c r="AB366" i="1" s="1"/>
  <c r="Y366" i="1"/>
  <c r="AC186" i="1"/>
  <c r="Y186" i="1"/>
  <c r="AA186" i="1"/>
  <c r="AB186" i="1" s="1"/>
  <c r="AC301" i="1"/>
  <c r="AA301" i="1"/>
  <c r="AB301" i="1" s="1"/>
  <c r="Y301" i="1"/>
  <c r="Y215" i="1"/>
  <c r="AA215" i="1"/>
  <c r="AB215" i="1" s="1"/>
  <c r="AC215" i="1"/>
  <c r="AA179" i="1"/>
  <c r="AB179" i="1" s="1"/>
  <c r="Y179" i="1"/>
  <c r="AC179" i="1"/>
  <c r="Y223" i="1"/>
  <c r="AA223" i="1"/>
  <c r="AB223" i="1" s="1"/>
  <c r="AC223" i="1"/>
  <c r="AA45" i="1"/>
  <c r="AB45" i="1" s="1"/>
  <c r="Y45" i="1"/>
  <c r="AC45" i="1"/>
  <c r="AC348" i="1"/>
  <c r="AA348" i="1"/>
  <c r="AB348" i="1" s="1"/>
  <c r="Y348" i="1"/>
  <c r="AC130" i="1"/>
  <c r="AA130" i="1"/>
  <c r="AB130" i="1" s="1"/>
  <c r="Y130" i="1"/>
  <c r="AC40" i="1"/>
  <c r="Y40" i="1"/>
  <c r="AA40" i="1"/>
  <c r="AB40" i="1" s="1"/>
  <c r="AA347" i="1"/>
  <c r="AB347" i="1" s="1"/>
  <c r="Y347" i="1"/>
  <c r="AC347" i="1"/>
  <c r="AC251" i="1"/>
  <c r="Y251" i="1"/>
  <c r="AA251" i="1"/>
  <c r="AB251" i="1" s="1"/>
  <c r="Y148" i="1"/>
  <c r="AC148" i="1"/>
  <c r="AA148" i="1"/>
  <c r="AB148" i="1" s="1"/>
  <c r="AA341" i="1"/>
  <c r="AB341" i="1" s="1"/>
  <c r="Y341" i="1"/>
  <c r="AC341" i="1"/>
  <c r="AC404" i="1"/>
  <c r="AA404" i="1"/>
  <c r="AB404" i="1" s="1"/>
  <c r="Y404" i="1"/>
  <c r="AC428" i="1"/>
  <c r="AA428" i="1"/>
  <c r="AB428" i="1" s="1"/>
  <c r="Y428" i="1"/>
  <c r="AC86" i="1"/>
  <c r="AA86" i="1"/>
  <c r="AB86" i="1" s="1"/>
  <c r="Y86" i="1"/>
  <c r="AA291" i="1"/>
  <c r="AB291" i="1" s="1"/>
  <c r="Y291" i="1"/>
  <c r="AC291" i="1"/>
  <c r="Y183" i="1"/>
  <c r="AA183" i="1"/>
  <c r="AB183" i="1" s="1"/>
  <c r="AC183" i="1"/>
  <c r="AC32" i="1"/>
  <c r="AA32" i="1"/>
  <c r="AB32" i="1" s="1"/>
  <c r="Y32" i="1"/>
  <c r="AA219" i="1"/>
  <c r="AB219" i="1" s="1"/>
  <c r="Y219" i="1"/>
  <c r="AC219" i="1"/>
  <c r="AC459" i="1"/>
  <c r="AA459" i="1"/>
  <c r="AB459" i="1" s="1"/>
  <c r="Y459" i="1"/>
  <c r="AC484" i="1"/>
  <c r="AA484" i="1"/>
  <c r="AB484" i="1" s="1"/>
  <c r="Y484" i="1"/>
  <c r="AC388" i="1"/>
  <c r="AA388" i="1"/>
  <c r="AB388" i="1" s="1"/>
  <c r="Y388" i="1"/>
  <c r="Y159" i="1"/>
  <c r="AC159" i="1"/>
  <c r="AA159" i="1"/>
  <c r="AB159" i="1" s="1"/>
  <c r="AC185" i="1"/>
  <c r="AA185" i="1"/>
  <c r="AB185" i="1" s="1"/>
  <c r="Y185" i="1"/>
  <c r="AC178" i="1"/>
  <c r="Y178" i="1"/>
  <c r="AA178" i="1"/>
  <c r="AB178" i="1" s="1"/>
  <c r="AA387" i="1"/>
  <c r="AB387" i="1" s="1"/>
  <c r="Y387" i="1"/>
  <c r="AC387" i="1"/>
  <c r="AC443" i="1"/>
  <c r="AA443" i="1"/>
  <c r="AB443" i="1" s="1"/>
  <c r="Y443" i="1"/>
  <c r="AC177" i="1"/>
  <c r="AA177" i="1"/>
  <c r="AB177" i="1" s="1"/>
  <c r="Y177" i="1"/>
  <c r="AC170" i="1"/>
  <c r="Y170" i="1"/>
  <c r="AA170" i="1"/>
  <c r="AB170" i="1" s="1"/>
  <c r="AA160" i="1"/>
  <c r="AB160" i="1" s="1"/>
  <c r="Y160" i="1"/>
  <c r="AC160" i="1"/>
  <c r="AA37" i="1"/>
  <c r="AB37" i="1" s="1"/>
  <c r="Y37" i="1"/>
  <c r="AC37" i="1"/>
  <c r="AC342" i="1"/>
  <c r="AA342" i="1"/>
  <c r="AB342" i="1" s="1"/>
  <c r="Y342" i="1"/>
  <c r="AA156" i="1"/>
  <c r="AB156" i="1" s="1"/>
  <c r="Y156" i="1"/>
  <c r="AC156" i="1"/>
  <c r="AA194" i="1"/>
  <c r="AB194" i="1" s="1"/>
  <c r="Y194" i="1"/>
  <c r="AC194" i="1"/>
  <c r="AA333" i="1"/>
  <c r="AB333" i="1" s="1"/>
  <c r="Y333" i="1"/>
  <c r="AC333" i="1"/>
  <c r="Y310" i="1"/>
  <c r="AC310" i="1"/>
  <c r="AA310" i="1"/>
  <c r="AB310" i="1" s="1"/>
  <c r="AC434" i="1"/>
  <c r="AA434" i="1"/>
  <c r="AB434" i="1" s="1"/>
  <c r="Y434" i="1"/>
  <c r="AC320" i="1"/>
  <c r="AA320" i="1"/>
  <c r="AB320" i="1" s="1"/>
  <c r="Y320" i="1"/>
  <c r="AC396" i="1"/>
  <c r="AA396" i="1"/>
  <c r="AB396" i="1" s="1"/>
  <c r="Y396" i="1"/>
  <c r="AC442" i="1"/>
  <c r="AA442" i="1"/>
  <c r="AB442" i="1" s="1"/>
  <c r="Y442" i="1"/>
  <c r="AC356" i="1"/>
  <c r="AA356" i="1"/>
  <c r="AB356" i="1" s="1"/>
  <c r="Y356" i="1"/>
  <c r="AC490" i="1"/>
  <c r="AA490" i="1"/>
  <c r="AB490" i="1" s="1"/>
  <c r="Y490" i="1"/>
  <c r="AC358" i="1"/>
  <c r="AA358" i="1"/>
  <c r="AB358" i="1" s="1"/>
  <c r="Y358" i="1"/>
  <c r="AA379" i="1"/>
  <c r="AB379" i="1" s="1"/>
  <c r="Y379" i="1"/>
  <c r="AC379" i="1"/>
  <c r="AC491" i="1"/>
  <c r="AA491" i="1"/>
  <c r="AB491" i="1" s="1"/>
  <c r="Y491" i="1"/>
  <c r="AC350" i="1"/>
  <c r="AA350" i="1"/>
  <c r="AB350" i="1" s="1"/>
  <c r="Y350" i="1"/>
  <c r="AA325" i="1"/>
  <c r="AB325" i="1" s="1"/>
  <c r="Y325" i="1"/>
  <c r="AC325" i="1"/>
  <c r="AC277" i="1"/>
  <c r="AA277" i="1"/>
  <c r="AB277" i="1" s="1"/>
  <c r="Y277" i="1"/>
  <c r="AC162" i="1"/>
  <c r="Y162" i="1"/>
  <c r="AA162" i="1"/>
  <c r="AB162" i="1" s="1"/>
  <c r="AC278" i="1"/>
  <c r="AA278" i="1"/>
  <c r="AB278" i="1" s="1"/>
  <c r="Y278" i="1"/>
  <c r="AA195" i="1"/>
  <c r="AB195" i="1" s="1"/>
  <c r="Y195" i="1"/>
  <c r="AC195" i="1"/>
  <c r="Y175" i="1"/>
  <c r="AA175" i="1"/>
  <c r="AC175" i="1"/>
  <c r="AC78" i="1"/>
  <c r="AA78" i="1"/>
  <c r="AB78" i="1" s="1"/>
  <c r="Y78" i="1"/>
  <c r="AA49" i="1"/>
  <c r="AB49" i="1" s="1"/>
  <c r="AC49" i="1"/>
  <c r="Y49" i="1"/>
  <c r="AC41" i="1"/>
  <c r="AA41" i="1"/>
  <c r="AB41" i="1" s="1"/>
  <c r="Y4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218" authorId="0" shapeId="0" xr:uid="{00000000-0006-0000-0000-000001000000}">
      <text>
        <r>
          <rPr>
            <sz val="11"/>
            <color theme="1"/>
            <rFont val="Calibri"/>
            <scheme val="minor"/>
          </rPr>
          <t xml:space="preserve"> in autorizzazione - “Canale Collettore Principale”
======</t>
        </r>
      </text>
    </comment>
    <comment ref="C236" authorId="0" shapeId="0" xr:uid="{00000000-0006-0000-0000-00000F000000}">
      <text>
        <r>
          <rPr>
            <sz val="11"/>
            <color theme="1"/>
            <rFont val="Calibri"/>
            <scheme val="minor"/>
          </rPr>
          <t>======
ID#AAAAaBjwcHQ
Stefano Vidali    (2022-06-01 14:38:29)
Rilievo assente, perimetrazione dei bacini provvisoria, non affidabile.</t>
        </r>
      </text>
    </comment>
    <comment ref="C237" authorId="0" shapeId="0" xr:uid="{00000000-0006-0000-0000-000013000000}">
      <text>
        <r>
          <rPr>
            <sz val="11"/>
            <color theme="1"/>
            <rFont val="Calibri"/>
            <scheme val="minor"/>
          </rPr>
          <t>======
ID#AAAAaBjwcHA
Stefano Vidali    (2022-06-01 14:38:29)
Rilievo assente, perimetrazione dei bacini provvisoria, non affidabile.</t>
        </r>
      </text>
    </comment>
    <comment ref="C238" authorId="0" shapeId="0" xr:uid="{00000000-0006-0000-0000-00000E000000}">
      <text>
        <r>
          <rPr>
            <sz val="11"/>
            <color theme="1"/>
            <rFont val="Calibri"/>
            <scheme val="minor"/>
          </rPr>
          <t>======
ID#AAAAaBjwcHU
Stefano Vidali    (2022-06-01 14:38:29)
Rilievo assente, perimetrazione dei bacini provvisoria, non affidabile.</t>
        </r>
      </text>
    </comment>
    <comment ref="C239" authorId="0" shapeId="0" xr:uid="{00000000-0006-0000-0000-00000D000000}">
      <text>
        <r>
          <rPr>
            <sz val="11"/>
            <color theme="1"/>
            <rFont val="Calibri"/>
            <scheme val="minor"/>
          </rPr>
          <t>======
ID#AAAAaBjwcHY
Stefano Vidali    (2022-06-01 14:38:29)
Rilievo assente, perimetrazione dei bacini provvisoria, non affidabile.</t>
        </r>
      </text>
    </comment>
    <comment ref="C240" authorId="0" shapeId="0" xr:uid="{00000000-0006-0000-0000-000010000000}">
      <text>
        <r>
          <rPr>
            <sz val="11"/>
            <color theme="1"/>
            <rFont val="Calibri"/>
            <scheme val="minor"/>
          </rPr>
          <t>======
ID#AAAAaBjwcHM
Stefano Vidali    (2022-06-01 14:38:29)
Rilievo assente, perimetrazione dei bacini provvisoria, non affidabile.</t>
        </r>
      </text>
    </comment>
    <comment ref="C241" authorId="0" shapeId="0" xr:uid="{00000000-0006-0000-0000-000012000000}">
      <text>
        <r>
          <rPr>
            <sz val="11"/>
            <color theme="1"/>
            <rFont val="Calibri"/>
            <scheme val="minor"/>
          </rPr>
          <t>======
ID#AAAAaBjwcHE
Stefano Vidali    (2022-06-01 14:38:29)
Rilievo assente, perimetrazione dei bacini provvisoria, non affidabile.</t>
        </r>
      </text>
    </comment>
    <comment ref="C242" authorId="0" shapeId="0" xr:uid="{00000000-0006-0000-0000-00000B000000}">
      <text>
        <r>
          <rPr>
            <sz val="11"/>
            <color theme="1"/>
            <rFont val="Calibri"/>
            <scheme val="minor"/>
          </rPr>
          <t>======
ID#AAABTRy3eyQ
Stefano Vidali    (2024-08-06 07:01:26)
Rilievo assente, perimetrazione dei bacini provvisoria, non affidabile.</t>
        </r>
      </text>
    </comment>
    <comment ref="C243" authorId="0" shapeId="0" xr:uid="{00000000-0006-0000-0000-000011000000}">
      <text>
        <r>
          <rPr>
            <sz val="11"/>
            <color theme="1"/>
            <rFont val="Calibri"/>
            <scheme val="minor"/>
          </rPr>
          <t>======
ID#AAAAaBjwcHI
Stefano Vidali    (2022-06-01 14:38:29)
Rilievo assente, perimetrazione dei bacini provvisoria, non affidabile.</t>
        </r>
      </text>
    </comment>
    <comment ref="C244" authorId="0" shapeId="0" xr:uid="{00000000-0006-0000-0000-00000A000000}">
      <text>
        <r>
          <rPr>
            <sz val="11"/>
            <color theme="1"/>
            <rFont val="Calibri"/>
            <scheme val="minor"/>
          </rPr>
          <t>======
ID#AAABTRy3eyU
Stefano Vidali    (2024-08-06 07:01:26)
Rilievo assente, perimetrazione dei bacini provvisoria, non affidabile.</t>
        </r>
      </text>
    </comment>
    <comment ref="C245" authorId="0" shapeId="0" xr:uid="{00000000-0006-0000-0000-000009000000}">
      <text>
        <r>
          <rPr>
            <sz val="11"/>
            <color theme="1"/>
            <rFont val="Calibri"/>
            <scheme val="minor"/>
          </rPr>
          <t>======
ID#AAABTRy3eyY
Stefano Vidali    (2024-08-06 07:01:26)
Rilievo assente, perimetrazione dei bacini provvisoria, non affidabile.</t>
        </r>
      </text>
    </comment>
    <comment ref="L252" authorId="0" shapeId="0" xr:uid="{00000000-0006-0000-0000-000007000000}">
      <text>
        <r>
          <rPr>
            <sz val="11"/>
            <color theme="1"/>
            <rFont val="Calibri"/>
            <scheme val="minor"/>
          </rPr>
          <t>======
ID#AAABV-9m1p0
Giorgia Federzoni    (2024-09-27 08:39:05)
concesso però nel lago superiore</t>
        </r>
      </text>
    </comment>
    <comment ref="AR252" authorId="0" shapeId="0" xr:uid="{00000000-0006-0000-0000-000006000000}">
      <text>
        <r>
          <rPr>
            <sz val="11"/>
            <color theme="1"/>
            <rFont val="Calibri"/>
            <scheme val="minor"/>
          </rPr>
          <t>======
ID#AAABV-9m1p4
Giorgia Federzoni    (2024-09-27 08:57:32)
rinnovare tre mesi prima</t>
        </r>
      </text>
    </comment>
    <comment ref="L296" authorId="0" shapeId="0" xr:uid="{00000000-0006-0000-0000-000008000000}">
      <text>
        <r>
          <rPr>
            <sz val="11"/>
            <color theme="1"/>
            <rFont val="Calibri"/>
            <scheme val="minor"/>
          </rPr>
          <t>======
ID#AAABTRy5k4I
Vito Melara    (2024-08-06 07:01:26)
Questo recapito mi pare strano</t>
        </r>
      </text>
    </comment>
    <comment ref="C303" authorId="0" shapeId="0" xr:uid="{00000000-0006-0000-0000-00000C000000}">
      <text>
        <r>
          <rPr>
            <sz val="11"/>
            <color theme="1"/>
            <rFont val="Calibri"/>
            <scheme val="minor"/>
          </rPr>
          <t>======
ID#AAABTRy3eyM
Vito Melara    (2024-08-06 07:01:26)
Non ricordo se avessimo deciso di farlo autorizzare o meno</t>
        </r>
      </text>
    </comment>
    <comment ref="I324" authorId="0" shapeId="0" xr:uid="{00000000-0006-0000-0000-000004000000}">
      <text>
        <r>
          <rPr>
            <sz val="11"/>
            <color theme="1"/>
            <rFont val="Calibri"/>
            <scheme val="minor"/>
          </rPr>
          <t>======
ID#AAABWYBrbak
Giorgia Federzoni    (2024-09-30 15:20:53)
o via matteotti atto provincia
------
ID#AAABWPGzK1Q
Vito Melara    (2024-10-03 06:37:53)
C'è uno sfioro in piazza Matteotti, diverso da questo. Questo mi pare abbia i riferimenti corretti...</t>
        </r>
      </text>
    </comment>
    <comment ref="I328" authorId="0" shapeId="0" xr:uid="{00000000-0006-0000-0000-000005000000}">
      <text>
        <r>
          <rPr>
            <sz val="11"/>
            <color theme="1"/>
            <rFont val="Calibri"/>
            <scheme val="minor"/>
          </rPr>
          <t>======
ID#AAABWYBrbaY
Giorgia Federzoni    (2024-09-30 15:18:55)
O  via Kennedy come da atto provincia?
------
ID#AAABWPGzK1U
Vito Melara    (2024-10-03 06:39:51)
Sì, è anche via Kennedy. Str. Gonzaga era prima che dessero i nomi alle vie dell'urbanizzazione
------
ID#AAABWPGzK1Y
Vito Melara    (2024-10-03 06:40:23)
Ho visto che le coordinate sono però vecchie, il manufatto è stato rifatto a circa 100 m di distanza un anno fa.</t>
        </r>
      </text>
    </comment>
    <comment ref="L332" authorId="0" shapeId="0" xr:uid="{00000000-0006-0000-0000-000003000000}">
      <text>
        <r>
          <rPr>
            <sz val="11"/>
            <color theme="1"/>
            <rFont val="Calibri"/>
            <scheme val="minor"/>
          </rPr>
          <t>======
ID#AAABWdD-4Aw
Giorgia Federzoni    (2024-10-04 10:51:37)
in autorizzazione PO Vecchio</t>
        </r>
      </text>
    </comment>
    <comment ref="L467" authorId="0" shapeId="0" xr:uid="{00000000-0006-0000-0000-000002000000}">
      <text>
        <r>
          <rPr>
            <sz val="11"/>
            <color theme="1"/>
            <rFont val="Calibri"/>
            <scheme val="minor"/>
          </rPr>
          <t>======
ID#AAABYClkhnQ
Giorgia Federzoni    (2024-11-06 13:40:02)
il consorzio dice in fosso tombato afferente fossa Cini
------
ID#AAABYNYlM-c
Vito Melara    (2024-11-06 15:29:38)
Consultato mappe, è vero</t>
        </r>
      </text>
    </comment>
  </commentList>
  <extLst>
    <ext xmlns:r="http://schemas.openxmlformats.org/officeDocument/2006/relationships" uri="GoogleSheetsCustomDataVersion2">
      <go:sheetsCustomData xmlns:go="http://customooxmlschemas.google.com/" r:id="rId1" roundtripDataSignature="AMtx7mg2bCNDWwlAR0ys8DEXHFMH9/1HIQ=="/>
    </ext>
  </extLst>
</comments>
</file>

<file path=xl/sharedStrings.xml><?xml version="1.0" encoding="utf-8"?>
<sst xmlns="http://schemas.openxmlformats.org/spreadsheetml/2006/main" count="10234" uniqueCount="2972">
  <si>
    <t>Legenda colori:</t>
  </si>
  <si>
    <t>001B</t>
  </si>
  <si>
    <t>Dismesso</t>
  </si>
  <si>
    <t>Richiede lavori</t>
  </si>
  <si>
    <t>Sfioro di testa rete, si attiva per rigurgito</t>
  </si>
  <si>
    <t>dati aggiornati post 01/01/2026</t>
  </si>
  <si>
    <t>Sistemare formula mettendo Qs&gt;=20 e non solo &gt;</t>
  </si>
  <si>
    <t>A destra i campi su SAP</t>
  </si>
  <si>
    <t xml:space="preserve">    CODICE_PROVINCIA_MANUFATTO</t>
  </si>
  <si>
    <t xml:space="preserve">      CODICE_PROVINCIA_SCARICO</t>
  </si>
  <si>
    <t>NOTE</t>
  </si>
  <si>
    <t>DEPURATORE_ASSOCIATO</t>
  </si>
  <si>
    <t xml:space="preserve">            RECAPITO_EMISSARIO</t>
  </si>
  <si>
    <t>TIPO_SCARICO</t>
  </si>
  <si>
    <t xml:space="preserve"> TIPO_MANUFATTO</t>
  </si>
  <si>
    <t xml:space="preserve">   ABITANTI_EQUIVALENTI_CIVILI</t>
  </si>
  <si>
    <t>ABITANTI_EQUIVALENTI_INDUSTRIA</t>
  </si>
  <si>
    <t xml:space="preserve">         ABITANTI_EQUIV_TOTALI</t>
  </si>
  <si>
    <t xml:space="preserve">         PORTATA_REFLUA_CIVILE</t>
  </si>
  <si>
    <t xml:space="preserve">    PORTATA_REFLUA_INDUSTRIALE</t>
  </si>
  <si>
    <t xml:space="preserve">      PORTATA_NERA_MEDIA_ANNUA</t>
  </si>
  <si>
    <t xml:space="preserve">                PORTATA_SOGLIA</t>
  </si>
  <si>
    <t xml:space="preserve">   PORTATA_AVVIARE_DEPURAZIONE</t>
  </si>
  <si>
    <t xml:space="preserve">      RAPP_PSOGLIA_MEDIA_ANNUA</t>
  </si>
  <si>
    <t>PORT_SOGLIA_PORT_DEPURAZIONE</t>
  </si>
  <si>
    <t>BACINO&gt;10.000 AE</t>
  </si>
  <si>
    <t xml:space="preserve">  RAPP_PSOGLIA_AVVIARE_DEPURAZ</t>
  </si>
  <si>
    <t>TIPOLOGIA</t>
  </si>
  <si>
    <t xml:space="preserve">           CONF_NORM_PORT_NERA</t>
  </si>
  <si>
    <t xml:space="preserve">         VASCA_REGOLAMENTO_REG</t>
  </si>
  <si>
    <t>BACINO_PROPRIO</t>
  </si>
  <si>
    <t xml:space="preserve">    PORTATA_METEORICA_INGRESSO</t>
  </si>
  <si>
    <t xml:space="preserve">       PORTATA_LIMITE_INGRESSO</t>
  </si>
  <si>
    <t xml:space="preserve">           MANUFATTO_LIMITANTE</t>
  </si>
  <si>
    <t xml:space="preserve">     PORTATA_SPECIFICA_SCARICO</t>
  </si>
  <si>
    <t xml:space="preserve">       SUPERFICIE_IMPERMEABILE</t>
  </si>
  <si>
    <t xml:space="preserve">        VASCA_TUTELA_USO_ACQUE</t>
  </si>
  <si>
    <t xml:space="preserve">    SCADENZA_AUTORIZ_PROVINCIA</t>
  </si>
  <si>
    <t xml:space="preserve">             NR_ATTO_PROVINCIA</t>
  </si>
  <si>
    <t xml:space="preserve">          CONSORZIO_COMPETENTE</t>
  </si>
  <si>
    <t xml:space="preserve">    SCADENZA_AUTORIZ_CONSORZIO</t>
  </si>
  <si>
    <t xml:space="preserve">             NR_ATTO_CONSORZIO</t>
  </si>
  <si>
    <t>Mese modifica</t>
  </si>
  <si>
    <t>Codice</t>
  </si>
  <si>
    <t>Cod Prov Manufa SF</t>
  </si>
  <si>
    <t>Cod Prov Scarico SF</t>
  </si>
  <si>
    <t>Note</t>
  </si>
  <si>
    <t>COMUNE</t>
  </si>
  <si>
    <t>LOCALITA</t>
  </si>
  <si>
    <t>UBICAZIONE</t>
  </si>
  <si>
    <t>Coordinate</t>
  </si>
  <si>
    <t>DEPURATORE ASSOCIATO</t>
  </si>
  <si>
    <t>RECAPITO EMISSARIO</t>
  </si>
  <si>
    <t>Tipo di scarico</t>
  </si>
  <si>
    <t>Scarica a lago o suolo? (serve per il calcolo automatico di Pavv)</t>
  </si>
  <si>
    <t>TIPO</t>
  </si>
  <si>
    <t>AE CIV</t>
  </si>
  <si>
    <t>AE IND</t>
  </si>
  <si>
    <t>AE TOT</t>
  </si>
  <si>
    <t>Q CIV [l/s]</t>
  </si>
  <si>
    <t>Q IND [l/s]</t>
  </si>
  <si>
    <t>Qnm [l/s]</t>
  </si>
  <si>
    <t>Qs [l/s]</t>
  </si>
  <si>
    <t>Pavv [l/s]</t>
  </si>
  <si>
    <t>Qs/Qnm</t>
  </si>
  <si>
    <t>Qs &gt; Pavv</t>
  </si>
  <si>
    <t>10'000 AE</t>
  </si>
  <si>
    <t>Qs/Pavv</t>
  </si>
  <si>
    <t>è conforme?</t>
  </si>
  <si>
    <t>Qs&gt;20</t>
  </si>
  <si>
    <t>Vasca RR</t>
  </si>
  <si>
    <t>Bacino proprio (ha)</t>
  </si>
  <si>
    <t>Q meteo in ingresso al manufatto (l/s)</t>
  </si>
  <si>
    <t>Q limite ingresso al manufatto (l/s)</t>
  </si>
  <si>
    <t>Manufatto limitante</t>
  </si>
  <si>
    <r>
      <rPr>
        <b/>
        <sz val="11"/>
        <color rgb="FF000000"/>
        <rFont val="Calibri"/>
      </rPr>
      <t>Portata specifica allo scarico [l/s ha</t>
    </r>
    <r>
      <rPr>
        <b/>
        <sz val="8"/>
        <color rgb="FF000000"/>
        <rFont val="Calibri"/>
      </rPr>
      <t>imp]</t>
    </r>
  </si>
  <si>
    <t>Sup imp [ha]</t>
  </si>
  <si>
    <t>Qscolmata [l/s]</t>
  </si>
  <si>
    <t>Vasca PTUA</t>
  </si>
  <si>
    <t>dotazione sistema di rilevamento automatico dell'attivazione (SI/NO)</t>
  </si>
  <si>
    <t>Scadenza autorizzazione Provincia</t>
  </si>
  <si>
    <t xml:space="preserve">Atto Provincia n° </t>
  </si>
  <si>
    <t>Consorzio competente</t>
  </si>
  <si>
    <t>Scadenza concessione Consorzio</t>
  </si>
  <si>
    <t>Atto Consorzio n°</t>
  </si>
  <si>
    <t>Note AUT./CONC.</t>
  </si>
  <si>
    <t>SF-BGN-CAM2</t>
  </si>
  <si>
    <t>dismesso, pozzetto di testa</t>
  </si>
  <si>
    <t>Bagnolo San Vito</t>
  </si>
  <si>
    <t>Campione</t>
  </si>
  <si>
    <t>45.07802541119757, 10.822675720904686</t>
  </si>
  <si>
    <t>Bagnolo san Vito (Campione)</t>
  </si>
  <si>
    <t>-</t>
  </si>
  <si>
    <t>SF-BGN-PRI</t>
  </si>
  <si>
    <t>dismesso</t>
  </si>
  <si>
    <t>Capoluogo</t>
  </si>
  <si>
    <t>Da ex sala valvole sollevamento</t>
  </si>
  <si>
    <t>45.072441, 10.874700</t>
  </si>
  <si>
    <t>Bagnolo san Vito (Capoluogo)</t>
  </si>
  <si>
    <t xml:space="preserve"> </t>
  </si>
  <si>
    <t>SF-BGV-PAR2</t>
  </si>
  <si>
    <t>dismesso 2021</t>
  </si>
  <si>
    <t>Borgo Virgilio</t>
  </si>
  <si>
    <t>Pietole</t>
  </si>
  <si>
    <t>via Parma 29</t>
  </si>
  <si>
    <t>45.11421155095645, 10.81829287848042</t>
  </si>
  <si>
    <t>Borgo Virgilio (Pietole)</t>
  </si>
  <si>
    <t>SF-BGV-SCO</t>
  </si>
  <si>
    <t xml:space="preserve"> dismesso</t>
  </si>
  <si>
    <t>Scorzarolo</t>
  </si>
  <si>
    <t>depuratore</t>
  </si>
  <si>
    <t>45.05649967907035, 10.685944116289598</t>
  </si>
  <si>
    <t>Borgo Virgilio (Scorzarolo)</t>
  </si>
  <si>
    <t>SF-BZZ-BZZ1</t>
  </si>
  <si>
    <t xml:space="preserve">Dismesso, bypass della grigliatura, scaricava tramite pompe </t>
  </si>
  <si>
    <t>Bozzolo</t>
  </si>
  <si>
    <t>45.056500, 10.685944</t>
  </si>
  <si>
    <t>Bozzolo (capoluogo)</t>
  </si>
  <si>
    <t>in testa impianto di depurazione</t>
  </si>
  <si>
    <t>PD/497 del 05/05/2022</t>
  </si>
  <si>
    <t>SF-CRB-200</t>
  </si>
  <si>
    <t>Carbonara di Po</t>
  </si>
  <si>
    <t>via Arginino</t>
  </si>
  <si>
    <t>45.02955985139492, 11.216392589483148</t>
  </si>
  <si>
    <t>fosso</t>
  </si>
  <si>
    <t>SF-DSL-XXS</t>
  </si>
  <si>
    <t>DISMESSO</t>
  </si>
  <si>
    <t>Dosolo</t>
  </si>
  <si>
    <t>Villastrada</t>
  </si>
  <si>
    <t>44.97978, 10.64232</t>
  </si>
  <si>
    <t>SF-GNZ-GNZ</t>
  </si>
  <si>
    <t>Gonzaga</t>
  </si>
  <si>
    <t>44.95088325927053, 10.829668978954954</t>
  </si>
  <si>
    <t>Gonzaga (capoluogo)</t>
  </si>
  <si>
    <t>SF-GZZ-EUR1</t>
  </si>
  <si>
    <t>Gazzuolo</t>
  </si>
  <si>
    <t>45.06331794020736, 10.5804572346409</t>
  </si>
  <si>
    <t>SF-GZZ-MAR</t>
  </si>
  <si>
    <t>45.059230920749336, 10.579547107889386</t>
  </si>
  <si>
    <t>SF-MN-7DIC</t>
  </si>
  <si>
    <t>Dismesso novembre 2020</t>
  </si>
  <si>
    <t>Mantova</t>
  </si>
  <si>
    <t>Belfiore</t>
  </si>
  <si>
    <t>45.15703, 10.77016</t>
  </si>
  <si>
    <t>Lago Superiore</t>
  </si>
  <si>
    <t>si</t>
  </si>
  <si>
    <t xml:space="preserve">non occorre </t>
  </si>
  <si>
    <t>non occorre</t>
  </si>
  <si>
    <t>SF-MN-BEL</t>
  </si>
  <si>
    <t xml:space="preserve">In dismissione a marzo 24 </t>
  </si>
  <si>
    <t>45.15705, 10.76941</t>
  </si>
  <si>
    <t>di rete</t>
  </si>
  <si>
    <t>Non occorre (scarica a lago)</t>
  </si>
  <si>
    <t>SF-MN-BRES</t>
  </si>
  <si>
    <t>Dismesso a settembre 24, rifatto su suolo pubblico (SF-MN-LAV)</t>
  </si>
  <si>
    <t>Gambarara</t>
  </si>
  <si>
    <t>Gambarara - via Brescia</t>
  </si>
  <si>
    <t>45.17953, 10.78239</t>
  </si>
  <si>
    <t>canale Gambarara, recapitante ai Laghi di Mantova</t>
  </si>
  <si>
    <t>in testa impianto sollevamento</t>
  </si>
  <si>
    <t>SF-MN-CIP2</t>
  </si>
  <si>
    <t>Lunetta</t>
  </si>
  <si>
    <t>Strada Lunetta / strada Cipata</t>
  </si>
  <si>
    <t>45.16145705318603, 10.816036154271155</t>
  </si>
  <si>
    <t>Cavo San Giorgio, recapitante ai Laghi di Mantova</t>
  </si>
  <si>
    <t>SF-MN-SPA</t>
  </si>
  <si>
    <t>Dismesso, rete convertita in meteorica 2019</t>
  </si>
  <si>
    <t>Cittadella</t>
  </si>
  <si>
    <t>str. Montata/via Spalti</t>
  </si>
  <si>
    <t>45.173062123889686, 10.792263591297695</t>
  </si>
  <si>
    <t>Cavo Parcarello</t>
  </si>
  <si>
    <t>SF-MTG-FIL</t>
  </si>
  <si>
    <t>Non trovato in fase di rilievo 2021, definito dismesso</t>
  </si>
  <si>
    <t>Motteggiana</t>
  </si>
  <si>
    <t>Villa Saviola</t>
  </si>
  <si>
    <t>SF-PVC-MATT1</t>
  </si>
  <si>
    <t>Dismesso aprile 2022</t>
  </si>
  <si>
    <t>Borgo Mantovano</t>
  </si>
  <si>
    <t>Pieve di Coriano</t>
  </si>
  <si>
    <t>via Matteotti n.12</t>
  </si>
  <si>
    <t>45.033679, 11.109779</t>
  </si>
  <si>
    <t>lasciato scadere</t>
  </si>
  <si>
    <t>n° PD / 131 del 05/02/2018</t>
  </si>
  <si>
    <t>SF-SCH-ROM</t>
  </si>
  <si>
    <t>dismesso 21-03-22</t>
  </si>
  <si>
    <t>Schivenoglia</t>
  </si>
  <si>
    <t>Via Roma, 6</t>
  </si>
  <si>
    <t>44.992076, 11.075611</t>
  </si>
  <si>
    <t>Schivenoglia (Capoluogo)</t>
  </si>
  <si>
    <t>Redefossi Boline (da fosso intubato)</t>
  </si>
  <si>
    <t>Occorre vasca volano</t>
  </si>
  <si>
    <t>PD/575 del 23/05/2022</t>
  </si>
  <si>
    <t>SF-SNG-555</t>
  </si>
  <si>
    <t>San Giorgio Bigarello</t>
  </si>
  <si>
    <t>Zona Industriale</t>
  </si>
  <si>
    <t>via dell'Artigianato</t>
  </si>
  <si>
    <t>45.16270084501211, 10.853486365430925</t>
  </si>
  <si>
    <t>Condotto Olmolungo</t>
  </si>
  <si>
    <t>SF-SNM-ONE</t>
  </si>
  <si>
    <t>Considerato dismesso, non trovato anche con scavo</t>
  </si>
  <si>
    <t>San Martino dall' Argine</t>
  </si>
  <si>
    <t>via Valle Onetta prop. Privata</t>
  </si>
  <si>
    <t>S. Martino dall’Argine (capoluogo)</t>
  </si>
  <si>
    <t>PD/1075 del 20/09/2022</t>
  </si>
  <si>
    <t>SF-SRM-GAD</t>
  </si>
  <si>
    <t>Dismesso e convertito in scarico di piovane 2020</t>
  </si>
  <si>
    <t>Sermide e Felonica</t>
  </si>
  <si>
    <t>via Gadda</t>
  </si>
  <si>
    <t>45.00132721107914, 11.300598764577936</t>
  </si>
  <si>
    <t>Sermide e Felonica (Sermide)</t>
  </si>
  <si>
    <t>SF-SZZ-ZZA1</t>
  </si>
  <si>
    <t>Suzzara</t>
  </si>
  <si>
    <t>Sailetto</t>
  </si>
  <si>
    <t>45.02901098905842, 10.752193973146019</t>
  </si>
  <si>
    <t xml:space="preserve">Motteggiana  </t>
  </si>
  <si>
    <t>SF-BGN-ALL1</t>
  </si>
  <si>
    <t>San Biagio</t>
  </si>
  <si>
    <t>Via Allende 4</t>
  </si>
  <si>
    <t>45.0955, 10.84722</t>
  </si>
  <si>
    <t>Bagnolo San Vito (Capoluogo)</t>
  </si>
  <si>
    <t>Allacciante Berla Dolcini Gherardo (scarica attraverso rete meteorica)</t>
  </si>
  <si>
    <t>tramite condotta meteo</t>
  </si>
  <si>
    <t>No</t>
  </si>
  <si>
    <t>in meteo - chiedere al comune</t>
  </si>
  <si>
    <t>n.a. - rete meteorica in fosso afferente</t>
  </si>
  <si>
    <t>n.a.</t>
  </si>
  <si>
    <t>SF-BGN-ALL2</t>
  </si>
  <si>
    <t>Via Allende / Via Giuseppe di Vittorio</t>
  </si>
  <si>
    <t>45.095528, 10.847938</t>
  </si>
  <si>
    <t>SF-BGN-BAI</t>
  </si>
  <si>
    <t>PP0200030014</t>
  </si>
  <si>
    <t>San Nicolò Po</t>
  </si>
  <si>
    <t>Via Baiona (dopo Via Papa Giovanni XXIII)</t>
  </si>
  <si>
    <t>45.053653, 10.832636</t>
  </si>
  <si>
    <t>Bagnolo San Vito (S. Nicolò Po)</t>
  </si>
  <si>
    <t>Canale Dugaletto</t>
  </si>
  <si>
    <t>Si</t>
  </si>
  <si>
    <t>n° PD / 722 del 03/05/2024</t>
  </si>
  <si>
    <t>TDM</t>
  </si>
  <si>
    <t>IN CORSO</t>
  </si>
  <si>
    <t>Richiesta in data 3/05/2023</t>
  </si>
  <si>
    <t>SF-BGN-BGN</t>
  </si>
  <si>
    <t>PP0200030006</t>
  </si>
  <si>
    <t>Via Virgiliana (accesso)</t>
  </si>
  <si>
    <t>45.09311, 10.875454</t>
  </si>
  <si>
    <t>Cavo Franzina</t>
  </si>
  <si>
    <t>n° PD / 1957 28/11/2023</t>
  </si>
  <si>
    <t>Richiesta in data 31.01.2023</t>
  </si>
  <si>
    <t>SF-BGN-CAM1</t>
  </si>
  <si>
    <t>PP0200030001</t>
  </si>
  <si>
    <t>Via Campione 31/c</t>
  </si>
  <si>
    <t>45.081287936122656, 10.820213494883854</t>
  </si>
  <si>
    <t>Gasparola tramite fossato di scolo</t>
  </si>
  <si>
    <t>di testa rete</t>
  </si>
  <si>
    <t>n° PD / 1786 24/10/2023</t>
  </si>
  <si>
    <t>fosso privato afferente canale consortile - n.a.</t>
  </si>
  <si>
    <t>SF-BGN-CHI</t>
  </si>
  <si>
    <t>PP0200030003</t>
  </si>
  <si>
    <t>Relazione incompleta, manca Qs</t>
  </si>
  <si>
    <t>via Chiesa</t>
  </si>
  <si>
    <t>45.099066, 10.8501</t>
  </si>
  <si>
    <t>Canale Fossetta</t>
  </si>
  <si>
    <t>SF-BGN-FER1</t>
  </si>
  <si>
    <t>via Ferri 9</t>
  </si>
  <si>
    <t>45.094512, 10.847054</t>
  </si>
  <si>
    <t>SF-BGN-FER2</t>
  </si>
  <si>
    <t>via Ferri 3</t>
  </si>
  <si>
    <t>45.09424, 10.84772</t>
  </si>
  <si>
    <t>SF-BGN-FER3</t>
  </si>
  <si>
    <t xml:space="preserve">via Ferri </t>
  </si>
  <si>
    <t>45.094025, 10.848405</t>
  </si>
  <si>
    <t>SF-BGN-GAS</t>
  </si>
  <si>
    <t>PP0200030013</t>
  </si>
  <si>
    <t>San Giacomo Po</t>
  </si>
  <si>
    <t>Via De Gasperi</t>
  </si>
  <si>
    <t>45.072436, 10.874688</t>
  </si>
  <si>
    <t>Canale Bolognina</t>
  </si>
  <si>
    <t>SF-BGN-JUL</t>
  </si>
  <si>
    <t>PP0200030005</t>
  </si>
  <si>
    <t>Via Julia 10</t>
  </si>
  <si>
    <t>45.090079, 10.873556</t>
  </si>
  <si>
    <t>SF-BGN-PIP</t>
  </si>
  <si>
    <t>PP0200030007</t>
  </si>
  <si>
    <t>Via dell'Artigianato (Area PIP)</t>
  </si>
  <si>
    <t>45.08886, 10.861767</t>
  </si>
  <si>
    <t>Fossato Gherardo</t>
  </si>
  <si>
    <t>pompato</t>
  </si>
  <si>
    <t>SF-BGN-ROS</t>
  </si>
  <si>
    <t>PP0200030004</t>
  </si>
  <si>
    <t>Via Rossini</t>
  </si>
  <si>
    <t>45.097937, 10.852085</t>
  </si>
  <si>
    <t>SF-BGN-ZUC</t>
  </si>
  <si>
    <t>PP0200030002</t>
  </si>
  <si>
    <t>SS.413 Romana Zuccona / Via Aldo Moro</t>
  </si>
  <si>
    <t>45.099691, 10.845035</t>
  </si>
  <si>
    <t>Canale Dolcini (tratto intubato)</t>
  </si>
  <si>
    <t>SF-BGR-CAD</t>
  </si>
  <si>
    <t>PP0200570006</t>
  </si>
  <si>
    <t xml:space="preserve">Ci sono due emissari che scaricano in due punti diversi: nodo 612 scarica in "condotto Casella", mentre il 613 in "condotto di Roncoferraro </t>
  </si>
  <si>
    <t>Stradella</t>
  </si>
  <si>
    <t>via Cadè</t>
  </si>
  <si>
    <t>45.16726, 10.87581</t>
  </si>
  <si>
    <t>Bigarello (Gazzo)</t>
  </si>
  <si>
    <t>Condotto di Roncoferraro</t>
  </si>
  <si>
    <t>non occorre (AE&lt;2000)</t>
  </si>
  <si>
    <t>PD/633 del 06/06/2022</t>
  </si>
  <si>
    <t xml:space="preserve">Rep. n°649/2025 del 16/05/2025 </t>
  </si>
  <si>
    <t>SF-BGR-MON</t>
  </si>
  <si>
    <t>PP0200570007</t>
  </si>
  <si>
    <t>Gazzo</t>
  </si>
  <si>
    <t>via Montale</t>
  </si>
  <si>
    <t>45.18111, 10.89876</t>
  </si>
  <si>
    <t>Cavo San Giorgio</t>
  </si>
  <si>
    <t>Regione Lombardia - SIPIUI</t>
  </si>
  <si>
    <t>Sospesa per integrazioni mai consegnate - Fatta Domanda a TDM, ma secondo me è SIPIUI</t>
  </si>
  <si>
    <t>SF-BGV-ALI</t>
  </si>
  <si>
    <t>PP0200710005</t>
  </si>
  <si>
    <t>Romanore</t>
  </si>
  <si>
    <t>Via Alfieri</t>
  </si>
  <si>
    <t>45.066492, 10.754150</t>
  </si>
  <si>
    <t>Borgo Virgilio (Romanore)</t>
  </si>
  <si>
    <t>fosso privato-canale Broletto</t>
  </si>
  <si>
    <t>Atto dirigenziale n° PD / 892 del 29/05/2024</t>
  </si>
  <si>
    <t>Richiesta concessione in data 12/08/2020</t>
  </si>
  <si>
    <t>SF-BGV-AND</t>
  </si>
  <si>
    <t>PP0200710021</t>
  </si>
  <si>
    <t>Andes</t>
  </si>
  <si>
    <t>Via Parma</t>
  </si>
  <si>
    <t>45.1253238, 10.8240113</t>
  </si>
  <si>
    <t>Canale Pietole Vecchio tramite fosso tombato</t>
  </si>
  <si>
    <t>PD/351 del 30/03/2022</t>
  </si>
  <si>
    <t>Richiesta concessione in data 24/03/2022</t>
  </si>
  <si>
    <t>SF-BGV-ARG</t>
  </si>
  <si>
    <t>PP0200710010</t>
  </si>
  <si>
    <t>Boccadiganda</t>
  </si>
  <si>
    <t>Via Argine Boccadiganda</t>
  </si>
  <si>
    <t>45.050094, 10.781015</t>
  </si>
  <si>
    <t>Consorzio Boccadiganda</t>
  </si>
  <si>
    <t>SF-BGV-BGF</t>
  </si>
  <si>
    <t>Borgoforte</t>
  </si>
  <si>
    <t>45.0573312, 10.7555558</t>
  </si>
  <si>
    <t>Borgo Virgilio (Borgoforte)</t>
  </si>
  <si>
    <t>fosso tombato-canale di Borgoforte</t>
  </si>
  <si>
    <t>Occorre vasca di accumulo o sistema di trattamento (testa impianto)</t>
  </si>
  <si>
    <t>n° PD / 376 del 01/03/2024</t>
  </si>
  <si>
    <t>Parere favorevole in attesa di concessione prot. 2631/2023 del 28/07/2023</t>
  </si>
  <si>
    <t>SF-BGV-BON</t>
  </si>
  <si>
    <t>PP0200710018</t>
  </si>
  <si>
    <t>via Parma inc. via Bonomi</t>
  </si>
  <si>
    <t>45.1145956, 10.818316</t>
  </si>
  <si>
    <t>rete acque meteoriche recapitante al reticolo idrico minore (primo tratto tombato, poi a cielo aperto) afferente a Canale Martinella</t>
  </si>
  <si>
    <t>scarica in meteo - NO AUT.</t>
  </si>
  <si>
    <t>ATTO DIRIGENZIALE PD/85 del 28/01/2022</t>
  </si>
  <si>
    <t>SF-BGV-BUG</t>
  </si>
  <si>
    <t>PP0200710022</t>
  </si>
  <si>
    <t>Via Bucoliche</t>
  </si>
  <si>
    <t>45.1151575, 10.8181343</t>
  </si>
  <si>
    <t>fossato afferente a Canale Fossetta</t>
  </si>
  <si>
    <t>Inviata richiesta concessione in data 24/03/2022</t>
  </si>
  <si>
    <t>SF-BGV-CIS1</t>
  </si>
  <si>
    <t>PP0200710016</t>
  </si>
  <si>
    <t>Cerese</t>
  </si>
  <si>
    <t>via Cisa opposto a str. Del Corriere</t>
  </si>
  <si>
    <t>45.12431, 10.78784</t>
  </si>
  <si>
    <t>Paiolo Basso</t>
  </si>
  <si>
    <t>NON occorre vasca di accumulo o sistema di trattamento</t>
  </si>
  <si>
    <t>Atto dirigenziale n. PD/572 del 09/04/2025</t>
  </si>
  <si>
    <t>Rep. n° 589/2025 del 18/01/2025</t>
  </si>
  <si>
    <t>SF-BGV-CIS2</t>
  </si>
  <si>
    <t>PP0200710011</t>
  </si>
  <si>
    <t>via Cisa - Gabbiano</t>
  </si>
  <si>
    <t>45.12575, 10.78784</t>
  </si>
  <si>
    <t>Atto dirigenziale n. PD/576 del 09/04/2025</t>
  </si>
  <si>
    <t>SF-BGV-CIS3</t>
  </si>
  <si>
    <t>PP0200710014</t>
  </si>
  <si>
    <t>via Cisa ex trony</t>
  </si>
  <si>
    <t>45.12576, 10.78866</t>
  </si>
  <si>
    <t>Occorre vasca di accumulo o sistema di trattamento</t>
  </si>
  <si>
    <t>Atto dirigenziale n. PD/579 del 09/04/2025</t>
  </si>
  <si>
    <t>SF-BGV-COR</t>
  </si>
  <si>
    <t>PP0200710015</t>
  </si>
  <si>
    <t>via del Corriere</t>
  </si>
  <si>
    <t>45.12432, 10.78924</t>
  </si>
  <si>
    <t>Atto dirigenziale n. PD/575 del 09/04/2025</t>
  </si>
  <si>
    <t>SF-BGV-EST</t>
  </si>
  <si>
    <t>PP0200710012</t>
  </si>
  <si>
    <t>Cappelletta</t>
  </si>
  <si>
    <t>via I. d'Este / via Cisa</t>
  </si>
  <si>
    <t>45.10312, 10.77724</t>
  </si>
  <si>
    <t>Atto dirigenziale n. PD/574 del 09/04/2025</t>
  </si>
  <si>
    <t>SF-BGV-FIA</t>
  </si>
  <si>
    <t>PP0200710013</t>
  </si>
  <si>
    <t>via Fiaccadori</t>
  </si>
  <si>
    <t>45.1115, 10.78961</t>
  </si>
  <si>
    <t>Fossato</t>
  </si>
  <si>
    <t>Atto dirigenziale n.PD/573 del 09/04/2025.</t>
  </si>
  <si>
    <t>SF-BGV-FOS</t>
  </si>
  <si>
    <t>PP0200710001</t>
  </si>
  <si>
    <t>Sfioro adeguato a febbraio 2024</t>
  </si>
  <si>
    <t>via Foscolo (inc. via Parmense)</t>
  </si>
  <si>
    <t>45.0538361, 10.7524464</t>
  </si>
  <si>
    <t>Linea meteorica via Parmense</t>
  </si>
  <si>
    <t>SF-BGV-NOV1</t>
  </si>
  <si>
    <t>PP0200710020</t>
  </si>
  <si>
    <t>Via IV novembre, inc. via Parma</t>
  </si>
  <si>
    <t>45.1129161, 10.8184817</t>
  </si>
  <si>
    <t>SF-BGV-NOV2</t>
  </si>
  <si>
    <t>PP0200710019</t>
  </si>
  <si>
    <t>45.1130458, 10.8179328</t>
  </si>
  <si>
    <t>SF-BGV-PAR</t>
  </si>
  <si>
    <t>PP0200710008</t>
  </si>
  <si>
    <t>San Cataldo</t>
  </si>
  <si>
    <t>via Parini (inc.via Romanore)</t>
  </si>
  <si>
    <t>45.070724, 10.782589</t>
  </si>
  <si>
    <t>SF-BGV-PAR1</t>
  </si>
  <si>
    <t>PP0200710002</t>
  </si>
  <si>
    <t>via Parmense</t>
  </si>
  <si>
    <t>45.0535247, 10.7520495</t>
  </si>
  <si>
    <t>SF-BGV-PARP</t>
  </si>
  <si>
    <t>PP0200710017</t>
  </si>
  <si>
    <t>45.1123729, 10.8174216</t>
  </si>
  <si>
    <t>SF-BGV-PRI</t>
  </si>
  <si>
    <t>PP0200710003</t>
  </si>
  <si>
    <t>45.0543833, 10.752703</t>
  </si>
  <si>
    <t>SF-BGV-ROM</t>
  </si>
  <si>
    <t>PP0200710006</t>
  </si>
  <si>
    <t>Adiacente al cimitero di Romanore</t>
  </si>
  <si>
    <t>45.070553, 10.763577</t>
  </si>
  <si>
    <t>canale Romanore</t>
  </si>
  <si>
    <t>SF-BGV-STA</t>
  </si>
  <si>
    <t>PP0200710004</t>
  </si>
  <si>
    <t>le acque “sfiorate” vengono convogliate in una linea meteorica che corre lungo la SS 62 il cui punto di recapito finale si trova a circa 500m a valle del manufatto in esame.</t>
  </si>
  <si>
    <t>Strada Stazione</t>
  </si>
  <si>
    <t>45.063154, 10.756441</t>
  </si>
  <si>
    <t>Linea bianca lungo SS 62</t>
  </si>
  <si>
    <t>SF-BGV-VER</t>
  </si>
  <si>
    <t>PP0200710007</t>
  </si>
  <si>
    <t>Via G. Verga</t>
  </si>
  <si>
    <t>45.082097, 10.770873</t>
  </si>
  <si>
    <t>canale Cappelletta</t>
  </si>
  <si>
    <t xml:space="preserve">SF-BZZ-ARI1 </t>
  </si>
  <si>
    <t>PP0200070001</t>
  </si>
  <si>
    <t>Fuori ambito stradale</t>
  </si>
  <si>
    <t>45.1080887, 10.479137</t>
  </si>
  <si>
    <t>Canale ferrovia</t>
  </si>
  <si>
    <t>Navarolo-Agro Cremonese Mantovano</t>
  </si>
  <si>
    <t>N°1948 del 18/09/2024</t>
  </si>
  <si>
    <t>SF-BZZ-ARI2</t>
  </si>
  <si>
    <t>PP0200070006</t>
  </si>
  <si>
    <t>45.1080455, 10.4792108</t>
  </si>
  <si>
    <t>SF-BZZ-BAS</t>
  </si>
  <si>
    <t>PP0200070008</t>
  </si>
  <si>
    <t>S.P. 64</t>
  </si>
  <si>
    <t>45.1028325, 10.4905322</t>
  </si>
  <si>
    <t>fosso collegato al canale Pozza</t>
  </si>
  <si>
    <t>Prot. 0002536/2024 del 21/08/2024</t>
  </si>
  <si>
    <t>nota consorzio in cui si specifica non competenza</t>
  </si>
  <si>
    <t>SF-BZZ-BZZ2</t>
  </si>
  <si>
    <t>PP0200070002</t>
  </si>
  <si>
    <t>45.108205, 10.4891081</t>
  </si>
  <si>
    <t>SF-BZZ-CAS</t>
  </si>
  <si>
    <t>PP0200070005</t>
  </si>
  <si>
    <t>45.1096186, 10.4852238</t>
  </si>
  <si>
    <t>Canale Pozza</t>
  </si>
  <si>
    <t>SF-BZZ-CRE</t>
  </si>
  <si>
    <t>PP0200070004</t>
  </si>
  <si>
    <t>Via Cremona (vicolo Gorghi)</t>
  </si>
  <si>
    <t>45.1086878, 10.4746417</t>
  </si>
  <si>
    <t>SF-BZZ-VAL1</t>
  </si>
  <si>
    <t>PP0200070003</t>
  </si>
  <si>
    <t>Calcoli rifatti rilievo alla mano ad aprile 2025, manufatto conforme</t>
  </si>
  <si>
    <t xml:space="preserve">Via Cremona </t>
  </si>
  <si>
    <t>45.1083347, 10.4752979</t>
  </si>
  <si>
    <t>Canale Ferrovia</t>
  </si>
  <si>
    <t>SF-BZZ-VAL2</t>
  </si>
  <si>
    <t>PP0200070007</t>
  </si>
  <si>
    <t>45.1079652, 10.476713</t>
  </si>
  <si>
    <t>SF-CMM-CMM</t>
  </si>
  <si>
    <t>PP020000009</t>
  </si>
  <si>
    <t>Commessaggio</t>
  </si>
  <si>
    <t>Area impianto</t>
  </si>
  <si>
    <t>45.035186, 10.553181</t>
  </si>
  <si>
    <t>Commessaggio (Capoluogo)</t>
  </si>
  <si>
    <t>Canale Fossadone</t>
  </si>
  <si>
    <t xml:space="preserve">Atto dirigenziale n° PD/890 del 29/05/2024 </t>
  </si>
  <si>
    <t>n°1923 del 17/04/2024</t>
  </si>
  <si>
    <t>SF-CMM-GAS1</t>
  </si>
  <si>
    <t>PP020000003</t>
  </si>
  <si>
    <t>45.0452999, 10.5504334</t>
  </si>
  <si>
    <t>Canale vecchio Riglio</t>
  </si>
  <si>
    <t>Non occorre</t>
  </si>
  <si>
    <t>SF-CMM-GAS2</t>
  </si>
  <si>
    <t>PP020000004</t>
  </si>
  <si>
    <t>45.0487363, 10.5520675</t>
  </si>
  <si>
    <t>Canale Riglio</t>
  </si>
  <si>
    <t>SF-CMM-GAS3</t>
  </si>
  <si>
    <t>PP020000005</t>
  </si>
  <si>
    <t>45.04518, 10.5504242</t>
  </si>
  <si>
    <t>SF-CMM-GIO1</t>
  </si>
  <si>
    <t>PP020000002</t>
  </si>
  <si>
    <t>Via Giovanni XXIII/via Colombarone</t>
  </si>
  <si>
    <t>45.0349458, 10.550628</t>
  </si>
  <si>
    <t>SF-CMM-GIO2</t>
  </si>
  <si>
    <t>PP020000008</t>
  </si>
  <si>
    <t>45.0351125, 10.5506052</t>
  </si>
  <si>
    <t>SF-CMM-MAR</t>
  </si>
  <si>
    <t>PP020000001</t>
  </si>
  <si>
    <t>Via Marconi</t>
  </si>
  <si>
    <t>45.0369762, 10.546175</t>
  </si>
  <si>
    <t>Canale Cavamento</t>
  </si>
  <si>
    <t>SF-CMM-MAZ</t>
  </si>
  <si>
    <t>PP020000007</t>
  </si>
  <si>
    <t>Via Mazzini / Lotto</t>
  </si>
  <si>
    <t>45.0346489, 10.5478068</t>
  </si>
  <si>
    <t>SF-CMM-MAZ2</t>
  </si>
  <si>
    <t>PP020000006</t>
  </si>
  <si>
    <t>Via Mazzini (inc. via Borrini)</t>
  </si>
  <si>
    <t>45.0340088, 10.5472553</t>
  </si>
  <si>
    <t>Canale Navarolo</t>
  </si>
  <si>
    <t>n°1912 del 20/02/2024</t>
  </si>
  <si>
    <t>SF-CRB-BAT</t>
  </si>
  <si>
    <t>PP0200730006</t>
  </si>
  <si>
    <t>Via Cesare Battisti, 16</t>
  </si>
  <si>
    <t>45.03288, 11.23259</t>
  </si>
  <si>
    <t>Fosso afferente a Dugale Alto di Carbonara</t>
  </si>
  <si>
    <t xml:space="preserve">Non occorre </t>
  </si>
  <si>
    <t>n° PD / 1643 del 30/10/2024</t>
  </si>
  <si>
    <t>SF-CRB-BAT1</t>
  </si>
  <si>
    <t>PP0200730008</t>
  </si>
  <si>
    <t>Sfioratore analizzato in luglio 2024</t>
  </si>
  <si>
    <t>Via Cesare Battisti, 10</t>
  </si>
  <si>
    <t>45.03272087323604, 11.229598197541332</t>
  </si>
  <si>
    <t>NO</t>
  </si>
  <si>
    <t>SF-CRB-CAR</t>
  </si>
  <si>
    <t>PP0200730005</t>
  </si>
  <si>
    <t>Carbonarola</t>
  </si>
  <si>
    <t>Via Carbonarola</t>
  </si>
  <si>
    <t>45.03895, 11.25564</t>
  </si>
  <si>
    <t>Fosso afferente a Dugale Carbonara</t>
  </si>
  <si>
    <t>SF-CRB-CRB</t>
  </si>
  <si>
    <t>Via Cesare Battisti</t>
  </si>
  <si>
    <t>45.03281, 11.22611</t>
  </si>
  <si>
    <t>Dugale Alto di Carbonara</t>
  </si>
  <si>
    <t>Consorzio Garda Chiese</t>
  </si>
  <si>
    <t>DA RICHIEDERE</t>
  </si>
  <si>
    <t>Chiesto a Burana</t>
  </si>
  <si>
    <t>SF-CRB-RON</t>
  </si>
  <si>
    <t>Via Ugo Roncada</t>
  </si>
  <si>
    <t>45.02988,11.23202</t>
  </si>
  <si>
    <t>Fosso afferente a Cavo Diversivo 1° tratto</t>
  </si>
  <si>
    <t>SF-CRT-1MA</t>
  </si>
  <si>
    <t>Curtatone</t>
  </si>
  <si>
    <t>Levata</t>
  </si>
  <si>
    <t>via Levata / via I° Maggio</t>
  </si>
  <si>
    <t>45.11982, 10.76912</t>
  </si>
  <si>
    <t>canale Esperimento</t>
  </si>
  <si>
    <t>Prot 210/2025 del 18/01/2025</t>
  </si>
  <si>
    <t>Nulla osta TDM</t>
  </si>
  <si>
    <t>SF-CRT-4VE</t>
  </si>
  <si>
    <t>PP0200210015</t>
  </si>
  <si>
    <t>4 venti</t>
  </si>
  <si>
    <t>lottizzazione Quattro Venti</t>
  </si>
  <si>
    <t>45.15074, 10.71339</t>
  </si>
  <si>
    <t>canale Osone</t>
  </si>
  <si>
    <t>ATTO DIRIGENZIALE n° PD 1588 DEL 30/10/2025</t>
  </si>
  <si>
    <t>Rep. n°  590/2025 del 18/01/2025</t>
  </si>
  <si>
    <t>gennaio</t>
  </si>
  <si>
    <t>SF-CRT-BER</t>
  </si>
  <si>
    <t>PP0200210019</t>
  </si>
  <si>
    <t>Buscoldo</t>
  </si>
  <si>
    <t>via Bertani incrocio via Papa Giovanni XXIII</t>
  </si>
  <si>
    <t>45.09256, 10.6993</t>
  </si>
  <si>
    <t>Curtatone (loc. Buscoldo)</t>
  </si>
  <si>
    <t>Canale Lodolo tratto tombato</t>
  </si>
  <si>
    <t>ATTO DIRIGENZIALE n° PD 634 del 24/04/2025</t>
  </si>
  <si>
    <t>Richiesta fatta in data 22.12.2020 - NO RISPOSTA</t>
  </si>
  <si>
    <t>SF-CRT-BIN</t>
  </si>
  <si>
    <t>PP0200210016</t>
  </si>
  <si>
    <t>Eremo</t>
  </si>
  <si>
    <t>via Binda ex depuratore</t>
  </si>
  <si>
    <t>45.13584, 10.74354</t>
  </si>
  <si>
    <t>fosso Anitre</t>
  </si>
  <si>
    <t>ATTO DIRIGENZIALE n° PD 1589 del 30/10/2025</t>
  </si>
  <si>
    <t>SF-CRT-BUS</t>
  </si>
  <si>
    <t>PP0200210013</t>
  </si>
  <si>
    <t>piazza Lombardelli</t>
  </si>
  <si>
    <t>45.09686, 10.6982</t>
  </si>
  <si>
    <t>Canale Lodolo</t>
  </si>
  <si>
    <t>SF-CRT-CAN</t>
  </si>
  <si>
    <t>via Levata / via Canneti</t>
  </si>
  <si>
    <t>45.1198, 10.76931</t>
  </si>
  <si>
    <t>SF-CRT-CHI</t>
  </si>
  <si>
    <t>San Silvestro</t>
  </si>
  <si>
    <t>45.12171, 10.74272</t>
  </si>
  <si>
    <t>fosso collegato al canale Vivarana</t>
  </si>
  <si>
    <t>fare domanda di aut - 3 scaglione</t>
  </si>
  <si>
    <t>SF-CRT-COL</t>
  </si>
  <si>
    <t>PP0200210010</t>
  </si>
  <si>
    <t>via Marconi incr. via Colombina</t>
  </si>
  <si>
    <t>45.09149, 10.69606</t>
  </si>
  <si>
    <t>SF-CRT-DON</t>
  </si>
  <si>
    <t>PP0200210009</t>
  </si>
  <si>
    <t>via Donatori di Sangue</t>
  </si>
  <si>
    <t>45.1285, 10.77264</t>
  </si>
  <si>
    <t>Canale Paiolo Alto</t>
  </si>
  <si>
    <t>occorre vasca di accumulo o sistema di trattamento</t>
  </si>
  <si>
    <t>ATTO DIRIGENZIALE n° PD / 580 09/04/2025</t>
  </si>
  <si>
    <t>SF-CRT-ERE</t>
  </si>
  <si>
    <t>Strada Eremo,1</t>
  </si>
  <si>
    <t>45.13954, 10.7357</t>
  </si>
  <si>
    <t>scolo Fossaviva e torrente Gambari</t>
  </si>
  <si>
    <t>SF-CRT-FER</t>
  </si>
  <si>
    <t xml:space="preserve">via Levata / via Ferri </t>
  </si>
  <si>
    <t>45.11937, 10.76964</t>
  </si>
  <si>
    <t>SF-CRT-FRA1</t>
  </si>
  <si>
    <t>PP0200210001</t>
  </si>
  <si>
    <t>Grazie</t>
  </si>
  <si>
    <t>via Francesca incrocio SP 1 Asolana</t>
  </si>
  <si>
    <t>45.15683, 10.69168</t>
  </si>
  <si>
    <t>fosso collegato al canale Ariello, afferente ai Laghi di Mantova</t>
  </si>
  <si>
    <t>SF-CRT-FRA2</t>
  </si>
  <si>
    <t>PP0200210014</t>
  </si>
  <si>
    <t xml:space="preserve">via Francesca </t>
  </si>
  <si>
    <t>45.15374, 10.6957</t>
  </si>
  <si>
    <t>Canale Cerchie, afferente ai Laghi di Mantova</t>
  </si>
  <si>
    <t>ATTO DIRIGENZIALE n° PD 1590 del 30/10/2025</t>
  </si>
  <si>
    <t>DA VALUTARE</t>
  </si>
  <si>
    <t>NON sono sicura sia TDM</t>
  </si>
  <si>
    <t>SF-CRT-FRA3</t>
  </si>
  <si>
    <t>via Francesca</t>
  </si>
  <si>
    <t>45.15518, 10.69556</t>
  </si>
  <si>
    <t>SF-CRT-GRA</t>
  </si>
  <si>
    <t>PP0200210011</t>
  </si>
  <si>
    <t>via Gramsci incrocio via Bertani</t>
  </si>
  <si>
    <t>45.09285, 10.69993</t>
  </si>
  <si>
    <t>SF-CRT-ISO</t>
  </si>
  <si>
    <t>via Levata / via Isonzo</t>
  </si>
  <si>
    <t>SF-CRT-MAF</t>
  </si>
  <si>
    <t>PP0200210017</t>
  </si>
  <si>
    <t>via Maffizzoni incrocio via W. Tobagi</t>
  </si>
  <si>
    <t>45.09176, 10.69891</t>
  </si>
  <si>
    <t>Curtatone (Loc. Buscoldo)</t>
  </si>
  <si>
    <t>SF-CRT-MAN</t>
  </si>
  <si>
    <t xml:space="preserve">via Levata / via Manzoni </t>
  </si>
  <si>
    <t>45.12469, 10.7636</t>
  </si>
  <si>
    <t>SF-CRT-MAR</t>
  </si>
  <si>
    <t>via Levata / via Mons. Martini</t>
  </si>
  <si>
    <t>45.12304, 10.76549</t>
  </si>
  <si>
    <t>SF-CRT-MOD</t>
  </si>
  <si>
    <t>Montanara</t>
  </si>
  <si>
    <t>via Modigliani incrocio via Roda</t>
  </si>
  <si>
    <t>45.13585, 10.71786</t>
  </si>
  <si>
    <t>canale Roncocorrente</t>
  </si>
  <si>
    <t>SF-CRT-MON1</t>
  </si>
  <si>
    <t>via Levata / via Montessori</t>
  </si>
  <si>
    <t>45.12182, 10.76693</t>
  </si>
  <si>
    <t>SF-CRT-MON2</t>
  </si>
  <si>
    <t>via Levata / via Privata (vicino a Montessori)</t>
  </si>
  <si>
    <t>45.1221, 10.76659</t>
  </si>
  <si>
    <t>SF-CRT-MOZ</t>
  </si>
  <si>
    <t>via Mozart</t>
  </si>
  <si>
    <t>45.13362, 10.71653</t>
  </si>
  <si>
    <t>Rete meteorica collegata al canale Roncocorrente</t>
  </si>
  <si>
    <t>SF-CRT-MRC</t>
  </si>
  <si>
    <t>PP0200210020</t>
  </si>
  <si>
    <t>via Marconi incr. via Bertani</t>
  </si>
  <si>
    <t>45.09541, 10.70093</t>
  </si>
  <si>
    <t>SF-CRT-NUV</t>
  </si>
  <si>
    <t>via Nuvolari ex dep.</t>
  </si>
  <si>
    <t>45.13202, 10.71778</t>
  </si>
  <si>
    <t>febbraio</t>
  </si>
  <si>
    <t>SF-CRT-NUV2</t>
  </si>
  <si>
    <t>PP0200210003</t>
  </si>
  <si>
    <t>45.13134, 10.71755</t>
  </si>
  <si>
    <t>fare domanda di aut - 1 scaglione</t>
  </si>
  <si>
    <t>SF-CRT-ORT</t>
  </si>
  <si>
    <t>via Ortigara incrocio via Montello</t>
  </si>
  <si>
    <t>45.12471, 10.76983</t>
  </si>
  <si>
    <t>SF-CRT-PAR</t>
  </si>
  <si>
    <t>PP0200210012</t>
  </si>
  <si>
    <t>via Pari, 34</t>
  </si>
  <si>
    <t>45.09741, 10.6986</t>
  </si>
  <si>
    <t>SF-CRT-PAR2</t>
  </si>
  <si>
    <t>PP0200210018</t>
  </si>
  <si>
    <t>via Pari, 18</t>
  </si>
  <si>
    <t>45.09673, 10.7002</t>
  </si>
  <si>
    <t>SF-CRT-PAS</t>
  </si>
  <si>
    <t>via Levata / via Pascoli</t>
  </si>
  <si>
    <t>45.12495, 10.7629</t>
  </si>
  <si>
    <t>SF-CRT-PIC</t>
  </si>
  <si>
    <t>via Levata / via Picasso</t>
  </si>
  <si>
    <t>45.12437, 10.76387</t>
  </si>
  <si>
    <t>SF-CRT-PIS</t>
  </si>
  <si>
    <t>via Levata / Via Pisanello</t>
  </si>
  <si>
    <t>45.12382, 10.76451</t>
  </si>
  <si>
    <t>SF-CRT-PUN</t>
  </si>
  <si>
    <t>PP0200210008</t>
  </si>
  <si>
    <t>via Punte ex depuratore</t>
  </si>
  <si>
    <t>45.12062, 10.74507</t>
  </si>
  <si>
    <t>SF-CRT-PUN2</t>
  </si>
  <si>
    <t>PP0200210007</t>
  </si>
  <si>
    <t>via Punte incrocio via de Gasperi</t>
  </si>
  <si>
    <t>45.12496, 10.74846</t>
  </si>
  <si>
    <t>ATTO DIRIGENZIALE n° PD / 581 09/04/2025</t>
  </si>
  <si>
    <t>SF-CRT-PUN3</t>
  </si>
  <si>
    <t>via Punte</t>
  </si>
  <si>
    <t>45.12112, 10.74542</t>
  </si>
  <si>
    <t>ATTO DIRIGENZIALE n° PD / 1370 del 22/09/2025</t>
  </si>
  <si>
    <t>SF-CRT-TIE</t>
  </si>
  <si>
    <t>via Levata / via Tiepolo</t>
  </si>
  <si>
    <t>45.12162, 10.76696</t>
  </si>
  <si>
    <t>SF-CRT-TIN</t>
  </si>
  <si>
    <t>via Levata / via Tintoretto</t>
  </si>
  <si>
    <t>45.12109, 10.76747</t>
  </si>
  <si>
    <t>SF-CRT-VER</t>
  </si>
  <si>
    <t>via Levata / via Verga</t>
  </si>
  <si>
    <t>45.12556, 10.76175</t>
  </si>
  <si>
    <t>SF-CSB-BER</t>
  </si>
  <si>
    <t>Castelbelforte</t>
  </si>
  <si>
    <t>Via Bersaglieri</t>
  </si>
  <si>
    <t>45.21922526256204, 10.892481471677195</t>
  </si>
  <si>
    <t>Castelbelforte (Capoluogo)</t>
  </si>
  <si>
    <t>DA FARE</t>
  </si>
  <si>
    <t>??</t>
  </si>
  <si>
    <t>SF-CSB-CAV</t>
  </si>
  <si>
    <t>Via Cavour 51</t>
  </si>
  <si>
    <t>45.20981, 10.890266</t>
  </si>
  <si>
    <t>Fossa Molinella</t>
  </si>
  <si>
    <t>n° PD / 481 del 20/04/2018</t>
  </si>
  <si>
    <t>SF-CSB-CAV2</t>
  </si>
  <si>
    <t>Elaborati da produrre extra appalto</t>
  </si>
  <si>
    <t>Via Cavour 80</t>
  </si>
  <si>
    <t>45.20914376171133, 10.889912043884513</t>
  </si>
  <si>
    <t>SF-CSB-CSB</t>
  </si>
  <si>
    <t>c/o impianto di depurazione</t>
  </si>
  <si>
    <t>45.208606, 10.89703</t>
  </si>
  <si>
    <t>Fossetta Castelbelforte</t>
  </si>
  <si>
    <t>n° PD 480 del 20/04/2018</t>
  </si>
  <si>
    <t>SF-CSB-DON</t>
  </si>
  <si>
    <t>via Donatori AVIS</t>
  </si>
  <si>
    <t>45.21893741810397, 10.893251048471777</t>
  </si>
  <si>
    <t>SF-CSB-PAR</t>
  </si>
  <si>
    <t>Via Boselli/Via Mazzini</t>
  </si>
  <si>
    <t>45.215997, 10.894037</t>
  </si>
  <si>
    <t>Roggia Essere (da Staz. Soll. acque bianche CSB-MAZ)</t>
  </si>
  <si>
    <t>n° 22/112 del 4/06/2013</t>
  </si>
  <si>
    <t>IN RINNOVO dal 2016? non l'ho trovato</t>
  </si>
  <si>
    <t>SF-CSB-PES</t>
  </si>
  <si>
    <t>Via Pescine, 6</t>
  </si>
  <si>
    <t>45.2177, 10.895779</t>
  </si>
  <si>
    <t>Allegrezzola di Castelbelforte</t>
  </si>
  <si>
    <t>n° PD / 482 DEL 20/04/2018</t>
  </si>
  <si>
    <t>SF-CSB-ROS</t>
  </si>
  <si>
    <t>Via Rossa/Via Marconi</t>
  </si>
  <si>
    <t>45.212445, 10.896071</t>
  </si>
  <si>
    <t>Roggia Essere (da Staz. Soll. acque bianche CSB-ROS)</t>
  </si>
  <si>
    <t>n° 22/110 del 4/06/2013</t>
  </si>
  <si>
    <t>SF-CSB-ZAN</t>
  </si>
  <si>
    <t>Il derivatore è in realtà un'apertura verso un'altra camera, da cui parte un circolare ø700 cls (archivio TEA).</t>
  </si>
  <si>
    <t>Via Zaniboni/Via Cavour</t>
  </si>
  <si>
    <t>45.212485, 10.891091</t>
  </si>
  <si>
    <t>Fossetta Castelbelforte (Scarica attraverso rete acque piovane)</t>
  </si>
  <si>
    <t>SF-CSD-ALL</t>
  </si>
  <si>
    <t>PP0200140003</t>
  </si>
  <si>
    <t>Castel D' Ario</t>
  </si>
  <si>
    <t>via S. Allende / via F. Cervi</t>
  </si>
  <si>
    <t>45.188317, 10.969825</t>
  </si>
  <si>
    <t>Castel D'Ario (Capoluogo)</t>
  </si>
  <si>
    <t>Scolo Frassinara (da rete meteorica)</t>
  </si>
  <si>
    <t>in meteo - chiedere al comune - n° PD / 416 del 30/04/2020</t>
  </si>
  <si>
    <t>SF-CSD-ARD</t>
  </si>
  <si>
    <t>PP0200140009</t>
  </si>
  <si>
    <t>considerata una pendenza del 4% per farlo "tornare" superiore a 20 l/s. (anziché il valore "da CAD fornito" del 2.3%)</t>
  </si>
  <si>
    <t>via Fosse Ardeatine /SP31</t>
  </si>
  <si>
    <t>45.194841, 10.977597</t>
  </si>
  <si>
    <t>Condotto Fontana (da fosso tombato)</t>
  </si>
  <si>
    <t>n° PD / 423 del 30/04/2020</t>
  </si>
  <si>
    <t>SF-CSD-CSD1</t>
  </si>
  <si>
    <t>PP0200140014</t>
  </si>
  <si>
    <t>Area Depuratore</t>
  </si>
  <si>
    <t>45.186605, 10.983417</t>
  </si>
  <si>
    <t>n° PD / 425 del 30/04/2020</t>
  </si>
  <si>
    <t>SF-CSD-CSD2</t>
  </si>
  <si>
    <t>PP0200140005</t>
  </si>
  <si>
    <t xml:space="preserve">Qs&lt;Pavv </t>
  </si>
  <si>
    <t>Via Trieste (non su strada, in campo privato)</t>
  </si>
  <si>
    <t>45.187662, 10.981388</t>
  </si>
  <si>
    <t>n° PD / 443 del 11/05/2020</t>
  </si>
  <si>
    <t>SF-CSD-GAS</t>
  </si>
  <si>
    <t>PP0200140017</t>
  </si>
  <si>
    <t>45.18810737371577, 10.968887458070576</t>
  </si>
  <si>
    <t xml:space="preserve">Scolo Frassinara  </t>
  </si>
  <si>
    <t>n° PD / 447 del 12/05/2020</t>
  </si>
  <si>
    <t>SF-CSD-GAS2</t>
  </si>
  <si>
    <t>45.188192631240454, 10.968749802712578</t>
  </si>
  <si>
    <t>NON trovata nell'elenco delle autorizzazioni degli sfiori di casteldario</t>
  </si>
  <si>
    <t>SF-CSD-GRA2</t>
  </si>
  <si>
    <t>PP0200140006</t>
  </si>
  <si>
    <t>Canale Marchesano (da rete meteorica)</t>
  </si>
  <si>
    <t>45.183695, 10.971836</t>
  </si>
  <si>
    <t>in meteo - chiedere al comune - n° PD / 419 30/04/2020</t>
  </si>
  <si>
    <t>SF-CSD-KIN</t>
  </si>
  <si>
    <t>via King / via Gramsci</t>
  </si>
  <si>
    <t>45.186053, 10.971092</t>
  </si>
  <si>
    <t>SF-CSD-MAG</t>
  </si>
  <si>
    <t>PP0200140004</t>
  </si>
  <si>
    <t>via I° Maggio n. 7</t>
  </si>
  <si>
    <t>45.189646128421245, 10.979481755763011</t>
  </si>
  <si>
    <t>n° PD / 417 del 30/04/2020</t>
  </si>
  <si>
    <t>SF-CSD-MAR</t>
  </si>
  <si>
    <t>PP0200140008</t>
  </si>
  <si>
    <t>via Marzabotto / SP31</t>
  </si>
  <si>
    <t>45.195222, 10.977957</t>
  </si>
  <si>
    <t>n° PD / 421 del 30/04/2020</t>
  </si>
  <si>
    <t>SF-CSD-MAT1</t>
  </si>
  <si>
    <t>PP0200140011</t>
  </si>
  <si>
    <t>via Matteotti n.11</t>
  </si>
  <si>
    <t>45.1889, 10.973278</t>
  </si>
  <si>
    <t>Condotto Dossi Pezze (da fosso tombato)</t>
  </si>
  <si>
    <t>n° PD / 513 del 03/06/2020</t>
  </si>
  <si>
    <t>SF-CSD-MAT2</t>
  </si>
  <si>
    <t>PP0200140012</t>
  </si>
  <si>
    <t>via Matteotti</t>
  </si>
  <si>
    <t>45.186972, 10.97091</t>
  </si>
  <si>
    <t>in meteo - chiedere al comune - n° PD / 536 del 11/06/2020</t>
  </si>
  <si>
    <t>SF-CSD-MGR</t>
  </si>
  <si>
    <t>PP0200140007</t>
  </si>
  <si>
    <t>considerata una pendenza del 0.6% per farlo "tornare" superiore a 20 l/s. (anziché il valore "da CAD fornito" del 0.16%)</t>
  </si>
  <si>
    <t>via Monte Grappa / SP31</t>
  </si>
  <si>
    <t>45.195607, 10.978316</t>
  </si>
  <si>
    <t>n° PD / 420 del 30/04/2020</t>
  </si>
  <si>
    <t>SF-CSD-ROM</t>
  </si>
  <si>
    <t>PP0200140001</t>
  </si>
  <si>
    <t>via Roma</t>
  </si>
  <si>
    <t>45.190952, 10.970874</t>
  </si>
  <si>
    <t>Condotto Dossi Pezze</t>
  </si>
  <si>
    <t>n° PD / 414 del 30/04/2020</t>
  </si>
  <si>
    <t>SF-CSD-SET</t>
  </si>
  <si>
    <t>PP0200260001</t>
  </si>
  <si>
    <t>via XX settembre / piazza Garibaldi</t>
  </si>
  <si>
    <t>45.189144, 10.975078</t>
  </si>
  <si>
    <t>n° PD / 530 del 08/06/2020</t>
  </si>
  <si>
    <t>SF-CSD-VEN1</t>
  </si>
  <si>
    <t>PP0200140010</t>
  </si>
  <si>
    <t>via Veneto / Via I° Maggio</t>
  </si>
  <si>
    <t>45.190151, 10.977507</t>
  </si>
  <si>
    <t>fosso Molinella</t>
  </si>
  <si>
    <t>n° PD / 424 del 30/04/2020</t>
  </si>
  <si>
    <t>SF-CSS-CAR</t>
  </si>
  <si>
    <t>PP0200170015</t>
  </si>
  <si>
    <t>Castiglione delle Stiviere</t>
  </si>
  <si>
    <t>Via Carpenedolo</t>
  </si>
  <si>
    <t>45.383861, 10.474493</t>
  </si>
  <si>
    <t>Fosso senza nome</t>
  </si>
  <si>
    <t>n° PD 961 del 05/06/2023</t>
  </si>
  <si>
    <t>SF-CSS-CAS</t>
  </si>
  <si>
    <t>PP0200170020</t>
  </si>
  <si>
    <t>Via L.T. Casalini</t>
  </si>
  <si>
    <t>45.379316, 10.503709</t>
  </si>
  <si>
    <t>Fosso afferente al canale Gerra Fosso - San Vigilio</t>
  </si>
  <si>
    <t>SF-CSS-CHI1</t>
  </si>
  <si>
    <t>PP0200170003</t>
  </si>
  <si>
    <t>Via Chiassi, 29</t>
  </si>
  <si>
    <t>45.393048, 10.489621</t>
  </si>
  <si>
    <t>Vaso Riale</t>
  </si>
  <si>
    <t>SF-CSS-CHI2</t>
  </si>
  <si>
    <t>PP0200170002</t>
  </si>
  <si>
    <t>Via Chiassi, 106</t>
  </si>
  <si>
    <t>45.393787, 10.48898</t>
  </si>
  <si>
    <t>SF-CSS-CHI3</t>
  </si>
  <si>
    <t>PP0200170024</t>
  </si>
  <si>
    <t>Via Chiassi (Piazzale della Repubblica)</t>
  </si>
  <si>
    <t>45.392933, 10.488166</t>
  </si>
  <si>
    <t>SF-CSS-CRO</t>
  </si>
  <si>
    <t>PP0200170014</t>
  </si>
  <si>
    <t>Viale Croce Rossa / Via Napoleno Bonaparte</t>
  </si>
  <si>
    <t>45.379587, 10.503927</t>
  </si>
  <si>
    <t>SF-CSS-CRO2</t>
  </si>
  <si>
    <t>PP0200170013</t>
  </si>
  <si>
    <t>Viale Croce Rossa / Via G.Lorca (lato sud)</t>
  </si>
  <si>
    <t>45.381261, 10.502072</t>
  </si>
  <si>
    <t xml:space="preserve">SF-CSS-CRO3 </t>
  </si>
  <si>
    <t>PP0200170025</t>
  </si>
  <si>
    <t>Manufatto non ispezionabile per sovraccarichi della rete di monte</t>
  </si>
  <si>
    <t>Viale Croce Rossa (prossimità via L.T.Casalini)</t>
  </si>
  <si>
    <t>45.37949, 10.503821</t>
  </si>
  <si>
    <t>SF-CSS-CRO4</t>
  </si>
  <si>
    <t>PP0200170012</t>
  </si>
  <si>
    <t>Viale Croce Rossa</t>
  </si>
  <si>
    <t>45.381662, 10.501409</t>
  </si>
  <si>
    <t>SF-CSS-CRO5</t>
  </si>
  <si>
    <t>PP0200170037</t>
  </si>
  <si>
    <t>Viale Croce Rossa, 17</t>
  </si>
  <si>
    <t>45.38297594015126, 10.499816131345895</t>
  </si>
  <si>
    <t xml:space="preserve">SF-CSS-DES </t>
  </si>
  <si>
    <t>PP0200170026</t>
  </si>
  <si>
    <t>Via Bertas (Parco Desenzani)</t>
  </si>
  <si>
    <t>45.388989, 10.484657</t>
  </si>
  <si>
    <t>SF-CSS-DUN</t>
  </si>
  <si>
    <t>Viale H. Dunant / Via J. e R. Kennedy</t>
  </si>
  <si>
    <t>45.383951, 10.49741</t>
  </si>
  <si>
    <t>Dispensatore A - Principale 5 Continenti</t>
  </si>
  <si>
    <t xml:space="preserve">richiedere al comune </t>
  </si>
  <si>
    <t>SF-CSS-FON</t>
  </si>
  <si>
    <t>Via Fontane</t>
  </si>
  <si>
    <t>45.377107, 10.510664</t>
  </si>
  <si>
    <t>Dispensatore B - Ramo Cima SRL</t>
  </si>
  <si>
    <t>SF-CSS-GER</t>
  </si>
  <si>
    <t>PP0200170022</t>
  </si>
  <si>
    <t>Via Gerra (lato Est)</t>
  </si>
  <si>
    <t>45.37268, 10.501799</t>
  </si>
  <si>
    <t>Gerra Fosso - San Vigilio, tratto tombato</t>
  </si>
  <si>
    <t>SF-CSS-GER2</t>
  </si>
  <si>
    <t>PP0200170017</t>
  </si>
  <si>
    <t>Via Gerra</t>
  </si>
  <si>
    <t>45.37732, 10.503095</t>
  </si>
  <si>
    <t>SF-CSS-GER3</t>
  </si>
  <si>
    <t>PP0200170027</t>
  </si>
  <si>
    <t>Via Gerra (prossimità via Gaia)</t>
  </si>
  <si>
    <t>45.371952, 10.501426</t>
  </si>
  <si>
    <t>SF-CSS-GOLD</t>
  </si>
  <si>
    <t>Via Torquato Tasso (presso Golden Lady Company)</t>
  </si>
  <si>
    <t>45.381882, 10.491454</t>
  </si>
  <si>
    <t xml:space="preserve">SF-CSS-LEO </t>
  </si>
  <si>
    <t>PP0200170023</t>
  </si>
  <si>
    <t>Via Leopardi</t>
  </si>
  <si>
    <t>45.384473, 10.488883</t>
  </si>
  <si>
    <t>PD/1290 del 03/11/2022 - archiviazione della richiesta perchè meteo - n.a.</t>
  </si>
  <si>
    <t xml:space="preserve">SF-CSS-MAI </t>
  </si>
  <si>
    <t>PP0200170007</t>
  </si>
  <si>
    <t>Via Maifreni</t>
  </si>
  <si>
    <t>45.385981, 10.485829</t>
  </si>
  <si>
    <t xml:space="preserve">SF-CSS-MAZ </t>
  </si>
  <si>
    <t>Via Mazzini / Via Maifreni</t>
  </si>
  <si>
    <t>45.385668, 10.485959</t>
  </si>
  <si>
    <t>SF-CSS-MED</t>
  </si>
  <si>
    <t>PP0200170010</t>
  </si>
  <si>
    <t>Sono considerati gli A.E. di alcune frazioni di Lonato del Garda</t>
  </si>
  <si>
    <t>Via Medole (prossimità via V.Alfieri)</t>
  </si>
  <si>
    <t>45.384846, 10.486023</t>
  </si>
  <si>
    <t>SF-CSS-MED2</t>
  </si>
  <si>
    <t>PP0200170011</t>
  </si>
  <si>
    <t>Via Medole (prossimità via Gaia)</t>
  </si>
  <si>
    <t>45.376578, 10.490086</t>
  </si>
  <si>
    <t>Fosso Casino Pernestano</t>
  </si>
  <si>
    <t>SF-CSS-MED3</t>
  </si>
  <si>
    <t>PP0200170028</t>
  </si>
  <si>
    <t>1)scolmatore con grigliatura automatica. 2)Sono considerati gli A.E. di alcune frazioni di Lonato del Garda</t>
  </si>
  <si>
    <t>Via Medole (prossimità via T.Tasso)</t>
  </si>
  <si>
    <t>45.378445, 10.490165</t>
  </si>
  <si>
    <t xml:space="preserve">SF-CSS-MON </t>
  </si>
  <si>
    <t>PP0200170029</t>
  </si>
  <si>
    <t>Grole</t>
  </si>
  <si>
    <t>Via Monte Solivi</t>
  </si>
  <si>
    <t>45.375203, 10.529695</t>
  </si>
  <si>
    <t>Scarico su SUOLO - n.a.</t>
  </si>
  <si>
    <t>SF-CSS-PAS</t>
  </si>
  <si>
    <t>PP0200170006</t>
  </si>
  <si>
    <t>Via Martini, 2 (Parco Pastore)</t>
  </si>
  <si>
    <t>45.392611, 10.484289</t>
  </si>
  <si>
    <t>SF-CSS-PAS2</t>
  </si>
  <si>
    <t>PP0200170005</t>
  </si>
  <si>
    <t>Via Caraffa (Parco Pastore)</t>
  </si>
  <si>
    <t>45.393686, 10.48581</t>
  </si>
  <si>
    <t>SF-CSS-PAS3</t>
  </si>
  <si>
    <t>PP0200170004</t>
  </si>
  <si>
    <t>Via Chiassi (Parco Pastore)</t>
  </si>
  <si>
    <t>45.392976, 10.48773</t>
  </si>
  <si>
    <t xml:space="preserve">SF-CSS-PIS </t>
  </si>
  <si>
    <t>PP0200170009</t>
  </si>
  <si>
    <t>Via Pisacane / Via Cavour</t>
  </si>
  <si>
    <t>45.387043, 10.483547</t>
  </si>
  <si>
    <t>SF-CSS-PIS2</t>
  </si>
  <si>
    <t>PP0200170008</t>
  </si>
  <si>
    <t>Via Pisacane</t>
  </si>
  <si>
    <t>45.385369, 10.481689</t>
  </si>
  <si>
    <t>SF-CSS-RUB</t>
  </si>
  <si>
    <t>PP0200170001</t>
  </si>
  <si>
    <t>cambio posizione a seguito riassetto fognatura - cambiare le coordinate!</t>
  </si>
  <si>
    <t>Via Rubens</t>
  </si>
  <si>
    <t>45.394191, 10.491637</t>
  </si>
  <si>
    <t>SF-CSS-RUB2</t>
  </si>
  <si>
    <t>PP0200170038</t>
  </si>
  <si>
    <t>via Rubens 8</t>
  </si>
  <si>
    <t>45.394205, 10.492373</t>
  </si>
  <si>
    <t>SF-CSS-SOL</t>
  </si>
  <si>
    <t>PP0200170016</t>
  </si>
  <si>
    <t>Via Solferino / Via Fontane (lato Ovest)</t>
  </si>
  <si>
    <t>45.375969, 10.509754</t>
  </si>
  <si>
    <t xml:space="preserve">SF-CSS-SOL2 </t>
  </si>
  <si>
    <t>PP0200170021</t>
  </si>
  <si>
    <t>Via Solferino</t>
  </si>
  <si>
    <t>45.37228, 10.526844</t>
  </si>
  <si>
    <t>SF-CSS-SOL3</t>
  </si>
  <si>
    <t>Via Solferino / Via Fontane (lato Est)</t>
  </si>
  <si>
    <t>45.37592, 10.509875</t>
  </si>
  <si>
    <t>SF-CSS-TOS</t>
  </si>
  <si>
    <t>PP0200170019</t>
  </si>
  <si>
    <t>Via Toscanini</t>
  </si>
  <si>
    <t>45.395625, 10.460254</t>
  </si>
  <si>
    <t>Vaso Naviglio</t>
  </si>
  <si>
    <t xml:space="preserve">SF-CSS-TRI </t>
  </si>
  <si>
    <t>Via C. Tripodi / Via Quasimodo</t>
  </si>
  <si>
    <t>45.378829, 10.508856</t>
  </si>
  <si>
    <t>SF-CSS-ZAN</t>
  </si>
  <si>
    <t>PP0200170030</t>
  </si>
  <si>
    <t>Via Zanardelli</t>
  </si>
  <si>
    <t>45.387014, 10.484121</t>
  </si>
  <si>
    <t>SF-CST-2GI</t>
  </si>
  <si>
    <t xml:space="preserve"> DA DISMETTERE</t>
  </si>
  <si>
    <t>Castellucchio</t>
  </si>
  <si>
    <t>Via 2 giugno</t>
  </si>
  <si>
    <t>45.15241356549991, 10.64976103086243</t>
  </si>
  <si>
    <t>Castellucchio (Capoluogo)</t>
  </si>
  <si>
    <t>SF-CST-BER</t>
  </si>
  <si>
    <t>PP0200160003</t>
  </si>
  <si>
    <t>Via Prato Bersaglio</t>
  </si>
  <si>
    <t>45.14978, 10.64956</t>
  </si>
  <si>
    <t>Osone Vecchio</t>
  </si>
  <si>
    <t>Atto dirigenziale n° PD/1013 del 10/07/2025  (notificato con PEC 14/07/2025)</t>
  </si>
  <si>
    <t>DA FARE ENTRO PRESENTEZAZIONE DOMANDA</t>
  </si>
  <si>
    <t>SF-CST-BRU</t>
  </si>
  <si>
    <t>PP0200160004</t>
  </si>
  <si>
    <t>Elaborati prodotti a dicembre 2024</t>
  </si>
  <si>
    <t>VIA Brusche/via Accordi</t>
  </si>
  <si>
    <t>45.15418676628404, 10.65166745297343</t>
  </si>
  <si>
    <t>Canale Seriola</t>
  </si>
  <si>
    <t>Garda Chiese</t>
  </si>
  <si>
    <t>Prot. 367 del 11.02.2025</t>
  </si>
  <si>
    <t>SF-CST-CHI</t>
  </si>
  <si>
    <t>NUOVO, giugno 2023 - Elaborati prodotti a dicembre 2024 -Sotto chiusino telecom rilievo presente in dettaglio sollevamento</t>
  </si>
  <si>
    <t>Via dalla chiesa</t>
  </si>
  <si>
    <t>45.15106067785056, 10.64600826305236</t>
  </si>
  <si>
    <t>SF-CST-CRO</t>
  </si>
  <si>
    <t>PP0200160006</t>
  </si>
  <si>
    <t>NUOVO 2024- Elaborati prodotti a dicembre 2024</t>
  </si>
  <si>
    <t>Via Crocette</t>
  </si>
  <si>
    <t>45.14845526856167, 10.650393881266512</t>
  </si>
  <si>
    <t>SF-CST-CST</t>
  </si>
  <si>
    <t>PP0200160002</t>
  </si>
  <si>
    <t>Via Giovanni Falcone (c/o depuratore Castellucchio)</t>
  </si>
  <si>
    <t>45.14879, 10.65756</t>
  </si>
  <si>
    <t>SF-CST-MAR</t>
  </si>
  <si>
    <t>PP0200160001</t>
  </si>
  <si>
    <t>Via D. Martelli</t>
  </si>
  <si>
    <t>45.14945, 10.65271</t>
  </si>
  <si>
    <t>SF-CST-MAT</t>
  </si>
  <si>
    <t>PP0200160005</t>
  </si>
  <si>
    <t>scolmatore scoperto il 09/11/2022, elaborati prodotti a dicembre 2024</t>
  </si>
  <si>
    <t>Incrocio tra via Matteotti e via 25 aprile</t>
  </si>
  <si>
    <t>45.14823395181626, 10.646171311933633</t>
  </si>
  <si>
    <t>Fossato afferente al canale Osone Vecchio</t>
  </si>
  <si>
    <t>SF-DSL-ANS</t>
  </si>
  <si>
    <t>PP0200220001</t>
  </si>
  <si>
    <t>Via Anselma</t>
  </si>
  <si>
    <t>44.95814, 10.62663</t>
  </si>
  <si>
    <t>Diversivo Viadanese</t>
  </si>
  <si>
    <t>ATTO DIRIGENZIALE n° PD/2101 del 21/12/2023</t>
  </si>
  <si>
    <t>Concessione N°1855 del 31/07/2023</t>
  </si>
  <si>
    <t>SF-DSL-FRA</t>
  </si>
  <si>
    <t>PP0200220002</t>
  </si>
  <si>
    <t>Correggioverde</t>
  </si>
  <si>
    <t>Via Frattini</t>
  </si>
  <si>
    <t>44.93527, 10.61609</t>
  </si>
  <si>
    <t>reticolo idrico minore afferente a Diversivo Viadanese</t>
  </si>
  <si>
    <t>SF-DSL-GHI</t>
  </si>
  <si>
    <t>PP0200220005</t>
  </si>
  <si>
    <t>Via Walter Ghidini / SP 57 (cimitero)</t>
  </si>
  <si>
    <t>44.97673, 10.63965</t>
  </si>
  <si>
    <t>Canale Sorgive</t>
  </si>
  <si>
    <t>SF-DSL-SAB</t>
  </si>
  <si>
    <t>rete non depurata</t>
  </si>
  <si>
    <t>via Sabbadini</t>
  </si>
  <si>
    <t>44.97331178209986, 10.643998785558153</t>
  </si>
  <si>
    <t>SF-DSL-SP57</t>
  </si>
  <si>
    <t>PP0200220003</t>
  </si>
  <si>
    <t>SP 57 (campo agricolo)</t>
  </si>
  <si>
    <t>44.97414, 10.63908</t>
  </si>
  <si>
    <t>SF-DSL-TRA</t>
  </si>
  <si>
    <t>via Traversagno/via Sacca</t>
  </si>
  <si>
    <t>44.97358432714053, 10.645415980498484</t>
  </si>
  <si>
    <t>SF-DSL-XX57</t>
  </si>
  <si>
    <t>PP0200220004</t>
  </si>
  <si>
    <t>Via XX settembre /SP57</t>
  </si>
  <si>
    <t>44.98033104128835, 10.639488101637324</t>
  </si>
  <si>
    <t>SF-FLN-FLN</t>
  </si>
  <si>
    <t>PP0200610011</t>
  </si>
  <si>
    <t>Felonica</t>
  </si>
  <si>
    <t>Via Valmezzana</t>
  </si>
  <si>
    <t>44.9749577, 11.3593556</t>
  </si>
  <si>
    <t>Sermide e Felonica (Felonica)</t>
  </si>
  <si>
    <t>Dugale Giare</t>
  </si>
  <si>
    <t>occorre vasca di accumulo o sistema di trattamento (testa impianto)</t>
  </si>
  <si>
    <t>n° PD / 84 19/01/2024</t>
  </si>
  <si>
    <t>Consorzio di Bonifica Burana</t>
  </si>
  <si>
    <t>n. 8522 / 2023</t>
  </si>
  <si>
    <t>SF-FLN-GAR</t>
  </si>
  <si>
    <t>PP0200610013</t>
  </si>
  <si>
    <t>Via Garibaldi n.163</t>
  </si>
  <si>
    <t>44.9788577, 11.3593583</t>
  </si>
  <si>
    <t>Reticolo idrico minore</t>
  </si>
  <si>
    <t>SF-GNZ-BUO</t>
  </si>
  <si>
    <t>PP0200270029</t>
  </si>
  <si>
    <t>Bondeno</t>
  </si>
  <si>
    <t>Via Buozzi n.2</t>
  </si>
  <si>
    <t>44.9423238, 10.8614219</t>
  </si>
  <si>
    <t>Roggia lato strada</t>
  </si>
  <si>
    <t>PD / 1383 del  22/09/2025</t>
  </si>
  <si>
    <t>SF-GNZ-CAN</t>
  </si>
  <si>
    <t>PP0200270006</t>
  </si>
  <si>
    <t>v.le Dante n.18</t>
  </si>
  <si>
    <t>44.9536832, 10.8181789</t>
  </si>
  <si>
    <t>canale emissario della Bonifica mantovana – reggiana</t>
  </si>
  <si>
    <t>Consorzio di Bonifica Terre dei Gonzaga in Destra Po</t>
  </si>
  <si>
    <t>Prot. n° 67 Anno 2022 - rep 820</t>
  </si>
  <si>
    <t>SF-GNZ-DANM</t>
  </si>
  <si>
    <t>PP0200270003</t>
  </si>
  <si>
    <t>v.le Dante n.3</t>
  </si>
  <si>
    <t>44.9528081, 10.8219774</t>
  </si>
  <si>
    <t>Non occorre perché AE&lt;10000 e Qproprio&lt;0,5 Qtot</t>
  </si>
  <si>
    <t>Prot. n° 67 Anno 2022- rep 819</t>
  </si>
  <si>
    <t>SF-GNZ-DANP</t>
  </si>
  <si>
    <t>PP0200270013</t>
  </si>
  <si>
    <t>v.le Dante n.20</t>
  </si>
  <si>
    <t>44.9538822, 10.8171328</t>
  </si>
  <si>
    <t>Prot. n° 67 Anno 2022- rep 821</t>
  </si>
  <si>
    <t>SF-GNZ-FEB</t>
  </si>
  <si>
    <t>PP0200270015</t>
  </si>
  <si>
    <r>
      <rPr>
        <sz val="11"/>
        <color theme="1"/>
        <rFont val="Calibri"/>
      </rPr>
      <t xml:space="preserve"> </t>
    </r>
    <r>
      <rPr>
        <sz val="11"/>
        <color theme="1"/>
        <rFont val="Calibri"/>
      </rPr>
      <t xml:space="preserve">Curva impianto da calcolare con attenzione </t>
    </r>
  </si>
  <si>
    <t>Palidano</t>
  </si>
  <si>
    <t>Via Villa inf.re</t>
  </si>
  <si>
    <t>44.966082, 10.7680026</t>
  </si>
  <si>
    <t>Po vecchio</t>
  </si>
  <si>
    <t>Prot. n° 67 Anno 2022- rep 818</t>
  </si>
  <si>
    <t>SF-GNZ-GAR1</t>
  </si>
  <si>
    <t>PP0200270018</t>
  </si>
  <si>
    <t>SP50 - Via Togliatti</t>
  </si>
  <si>
    <t>44.9510445, 10.8287252</t>
  </si>
  <si>
    <t>Prot. n° 67 Anno 2022- rep 822</t>
  </si>
  <si>
    <t>SF-GNZ-GAR2</t>
  </si>
  <si>
    <t>PP0200270020</t>
  </si>
  <si>
    <t>SP50</t>
  </si>
  <si>
    <t>44.9515651, 10.8274563</t>
  </si>
  <si>
    <t>Prot. n° 67 Anno 2022- rep 817</t>
  </si>
  <si>
    <t>SF-GNZ-GAR3</t>
  </si>
  <si>
    <t>PP0200270019</t>
  </si>
  <si>
    <t>44.9512528, 10.8288013</t>
  </si>
  <si>
    <t>Occorre vasca di accumulo o sistema di trattamento (testa impianto + tipo B)</t>
  </si>
  <si>
    <t>Prot. n° 67 Anno 2022- rep 823</t>
  </si>
  <si>
    <t>SF-GNZ-IMA</t>
  </si>
  <si>
    <t>PP0200270026</t>
  </si>
  <si>
    <t>Via I maggio n.14</t>
  </si>
  <si>
    <t>44.9432446, 10.8566802</t>
  </si>
  <si>
    <t xml:space="preserve"> Canale Fasolo</t>
  </si>
  <si>
    <t>Prot. n° 67 Anno 2022- rep 816</t>
  </si>
  <si>
    <t>atto per emissione in nel canale consortile denominato “Fasolo”, verificare</t>
  </si>
  <si>
    <t>SF-GNZ-IND</t>
  </si>
  <si>
    <t>PP0200270016</t>
  </si>
  <si>
    <t xml:space="preserve">Curva impianto da calcolare con attenzione </t>
  </si>
  <si>
    <t>Via dell’artigianato n.60</t>
  </si>
  <si>
    <t>44.9732709, 10.7778115</t>
  </si>
  <si>
    <t>Prot. n° 67 Anno 2022- rep 824</t>
  </si>
  <si>
    <t>SF-GNZ-MAR</t>
  </si>
  <si>
    <t>PP0200270001</t>
  </si>
  <si>
    <t>Sfioro rifatto a febbraio 2025 - geometrico da aggiornare - idraulicamente non è cambiato nulla</t>
  </si>
  <si>
    <t>v.le Guglielmo Marconi n.13</t>
  </si>
  <si>
    <t>44.9525845, 10.8247555</t>
  </si>
  <si>
    <t>Prot. n° 67 Anno 2022- rep 815</t>
  </si>
  <si>
    <t>SF-GNZ-MAT</t>
  </si>
  <si>
    <t>PP0200270024</t>
  </si>
  <si>
    <t>Calcoli di Qs rifatti rilievo alla mano a luglio 2025, pendenza del derivatore precedentemente sottostimata, manufatto conforme</t>
  </si>
  <si>
    <t>Via Matilde</t>
  </si>
  <si>
    <t>44.9421943, 10.8545829</t>
  </si>
  <si>
    <t>canale Fasolo</t>
  </si>
  <si>
    <t>Prot. n° 67 Anno 2022- rep 825</t>
  </si>
  <si>
    <t>SF-GNZ-MIL</t>
  </si>
  <si>
    <t>PP0200270010</t>
  </si>
  <si>
    <t>v.le fiera millenaria 7/g</t>
  </si>
  <si>
    <t>44.9519696, 10.8227018</t>
  </si>
  <si>
    <t>Prot. n° 67 Anno 2022- rep 814</t>
  </si>
  <si>
    <t>SF-GNZ-MIN</t>
  </si>
  <si>
    <t>PP0200270009</t>
  </si>
  <si>
    <t>v.le Dante n.4</t>
  </si>
  <si>
    <t>44.9533689, 10.8195683</t>
  </si>
  <si>
    <t>Prot. n° 67 Anno 2022- rep 826</t>
  </si>
  <si>
    <t>SF-GNZ-MON</t>
  </si>
  <si>
    <t>PP0200270012</t>
  </si>
  <si>
    <t>v.le Virgilio</t>
  </si>
  <si>
    <t>44.9536707, 10.8194265</t>
  </si>
  <si>
    <t>Prot. n° 67 Anno 2022- rep 813</t>
  </si>
  <si>
    <t>SF-GNZ-NER</t>
  </si>
  <si>
    <t>PP0200270005</t>
  </si>
  <si>
    <t>Strada Ronchi</t>
  </si>
  <si>
    <t>44.9539227, 10.8158626</t>
  </si>
  <si>
    <t>Prot. n° 67 Anno 2022- rep 827</t>
  </si>
  <si>
    <t>SF-GNZ-PAD</t>
  </si>
  <si>
    <t>PP0200270025</t>
  </si>
  <si>
    <t>Calcoli di Qs rifatti rilievo alla mano  a luglio 2025, pendenza del derivatore precedentemente sottostimata, manufatto conforme</t>
  </si>
  <si>
    <t>Via Padania n.13</t>
  </si>
  <si>
    <t>44.9417569, 10.8537622</t>
  </si>
  <si>
    <t>Prot. n° 67 Anno 2022- rep 812</t>
  </si>
  <si>
    <t>SF-GNZ-PAV</t>
  </si>
  <si>
    <t>Strada Pavesa</t>
  </si>
  <si>
    <t>44.9427882, 10.8577387</t>
  </si>
  <si>
    <t>Linea acque meteoriche afferente al Canale Fasolo</t>
  </si>
  <si>
    <t>SF-GNZ-PED1</t>
  </si>
  <si>
    <t>PP0200270017</t>
  </si>
  <si>
    <t>v.le Dante n.11</t>
  </si>
  <si>
    <t>44.9534342, 10.8192681</t>
  </si>
  <si>
    <t>Prot. n° 67 Anno 2022- rep 828</t>
  </si>
  <si>
    <t>SF-GNZ-PED2</t>
  </si>
  <si>
    <t>PP0200270007</t>
  </si>
  <si>
    <t>v.le Dante n.10</t>
  </si>
  <si>
    <t>44.9533688, 10.8195683</t>
  </si>
  <si>
    <t>Prot. n° 67 Anno 2022- rep 811</t>
  </si>
  <si>
    <t>SF-GNZ-RON</t>
  </si>
  <si>
    <t>PP0200270008</t>
  </si>
  <si>
    <t>Strada Ronchi n.8/m</t>
  </si>
  <si>
    <t>44.9515373, 10.8150463</t>
  </si>
  <si>
    <t>Prot. n° 67 Anno 2022- rep 829</t>
  </si>
  <si>
    <t>SF-GNZ-SAC</t>
  </si>
  <si>
    <t>Via Matilde n.6</t>
  </si>
  <si>
    <t>44.9427903, 10.8540053</t>
  </si>
  <si>
    <t>SF-GNZ-SOR</t>
  </si>
  <si>
    <t>PP0200270014</t>
  </si>
  <si>
    <t>Manufatto adeguato ad aprile 2025</t>
  </si>
  <si>
    <t>P.za Sordello</t>
  </si>
  <si>
    <t>44.9687, 10.7739955</t>
  </si>
  <si>
    <t>Prot. n° 67 Anno 2022- rep 810</t>
  </si>
  <si>
    <t>SF-GNZ-STU</t>
  </si>
  <si>
    <t>PP0200270011</t>
  </si>
  <si>
    <t>Via Don Sturzo – SP50</t>
  </si>
  <si>
    <t>44.9520486, 10.8253905</t>
  </si>
  <si>
    <t>Prot. n° 67 Anno 2022- rep 830</t>
  </si>
  <si>
    <t>SF-GNZ-TER</t>
  </si>
  <si>
    <t>Via Bondeno di Roncore n.21</t>
  </si>
  <si>
    <t>44.9427241, 10.8527622</t>
  </si>
  <si>
    <t>SF-GNZ-TOG</t>
  </si>
  <si>
    <t>PP0200270021</t>
  </si>
  <si>
    <t>Via Togliatti n.27</t>
  </si>
  <si>
    <t>44.9488547, 10.8278233</t>
  </si>
  <si>
    <t>fosso collegato al Tragatello Meridionale</t>
  </si>
  <si>
    <t>SF-GNZ-VIR</t>
  </si>
  <si>
    <t>PP0200270004</t>
  </si>
  <si>
    <t>V.le Virgilio</t>
  </si>
  <si>
    <t>44.9529324, 10.8225533</t>
  </si>
  <si>
    <t>Prot. n° 67 Anno 2022- rep 809</t>
  </si>
  <si>
    <t>SF-GNZ-VIT</t>
  </si>
  <si>
    <t>Via Di Vittorio n.5</t>
  </si>
  <si>
    <t>44.9425041, 10.8590805</t>
  </si>
  <si>
    <t>SF-GZZ-EUR2</t>
  </si>
  <si>
    <t>PP0200250007</t>
  </si>
  <si>
    <t>Manca relazione estesa, quindi le conclusioni relative alla vasca per il PTUA</t>
  </si>
  <si>
    <t>SP ex SS420 (nei campi)</t>
  </si>
  <si>
    <t>45.063926, 10.580249</t>
  </si>
  <si>
    <t>Principale Regona d'Oglio</t>
  </si>
  <si>
    <t>PD/1032 del 12/09/2022</t>
  </si>
  <si>
    <t>N°1946 del 17/09/2022</t>
  </si>
  <si>
    <t>SF-GZZ-GZZ</t>
  </si>
  <si>
    <t>PP0200250010</t>
  </si>
  <si>
    <t>Manca relazione estesa, quindi le conclusioni relative alla vasca per il PTUA.</t>
  </si>
  <si>
    <t>Via Roma (Area Depuratore)</t>
  </si>
  <si>
    <t>45.067317, 10.578606</t>
  </si>
  <si>
    <t>SF-GZZ-MAR2</t>
  </si>
  <si>
    <t>PP0200250004</t>
  </si>
  <si>
    <t xml:space="preserve">Manca relazione estesa, quindi le conclusioni relative alla vasca per il PTUA. </t>
  </si>
  <si>
    <t>Belforte</t>
  </si>
  <si>
    <t>Via Marsala</t>
  </si>
  <si>
    <t>45.076446, 10.556435</t>
  </si>
  <si>
    <t>fosso collegato al Margonare Renza</t>
  </si>
  <si>
    <t>Prot. 0002604/2024 del 30/08/2024</t>
  </si>
  <si>
    <t>Prot. in cui si chiarisce che MAR 2 non è da concedere</t>
  </si>
  <si>
    <t>SF-GZZ-NOV</t>
  </si>
  <si>
    <t>PP0200250008</t>
  </si>
  <si>
    <t>SP 58 Viale Novi Ligure</t>
  </si>
  <si>
    <t>45.071611, 10.580438</t>
  </si>
  <si>
    <t>fosso collegato al Principale Regona d'Oglio</t>
  </si>
  <si>
    <t>SF-GZZ-PIE</t>
  </si>
  <si>
    <t>PP0200250003</t>
  </si>
  <si>
    <r>
      <rPr>
        <sz val="11"/>
        <color theme="1"/>
        <rFont val="Calibri"/>
      </rPr>
      <t xml:space="preserve">1)Manca relazione estesa, quindi le conclusioni relative alla vasca per il PTUA. 2) </t>
    </r>
    <r>
      <rPr>
        <b/>
        <sz val="11"/>
        <color theme="1"/>
        <rFont val="Calibri"/>
      </rPr>
      <t>Occorre alzare la soglia di 6 cm</t>
    </r>
    <r>
      <rPr>
        <sz val="11"/>
        <color theme="1"/>
        <rFont val="Calibri"/>
      </rPr>
      <t xml:space="preserve"> (nella relazione è stata considerata la soglia rialzata per far tornare i 20 l/s)</t>
    </r>
  </si>
  <si>
    <t>SP 58</t>
  </si>
  <si>
    <t>45.084175, 10.5625</t>
  </si>
  <si>
    <t>SF-GZZ-POM</t>
  </si>
  <si>
    <t>PP0200250006</t>
  </si>
  <si>
    <t>Pomara</t>
  </si>
  <si>
    <t>Fraz. Pomara</t>
  </si>
  <si>
    <t>45.061539, 10.55327</t>
  </si>
  <si>
    <t>fosso collegato al Gardino</t>
  </si>
  <si>
    <t>SF-GZZ-REP</t>
  </si>
  <si>
    <t>PP0200250001</t>
  </si>
  <si>
    <t>via Motta</t>
  </si>
  <si>
    <t>45.088032, 10.558642</t>
  </si>
  <si>
    <t>Scolo Renza Basso</t>
  </si>
  <si>
    <t>SF-GZZ-ROM</t>
  </si>
  <si>
    <t>PP0200250009</t>
  </si>
  <si>
    <t>1)Manca relazione estesa, quindi le conclusioni relative alla vasca per il PTUA. 2) Occorre cambiare il tubo derivatore, da DN125 a DN150 (tubo considerato nella relazione per rispettare i 20 l/s).</t>
  </si>
  <si>
    <t>Via Roma</t>
  </si>
  <si>
    <t>45.066407, 10.579538</t>
  </si>
  <si>
    <t>SF-GZZ-SP58</t>
  </si>
  <si>
    <t>PP0200250005</t>
  </si>
  <si>
    <t xml:space="preserve">1) agosto 2025:correzione del campo "tipo", inizialmente è stato considerato "di rete" quando in realtà è influenzato da un sollevamento, Qs&lt;20 ma sfioro comunque conforme. 2)  Manca relazione estesa, quindi le conclusioni relative alla vasca per il PTUA. </t>
  </si>
  <si>
    <t>SP 58 (dietro distributore)</t>
  </si>
  <si>
    <t>45.082827, 10.567511</t>
  </si>
  <si>
    <t>FORSE SIPIUI</t>
  </si>
  <si>
    <t>SF-GZZ-VAL</t>
  </si>
  <si>
    <t>PP0200250002</t>
  </si>
  <si>
    <t xml:space="preserve">1)Manca relazione estesa, quindi le conclusioni relative alla vasca per il PTUA. 2) Non valgono i 20 l/s perché è sollevamento. </t>
  </si>
  <si>
    <t>Via Valli</t>
  </si>
  <si>
    <t>45.082169, 10.558185</t>
  </si>
  <si>
    <t>SF-MGN-APR</t>
  </si>
  <si>
    <t>PP0200290003</t>
  </si>
  <si>
    <t>Magnacavallo</t>
  </si>
  <si>
    <t>via XXV Aprile</t>
  </si>
  <si>
    <t>45.008428, 11.182223</t>
  </si>
  <si>
    <t>Magnacavallo (Capoluogo)</t>
  </si>
  <si>
    <t xml:space="preserve">Fosso Barbello </t>
  </si>
  <si>
    <t>Atto PD/1634 del 27/09/2023</t>
  </si>
  <si>
    <t>Richieste integrazioni - mai sanate</t>
  </si>
  <si>
    <t>SF-MGN-GIL</t>
  </si>
  <si>
    <t>PP0200290002</t>
  </si>
  <si>
    <t>Parolare</t>
  </si>
  <si>
    <t>via Giliola</t>
  </si>
  <si>
    <t>45.004873, 11.154714</t>
  </si>
  <si>
    <t>Allacciante Dugalone di Magnacavallo</t>
  </si>
  <si>
    <t>da fare richiesta al consorzio -a me risulta non burana - verificare</t>
  </si>
  <si>
    <t>SF-MGN-MGN</t>
  </si>
  <si>
    <t>PP0200290001</t>
  </si>
  <si>
    <t>via Alessandrina (c/o depuratore)</t>
  </si>
  <si>
    <t>45.009552, 11.186214</t>
  </si>
  <si>
    <t>SF-MGN-NEN</t>
  </si>
  <si>
    <t>PP0200290004</t>
  </si>
  <si>
    <t>via Nenni</t>
  </si>
  <si>
    <t>45.003287, 11.185896</t>
  </si>
  <si>
    <t>Fosso collegato al Ducale Angurano Caselle</t>
  </si>
  <si>
    <t>SF-MGN-PAL</t>
  </si>
  <si>
    <t>PP0200290005</t>
  </si>
  <si>
    <t>via Palazzina</t>
  </si>
  <si>
    <t>45.000327, 11.181213</t>
  </si>
  <si>
    <t>SF-MN-1MA</t>
  </si>
  <si>
    <t>Angeli è sotto Mantova, non curtatone, da correggere relazione</t>
  </si>
  <si>
    <t>Angeli</t>
  </si>
  <si>
    <t>Largo I° Maggio</t>
  </si>
  <si>
    <t>45.15318, 10.74988</t>
  </si>
  <si>
    <t>rete acque meteoriche afferente al lago Superiore</t>
  </si>
  <si>
    <t>SF-MN-ALLE</t>
  </si>
  <si>
    <t>PP0200300021</t>
  </si>
  <si>
    <t>Grigliatura 2024</t>
  </si>
  <si>
    <t>via Allende</t>
  </si>
  <si>
    <t>45.14774, 10.80019</t>
  </si>
  <si>
    <t>lago Inferiore</t>
  </si>
  <si>
    <t>PD 1921 del 21/11/2023</t>
  </si>
  <si>
    <t>DECRETO n. 14102 del 24/09/2024</t>
  </si>
  <si>
    <t>Verificare perchè TDM dice che è loro</t>
  </si>
  <si>
    <t>SF-MN-ARL</t>
  </si>
  <si>
    <t>PP0200300015</t>
  </si>
  <si>
    <t>Ponte Arlotto / via Fondamenta</t>
  </si>
  <si>
    <t>45.15515, 10.79683</t>
  </si>
  <si>
    <t>Rio di Sottoriva, recapitante ai Laghi di Mantova</t>
  </si>
  <si>
    <t>PD 1805 del 26/10/2023</t>
  </si>
  <si>
    <t>SF-MN-BONO</t>
  </si>
  <si>
    <t>PP0200300004</t>
  </si>
  <si>
    <t>via san Giovanni Bono</t>
  </si>
  <si>
    <t>45.17271, 10.78319</t>
  </si>
  <si>
    <t>canale Correntino, recapitante ai Laghi di Mantova</t>
  </si>
  <si>
    <t>PD 1841 del 31/10/2023</t>
  </si>
  <si>
    <t>SF-MN-BOR1</t>
  </si>
  <si>
    <t>PP0200300007</t>
  </si>
  <si>
    <t>Castelletto Borgo</t>
  </si>
  <si>
    <t>45.13612, 10.87735</t>
  </si>
  <si>
    <t>Dugale Derbasco</t>
  </si>
  <si>
    <t>fare domanda di aut - 2 scaglione</t>
  </si>
  <si>
    <t>SF-MN-BOR2</t>
  </si>
  <si>
    <t>PP0200300008</t>
  </si>
  <si>
    <t>45.13593, 10.87294</t>
  </si>
  <si>
    <t>SF-MN-CART</t>
  </si>
  <si>
    <t>PP0200300036</t>
  </si>
  <si>
    <t>Cartiera Burgo</t>
  </si>
  <si>
    <t>Strada Cartiera</t>
  </si>
  <si>
    <t>45.17132, 10.79992</t>
  </si>
  <si>
    <t>Lago di Mezzo</t>
  </si>
  <si>
    <t>ATTO DIRIGENZIALE n° PD 1583 del 30/10/2025</t>
  </si>
  <si>
    <t>SF-MN-CAS</t>
  </si>
  <si>
    <t>via Costituenti Mantovani / via Casati</t>
  </si>
  <si>
    <t>45.15199, 10.74862</t>
  </si>
  <si>
    <t>SF-MN-CAV</t>
  </si>
  <si>
    <t>PP0200300029</t>
  </si>
  <si>
    <t>p.za Cavallotti - ex COIN</t>
  </si>
  <si>
    <t>45.15775, 10.7897</t>
  </si>
  <si>
    <t>ATTO DIRIGENZIALE n° PD 1582 del 30/10/2025</t>
  </si>
  <si>
    <t>SF-MN-CIP1</t>
  </si>
  <si>
    <t>PP0200300013</t>
  </si>
  <si>
    <t>45.16238, 10.81668</t>
  </si>
  <si>
    <t>non occorre (scarica a lago)</t>
  </si>
  <si>
    <t>PD 1845 del 31/10/2023</t>
  </si>
  <si>
    <t>SF-MN-CIP3</t>
  </si>
  <si>
    <t>PP0200300014</t>
  </si>
  <si>
    <t>scolmatore con grigliatura automatica</t>
  </si>
  <si>
    <t>45.16126, 10.81592</t>
  </si>
  <si>
    <t>PD 1844 del 31/10/2023</t>
  </si>
  <si>
    <t>SF-MN-CIP4</t>
  </si>
  <si>
    <t>PP0200300023</t>
  </si>
  <si>
    <t>45.16122, 10.81597</t>
  </si>
  <si>
    <t>PD 1846 del 31/10/2023</t>
  </si>
  <si>
    <t>SF-MN-CLL</t>
  </si>
  <si>
    <t>PP0200300002</t>
  </si>
  <si>
    <t>Colle Aperto</t>
  </si>
  <si>
    <t>45.17937, 10.78844</t>
  </si>
  <si>
    <t>Canale Agnella, recapitante ai Laghi di Mantova</t>
  </si>
  <si>
    <t>PD 1839 del 31/10/2023</t>
  </si>
  <si>
    <t>SF-MN-DAI</t>
  </si>
  <si>
    <t>Qs&lt;Pavv,min. Occorre dismissione o adeguamento</t>
  </si>
  <si>
    <t>via Daino/via Grayson</t>
  </si>
  <si>
    <t>45.15072, 10.79851</t>
  </si>
  <si>
    <t>Mandracchio Fossa Magistrale</t>
  </si>
  <si>
    <t>SF-MN-FOR</t>
  </si>
  <si>
    <t>PP0200300009</t>
  </si>
  <si>
    <t>Formigosa</t>
  </si>
  <si>
    <t>Scuole Formigosa sollevamento</t>
  </si>
  <si>
    <t>45.12098, 10.86189</t>
  </si>
  <si>
    <t>affluente a Tartaro-Canalbianco- Po di Levante</t>
  </si>
  <si>
    <t>occorre vasca volano</t>
  </si>
  <si>
    <t>ATTO DIRIGENZIALE n° PD 1568 del 30/10/2025</t>
  </si>
  <si>
    <t>SF-MN-GOIA</t>
  </si>
  <si>
    <t>via Goia</t>
  </si>
  <si>
    <t>45.17753, 10.7892</t>
  </si>
  <si>
    <t>SF-MN-GUA</t>
  </si>
  <si>
    <t>PP0200300031</t>
  </si>
  <si>
    <t>via Guastalla</t>
  </si>
  <si>
    <t>45.18288, 10.77817</t>
  </si>
  <si>
    <t>PD 1848 del 31/10/2023</t>
  </si>
  <si>
    <t>Rep. n° 0000419/2024 del 06/02/2024</t>
  </si>
  <si>
    <t>SF-MN-LAV</t>
  </si>
  <si>
    <t>PP0200300037</t>
  </si>
  <si>
    <t>Realizzato nel 2024, in sostituzione di SF-MN-BRES</t>
  </si>
  <si>
    <t>Gambarara - via Maestri del Lavoro</t>
  </si>
  <si>
    <t>45.1799644439978, 10.781794491382982</t>
  </si>
  <si>
    <t>PD 1849 del 31/10/2023</t>
  </si>
  <si>
    <t>Rep. n° 0000420/2024 del 06/02/2024</t>
  </si>
  <si>
    <t>SF-MN-LAZZ</t>
  </si>
  <si>
    <t>via S. Lazzaro</t>
  </si>
  <si>
    <t>45.15704, 10.74900</t>
  </si>
  <si>
    <t>lago Superiore</t>
  </si>
  <si>
    <t>PD 1919 del 21/11/2023</t>
  </si>
  <si>
    <t>SF-MN-LLSU</t>
  </si>
  <si>
    <t>PP0200300033</t>
  </si>
  <si>
    <t>Largo Lago Superiore</t>
  </si>
  <si>
    <t>45.1578, 10.76515</t>
  </si>
  <si>
    <t>PD 1922 del 21/11/2023</t>
  </si>
  <si>
    <t>SF-MN-MAR1</t>
  </si>
  <si>
    <t>PP0200300018</t>
  </si>
  <si>
    <t>Paiolo</t>
  </si>
  <si>
    <t>via Don Maraglio</t>
  </si>
  <si>
    <t>45.14778, 10.78114</t>
  </si>
  <si>
    <t>Canale Paiolo, recapitante ai Laghi di Mantova</t>
  </si>
  <si>
    <t>PD 1803 del 26/10/2023</t>
  </si>
  <si>
    <t>Rep. n° 0000421/2024 del 06/02/2024</t>
  </si>
  <si>
    <t>SF-MN-MAR2</t>
  </si>
  <si>
    <t>PP0200300019</t>
  </si>
  <si>
    <t>45.14778, 10.78117</t>
  </si>
  <si>
    <t>PD 1804 del 26/10/2023</t>
  </si>
  <si>
    <t>SF-MN-MART</t>
  </si>
  <si>
    <t>PP0200300026</t>
  </si>
  <si>
    <t>P.zza Martiri Belfiore</t>
  </si>
  <si>
    <t>45.15697, 10.79054</t>
  </si>
  <si>
    <t>PD 1923 del 21/11/2023</t>
  </si>
  <si>
    <t>SF-MN-MAS</t>
  </si>
  <si>
    <t>PP0200300032</t>
  </si>
  <si>
    <t>via Massari</t>
  </si>
  <si>
    <t>45.155487454093596, 10.794659085420252</t>
  </si>
  <si>
    <t>ATTO DIRIGENZIALE n° PD 1542 del 28/10/2025</t>
  </si>
  <si>
    <t>SF-MN-MEZ</t>
  </si>
  <si>
    <t>Vic. Di Mezzo</t>
  </si>
  <si>
    <t>45.16314, 10.7933</t>
  </si>
  <si>
    <t>rete acque meteoriche afferente al lago di Mezzo</t>
  </si>
  <si>
    <t>SF-MN-MN</t>
  </si>
  <si>
    <t>via Guerra, 6</t>
  </si>
  <si>
    <t>45.138045676695654, 10.803047723446515</t>
  </si>
  <si>
    <t>Canale Franzina</t>
  </si>
  <si>
    <t>Insieme al depuratore di Mantova</t>
  </si>
  <si>
    <t>SF-MN-MONT</t>
  </si>
  <si>
    <t>PP0200300005</t>
  </si>
  <si>
    <t>str. Montata</t>
  </si>
  <si>
    <t>45.1722, 10.78934</t>
  </si>
  <si>
    <t>canale Correntino, recapitante ai Laghi di 
Mantova</t>
  </si>
  <si>
    <t>PD 1842 del 31/10/2023</t>
  </si>
  <si>
    <t>SF-MN-PASC</t>
  </si>
  <si>
    <t>PP0200300034</t>
  </si>
  <si>
    <t>via Pascoli</t>
  </si>
  <si>
    <t>45.15701, 10.76264</t>
  </si>
  <si>
    <t>PD 1924 del 21/11/2023</t>
  </si>
  <si>
    <t>SF-MN-PES</t>
  </si>
  <si>
    <t>PP0200300035</t>
  </si>
  <si>
    <t>via Pescherie</t>
  </si>
  <si>
    <t>45.15575, 10.79255</t>
  </si>
  <si>
    <t>ATTO DIRIGENZIALE n° PD 1584 del 30/10/2025</t>
  </si>
  <si>
    <t>richiedere concessione</t>
  </si>
  <si>
    <t>SF-MN-PIL</t>
  </si>
  <si>
    <t>PP0200300016</t>
  </si>
  <si>
    <t>Via Pilla (di fronte pastificio)</t>
  </si>
  <si>
    <t>45.15471, 10.74790</t>
  </si>
  <si>
    <t>PD 1920 del 21/11/2023</t>
  </si>
  <si>
    <t>SF-MN-SART</t>
  </si>
  <si>
    <t>PP0200300011</t>
  </si>
  <si>
    <t>SS482 Ostigliese/via Sartori</t>
  </si>
  <si>
    <t>45.15646, 10.83559</t>
  </si>
  <si>
    <t>Diversivo Mincio</t>
  </si>
  <si>
    <t>PD 1843 del 31/10/2023</t>
  </si>
  <si>
    <t>SF-MN-SOLF</t>
  </si>
  <si>
    <t>PP0200300028</t>
  </si>
  <si>
    <t>via Solferino</t>
  </si>
  <si>
    <t>45.15928, 10.78722</t>
  </si>
  <si>
    <t>ATTO DIRIGENZIALE n° PD 1581 del 30/10/2025</t>
  </si>
  <si>
    <t>SF-MN-TOS</t>
  </si>
  <si>
    <t>PP0200300017</t>
  </si>
  <si>
    <t>è uno sfioro di Eremo, il Comune non è Mantova ma Curtatone, correggere relazione</t>
  </si>
  <si>
    <t>Via Dei Toscani soll. N. 17</t>
  </si>
  <si>
    <t>45.14184, 10.74182</t>
  </si>
  <si>
    <t>canale di scolo che recapita al canale Montanara</t>
  </si>
  <si>
    <t>ATTO DIRIGENZIALE n° PD 1576 del 30/10/2025</t>
  </si>
  <si>
    <t>SF-MN-VALD</t>
  </si>
  <si>
    <t>PP0200300010</t>
  </si>
  <si>
    <t>Valdaro</t>
  </si>
  <si>
    <t>Via Meucci</t>
  </si>
  <si>
    <t>45.13482, 10.84783</t>
  </si>
  <si>
    <t>Acquitrino</t>
  </si>
  <si>
    <t>ATTO DIRIGENZIALE n° PD 1585 del 30/10/2025</t>
  </si>
  <si>
    <t>SF-MN-VER</t>
  </si>
  <si>
    <t>PP0200300003</t>
  </si>
  <si>
    <t>S.S. 62 Via Verona</t>
  </si>
  <si>
    <t>45.17479, 10.78714</t>
  </si>
  <si>
    <t>PD 1840 del 31/10/2023</t>
  </si>
  <si>
    <t>SF-MN-VIR</t>
  </si>
  <si>
    <t>PP0200300027</t>
  </si>
  <si>
    <t>Virgiliana</t>
  </si>
  <si>
    <t>Via Villanova De Bellis</t>
  </si>
  <si>
    <t>45.15455, 10.83614</t>
  </si>
  <si>
    <t>Diversivo</t>
  </si>
  <si>
    <t>PD 1847 del 31/10/2023</t>
  </si>
  <si>
    <t>SF-MN-VOL</t>
  </si>
  <si>
    <t>vic. Voltino</t>
  </si>
  <si>
    <t>45.16298, 10.79294</t>
  </si>
  <si>
    <t>SF-MN-WHI</t>
  </si>
  <si>
    <t>Calcoli di Qs rifatti nel 2025, lo sfioro è conforme (precedentemente era stato considerato un Ks non idoneo per un derivatore in PVC)</t>
  </si>
  <si>
    <t>via Costituenti Mantovani / via White</t>
  </si>
  <si>
    <t>45.15166, 10.74808</t>
  </si>
  <si>
    <t>SF-MRC-CAL1</t>
  </si>
  <si>
    <t>PP0200310004</t>
  </si>
  <si>
    <t>Marcaria</t>
  </si>
  <si>
    <t>Campitello</t>
  </si>
  <si>
    <t>Accesso da via G. Puccini</t>
  </si>
  <si>
    <t>45.084921, 10.6011852</t>
  </si>
  <si>
    <t>Marcaria (Campitello)</t>
  </si>
  <si>
    <t>Canale Lojolo</t>
  </si>
  <si>
    <t>PD/263 del 23/02/2023</t>
  </si>
  <si>
    <t>TDM o Garda Chiese?</t>
  </si>
  <si>
    <t>SF-MRC-CAL2</t>
  </si>
  <si>
    <t>PP0200310007</t>
  </si>
  <si>
    <t>Via Gazzuolo n.9</t>
  </si>
  <si>
    <t>45.0859824, 10.6011328</t>
  </si>
  <si>
    <t>Canale Loiolo (tratto tombato)</t>
  </si>
  <si>
    <t>SF-MRC-CAN</t>
  </si>
  <si>
    <t>PP0200310008</t>
  </si>
  <si>
    <t>Strada Canove n.1</t>
  </si>
  <si>
    <t>45.0895543, 10.604294</t>
  </si>
  <si>
    <t>rete acque meteoriche che scarica in un fossato di scolo afferente a canale Loiolo</t>
  </si>
  <si>
    <t>SF-MRC-CAR</t>
  </si>
  <si>
    <t>PP0200310003</t>
  </si>
  <si>
    <t>Cesole</t>
  </si>
  <si>
    <t>Via Carducci</t>
  </si>
  <si>
    <t>45.062524, 10.649328</t>
  </si>
  <si>
    <t>Canale Loiolone Grande</t>
  </si>
  <si>
    <t>SF-MRC-CRI1</t>
  </si>
  <si>
    <t>PP0200310006</t>
  </si>
  <si>
    <t>Via Crispi n.158</t>
  </si>
  <si>
    <t>45.122046, 10.536547</t>
  </si>
  <si>
    <t>Marcaria (Capoluogo)</t>
  </si>
  <si>
    <t>n° PD 1024 del 21/06/2024</t>
  </si>
  <si>
    <t>da fare a seguito di richiesta di TDM</t>
  </si>
  <si>
    <t>SF-MRC-CRI2</t>
  </si>
  <si>
    <t>Via Crispi n.134</t>
  </si>
  <si>
    <t>45.120807, 10.535405</t>
  </si>
  <si>
    <t>SF-MRC-MOT</t>
  </si>
  <si>
    <t>PP0200310010</t>
  </si>
  <si>
    <t>Strada Mottella</t>
  </si>
  <si>
    <t>45.0848865, 10.6036</t>
  </si>
  <si>
    <t>reticolo idrico minore afferente a Degana Superiore (tratto tombato).</t>
  </si>
  <si>
    <t>Inoltrare comunque richiesta TDM per tenere tracciato</t>
  </si>
  <si>
    <t>SF-MRC-MRC</t>
  </si>
  <si>
    <t>PP0200310001</t>
  </si>
  <si>
    <t>Via Circonvallazione n.5</t>
  </si>
  <si>
    <t>45.118298, 10.534378</t>
  </si>
  <si>
    <t xml:space="preserve">Canale Lojolo </t>
  </si>
  <si>
    <t>SF-MRC-PIE</t>
  </si>
  <si>
    <t>PP0200310005</t>
  </si>
  <si>
    <t>via Campo Pietra</t>
  </si>
  <si>
    <t>45.119286, 10.529723</t>
  </si>
  <si>
    <t>Fosso irriguo</t>
  </si>
  <si>
    <t>SF-MRC-SMI</t>
  </si>
  <si>
    <t>San Michele</t>
  </si>
  <si>
    <t>Str. Argine Oglio</t>
  </si>
  <si>
    <t>45.109085, 10.5703858</t>
  </si>
  <si>
    <t>Marcaria (San Michele)</t>
  </si>
  <si>
    <t>Canale Bonifica - Oglio</t>
  </si>
  <si>
    <t>verrà inserito con MNS nel'atto di Campitello</t>
  </si>
  <si>
    <t>SF-MRM-CAM</t>
  </si>
  <si>
    <t>PP0200330004</t>
  </si>
  <si>
    <t>Marmirolo</t>
  </si>
  <si>
    <t>Pozzolo</t>
  </si>
  <si>
    <t>Campo sportivo</t>
  </si>
  <si>
    <t>45.3025031, 10.715659</t>
  </si>
  <si>
    <t>Marmirolo (Pozzolo)</t>
  </si>
  <si>
    <t>Colatore di Pozzolo tramite reticolo idrico minore (primo tratto tombato, poi a cielo aperto)</t>
  </si>
  <si>
    <t>n° PD / 1967 30/11/2023</t>
  </si>
  <si>
    <t>Richiesta il 28 Dicembre 2021</t>
  </si>
  <si>
    <t>SF-MRM-MUR</t>
  </si>
  <si>
    <t>PP0200330006</t>
  </si>
  <si>
    <t>Sfioro adeguato a febbraio 2025</t>
  </si>
  <si>
    <t>S. Brizio</t>
  </si>
  <si>
    <t>Via Muratello</t>
  </si>
  <si>
    <t>45.2336763, 10.7586078</t>
  </si>
  <si>
    <t>Marmirolo (Capoluogo)</t>
  </si>
  <si>
    <t>Re di San Brizio</t>
  </si>
  <si>
    <t xml:space="preserve">Atto dirigenziale PD/ 1016 del 11/07/2025 </t>
  </si>
  <si>
    <t>Rep. 629/2025 del 14/03/2025</t>
  </si>
  <si>
    <t>OK</t>
  </si>
  <si>
    <t>SF-MRM-POZ</t>
  </si>
  <si>
    <t>PP0200330003</t>
  </si>
  <si>
    <t>Via Boschi</t>
  </si>
  <si>
    <t>45.293331224793135, 10.726485036078557</t>
  </si>
  <si>
    <t>Colatore di Pozzolo</t>
  </si>
  <si>
    <t>Richiesta il 28 Dicembre 2022</t>
  </si>
  <si>
    <t>SF-MRM-REB</t>
  </si>
  <si>
    <t>PP0200330005</t>
  </si>
  <si>
    <t>Via Reboline</t>
  </si>
  <si>
    <t>45.3036278, 10.7132063</t>
  </si>
  <si>
    <t>Fiume Mincio</t>
  </si>
  <si>
    <t>non occorre (scarica in Mincio)</t>
  </si>
  <si>
    <t>DECRETO N. 14385 Del 08/10/2019</t>
  </si>
  <si>
    <t>SF-MRM-ROT</t>
  </si>
  <si>
    <t>Trovato 06/22 - in elaborazione, forse da dismettere</t>
  </si>
  <si>
    <t>Rotta</t>
  </si>
  <si>
    <t>45.24950262405503, 10.746585582743302</t>
  </si>
  <si>
    <t>Marengo-Rotta</t>
  </si>
  <si>
    <t>DA FARE?</t>
  </si>
  <si>
    <t>DA RICHIEDERE?</t>
  </si>
  <si>
    <t>SF-MRM-STA</t>
  </si>
  <si>
    <t>PP0200330002</t>
  </si>
  <si>
    <t>S.S. n.236</t>
  </si>
  <si>
    <t>45.2161118, 10.7576217</t>
  </si>
  <si>
    <t>fossato afferente a Roggia Parco</t>
  </si>
  <si>
    <t>SF-MRM-TRI</t>
  </si>
  <si>
    <t xml:space="preserve">PP0200330001 </t>
  </si>
  <si>
    <t>Via Trieste 15</t>
  </si>
  <si>
    <t>45.2159663, 10.7543452</t>
  </si>
  <si>
    <t>Paloni Roggia</t>
  </si>
  <si>
    <t>SIPIUI</t>
  </si>
  <si>
    <t>SF-MTG-ALL</t>
  </si>
  <si>
    <t>PP0200370001</t>
  </si>
  <si>
    <t>L'analisi idraulica era già stata fatta in passato (Depuratore di Suzzara Tabellano)</t>
  </si>
  <si>
    <t>Torricella</t>
  </si>
  <si>
    <t>Via Allende</t>
  </si>
  <si>
    <t>45.039815993031034, 10.702204124946572</t>
  </si>
  <si>
    <t>Suzzara (Tabellano)</t>
  </si>
  <si>
    <t>Preorigini Zara</t>
  </si>
  <si>
    <t>PD/1273 del 26/10/2021</t>
  </si>
  <si>
    <t>Prot. 3751 del 2021</t>
  </si>
  <si>
    <t>SF-MTG-BEL</t>
  </si>
  <si>
    <t>PP0200370007</t>
  </si>
  <si>
    <t>via Belvedere</t>
  </si>
  <si>
    <t>45.032687, 10.764902</t>
  </si>
  <si>
    <t>Motteggiana (Capoluogo)</t>
  </si>
  <si>
    <t xml:space="preserve">fosso tombato afferente a Zara </t>
  </si>
  <si>
    <t>n° PD / 139 del 31/01/2024</t>
  </si>
  <si>
    <t>Prot. 447 anno 2023</t>
  </si>
  <si>
    <t>sono su canali privati però, perchè concessi</t>
  </si>
  <si>
    <t>SF-MTG-FIL2</t>
  </si>
  <si>
    <t>Via Filzi</t>
  </si>
  <si>
    <t>45.02992, 10.798924</t>
  </si>
  <si>
    <t>Motteggiana (Cimitero Villa Saviola)</t>
  </si>
  <si>
    <t>Zara (attraverso rete meteorica)</t>
  </si>
  <si>
    <t>SF-MTG-GRA</t>
  </si>
  <si>
    <t>PP0200370009</t>
  </si>
  <si>
    <t>via A. Gramsci</t>
  </si>
  <si>
    <t>45.035809, 10.762796</t>
  </si>
  <si>
    <t>Allacciante Irriguo Principale-Zara tramite fosso tombato</t>
  </si>
  <si>
    <t>Prot. 448 anno 2023</t>
  </si>
  <si>
    <t>SF-MTG-MAT</t>
  </si>
  <si>
    <t>PP0200370002</t>
  </si>
  <si>
    <t>Via Matteotti</t>
  </si>
  <si>
    <t>45.031569, 10.7132113</t>
  </si>
  <si>
    <t>colatore Zara</t>
  </si>
  <si>
    <t>Prot. 3752 del 2021</t>
  </si>
  <si>
    <t>SF-MTG-MOR</t>
  </si>
  <si>
    <t>PP0200370004</t>
  </si>
  <si>
    <t>Per i calcoli, dato che non è stato possibile tovare la curva delle pompe corrispondenti, si è utilizzata una equivalente</t>
  </si>
  <si>
    <t>Via Moro</t>
  </si>
  <si>
    <t>45.02961, 10.797136</t>
  </si>
  <si>
    <t>Zara</t>
  </si>
  <si>
    <t>n° PD / 83 del 19/01/2024</t>
  </si>
  <si>
    <t>Prot. n° 387 Anno 2023</t>
  </si>
  <si>
    <t>SF-MTG-PAS</t>
  </si>
  <si>
    <t>via G. Pascoli</t>
  </si>
  <si>
    <t>45.034767, 10.761964</t>
  </si>
  <si>
    <t>fosso tombato afferente a Allacciante Irriguo Principale-Zara (tramite rete meteo)</t>
  </si>
  <si>
    <t>SF-MTG-TRE</t>
  </si>
  <si>
    <t>PP0200370006</t>
  </si>
  <si>
    <t>Via Trento / Via Filzi</t>
  </si>
  <si>
    <t>45.033606, 10.794262</t>
  </si>
  <si>
    <t>reticolo idrico minore afferente a Irriguo Principale</t>
  </si>
  <si>
    <t>Prot. n° 388 Anno 2023</t>
  </si>
  <si>
    <t>verificare perchè è concesso</t>
  </si>
  <si>
    <t>SF-OST-CAP</t>
  </si>
  <si>
    <t>PP0200380001</t>
  </si>
  <si>
    <t>Ostiglia</t>
  </si>
  <si>
    <t>strada Cappuccini</t>
  </si>
  <si>
    <t>45.07572, 11.13856</t>
  </si>
  <si>
    <t>Ostiglia (Capoluogo)</t>
  </si>
  <si>
    <t>reticolo idrico minore afferente al tratto tombato di Fossetta di Ostiglia</t>
  </si>
  <si>
    <t>n° PD/777 del 12/07/2022</t>
  </si>
  <si>
    <t>SF-OST-CAS</t>
  </si>
  <si>
    <t>Correggioli</t>
  </si>
  <si>
    <t>via Cascine</t>
  </si>
  <si>
    <t>45.06379, 11.1668</t>
  </si>
  <si>
    <t>Ostiglia (Loc. Correggioli)</t>
  </si>
  <si>
    <t>Dugale Mantovano</t>
  </si>
  <si>
    <t>n° PD / 1004 del 03/09/2018</t>
  </si>
  <si>
    <t>Cartella con materiale pronto per chiedere il rinnovo - è stato poi inoltrato?</t>
  </si>
  <si>
    <t>SF-OST-COR</t>
  </si>
  <si>
    <t>via Canali</t>
  </si>
  <si>
    <t>45.0727, 11.17044</t>
  </si>
  <si>
    <t>n° PD / 631 del 14/04/2016</t>
  </si>
  <si>
    <t>Esiste una richiesta di int. che fa riferimento ad una domanda di rinnovo del 2019
Cartella con materiale pronto per chiedere il rinnovo - è stato poi inoltrato?</t>
  </si>
  <si>
    <t>SF-OST-IND</t>
  </si>
  <si>
    <t>PP0200380005</t>
  </si>
  <si>
    <t>collettore zona industriale</t>
  </si>
  <si>
    <t>45.08697, 11.13919</t>
  </si>
  <si>
    <t>Fossetta di Ostiglia</t>
  </si>
  <si>
    <t>SF-OST-OST</t>
  </si>
  <si>
    <t>PP0200380003</t>
  </si>
  <si>
    <t>c/o depuratore comunale</t>
  </si>
  <si>
    <t>45.08321, 11.13819</t>
  </si>
  <si>
    <t>tratto tombato di Fossetta di Ostiglia</t>
  </si>
  <si>
    <t>SF-OST-PER</t>
  </si>
  <si>
    <t>PP0200380006</t>
  </si>
  <si>
    <t>via Pertini</t>
  </si>
  <si>
    <t>45.07894, 11.13617</t>
  </si>
  <si>
    <t>fosso tombato collegato al tratto tombato di Fossetta di Ostiglia</t>
  </si>
  <si>
    <t>SF-OST-SP482</t>
  </si>
  <si>
    <t>PP0200380007</t>
  </si>
  <si>
    <t>S.S. 482</t>
  </si>
  <si>
    <t>45.07581, 11.12049</t>
  </si>
  <si>
    <t>Fossato collegato al Canale Canameletto</t>
  </si>
  <si>
    <t>SF-OST-SS12</t>
  </si>
  <si>
    <t>PP0200380002</t>
  </si>
  <si>
    <t>incrocio S.S. 12 con S.S.482</t>
  </si>
  <si>
    <t>45.06559, 11.1412</t>
  </si>
  <si>
    <t>Canale afferente al Dugale di San Sebastiano</t>
  </si>
  <si>
    <t>SF-PGN-ASS</t>
  </si>
  <si>
    <t>PP0200390009</t>
  </si>
  <si>
    <t>Pegognaga</t>
  </si>
  <si>
    <t>via S. Francesco d’Assisi</t>
  </si>
  <si>
    <t>44.990994, 10.844675</t>
  </si>
  <si>
    <t>Pegognaga (capoluogo)</t>
  </si>
  <si>
    <t>Cavo Molino</t>
  </si>
  <si>
    <t>n° PD / 972 del 19/06/2024</t>
  </si>
  <si>
    <t>SF-PGN-BAT</t>
  </si>
  <si>
    <t>PP0200390011</t>
  </si>
  <si>
    <t>via Battisti</t>
  </si>
  <si>
    <t>44.996576, 10.856800</t>
  </si>
  <si>
    <t>SF-PGN-BEL</t>
  </si>
  <si>
    <t>PP0200390010</t>
  </si>
  <si>
    <t>Via Martiri di Belfiore</t>
  </si>
  <si>
    <t>44.998978, 10.860148</t>
  </si>
  <si>
    <t>non occorre perché AE&lt;10000 e Qproprio&lt;0,5 Qtot</t>
  </si>
  <si>
    <t>SF-PGN-FOS</t>
  </si>
  <si>
    <t>PP0200390004</t>
  </si>
  <si>
    <t>Via Foscolo (inc. via Gramsci)</t>
  </si>
  <si>
    <t>44.993838, 10.854846</t>
  </si>
  <si>
    <t>SF-PGN-GAR1</t>
  </si>
  <si>
    <t>PP0200390002</t>
  </si>
  <si>
    <t>Via Garibaldi</t>
  </si>
  <si>
    <t>44.997048, 10.857818</t>
  </si>
  <si>
    <t>SF-PGN-GAR2</t>
  </si>
  <si>
    <t>PP0200390003</t>
  </si>
  <si>
    <t>44.998389, 10.859053</t>
  </si>
  <si>
    <t>SF-PGN-GON</t>
  </si>
  <si>
    <t>PP0200390008</t>
  </si>
  <si>
    <t>Via Gonzaga</t>
  </si>
  <si>
    <t>44.99293305979043, 10.848746513761423</t>
  </si>
  <si>
    <t>SF-PGN-KIN</t>
  </si>
  <si>
    <t>Polesine</t>
  </si>
  <si>
    <t>Via Martin Luther King</t>
  </si>
  <si>
    <t>44.984018, 10.811299</t>
  </si>
  <si>
    <t>Brusatasso</t>
  </si>
  <si>
    <t>fosso collegato al Po Vecchio</t>
  </si>
  <si>
    <t>n° PD / 600 del 31/03/2016</t>
  </si>
  <si>
    <t>DA RICHIEDERE ?</t>
  </si>
  <si>
    <t>ci sono nulla osta del consorzio - necessario verificare se poi sono stati effettivamente chiusi con rilascio concessione o no</t>
  </si>
  <si>
    <t>SF-PGN-LOR</t>
  </si>
  <si>
    <t>PP0200390006</t>
  </si>
  <si>
    <t>V.le S. Lorenzo</t>
  </si>
  <si>
    <t>44.9907078, 10.8653617</t>
  </si>
  <si>
    <t>fosso collegato al Cavo Molino</t>
  </si>
  <si>
    <t>SF-PGN-MAR</t>
  </si>
  <si>
    <t>PP0200390001</t>
  </si>
  <si>
    <t>44.996286, 10.858340</t>
  </si>
  <si>
    <t>SF-PGN-MAZ</t>
  </si>
  <si>
    <t>P.za Mazzini</t>
  </si>
  <si>
    <t>44.985095, 10.802363</t>
  </si>
  <si>
    <t>n° PD / 1508 del 22/11/2017</t>
  </si>
  <si>
    <t>SF-PGN-OVE</t>
  </si>
  <si>
    <t>PP0200390005</t>
  </si>
  <si>
    <t>Via Provinciale Ovest</t>
  </si>
  <si>
    <t>44.988848, 10.858458</t>
  </si>
  <si>
    <t>Canale Molino</t>
  </si>
  <si>
    <t>SF-PGN-PET</t>
  </si>
  <si>
    <t>PP0200390012</t>
  </si>
  <si>
    <t>via Petrarca - area privata</t>
  </si>
  <si>
    <t>44.9992672, 10.86125</t>
  </si>
  <si>
    <t>SF-PGN-PGN</t>
  </si>
  <si>
    <t>PP0200390007</t>
  </si>
  <si>
    <t>Strada Chiaviche</t>
  </si>
  <si>
    <t>45.001050, 10.866732</t>
  </si>
  <si>
    <t>SF-PGN-SIS6A</t>
  </si>
  <si>
    <t>Via Sissa n.4</t>
  </si>
  <si>
    <t>44.9905564, 10.857226</t>
  </si>
  <si>
    <t>SF-PGN-SIS6B</t>
  </si>
  <si>
    <t>Via Sissa n.8</t>
  </si>
  <si>
    <t>44.9901755, 10.8577226</t>
  </si>
  <si>
    <t>SF-PGN-SIS6C</t>
  </si>
  <si>
    <t>Via Sissa n.10</t>
  </si>
  <si>
    <t>44.989864, 10.8581325</t>
  </si>
  <si>
    <t>SF-PGN-SIS6D</t>
  </si>
  <si>
    <t>Via Sissa n.27</t>
  </si>
  <si>
    <t>44.9895008, 10.8586081</t>
  </si>
  <si>
    <t>SF-PGN-SIS6E</t>
  </si>
  <si>
    <t>Via Sissa n.39</t>
  </si>
  <si>
    <t>44.9889947, 10.8592697</t>
  </si>
  <si>
    <t>SF-PMP-FAL</t>
  </si>
  <si>
    <t>Pomponesco</t>
  </si>
  <si>
    <t>Banzuolo</t>
  </si>
  <si>
    <t>Via Giovanni Falcone / Via Fratelli Cantoni</t>
  </si>
  <si>
    <t>44.92943, 10.58189</t>
  </si>
  <si>
    <t>Fossato (prima tombato poi a cielo aperto) afferente a Rigata</t>
  </si>
  <si>
    <t>Atto dirigenziale n° PD/1809 del 10/12/2024</t>
  </si>
  <si>
    <t>N° 1750/2023 del 31/05/2023</t>
  </si>
  <si>
    <t>SF-PMP-NOC</t>
  </si>
  <si>
    <t>Salina</t>
  </si>
  <si>
    <t>via Nocidella</t>
  </si>
  <si>
    <t>44.94989734952731, 10.578134922617812</t>
  </si>
  <si>
    <t>Gerbolina</t>
  </si>
  <si>
    <t>Fossato Salina (tratto tombato)</t>
  </si>
  <si>
    <t>Presente cartella con tutto il materiale ma non capisco se inoltrato - chiedere Laura</t>
  </si>
  <si>
    <t>SF-PMP-SAL</t>
  </si>
  <si>
    <t>Febbraio 2023 - Sfioro temporaneo che sostituisce XXS VIA e VAL.</t>
  </si>
  <si>
    <t>Via Saletto</t>
  </si>
  <si>
    <t>44.93681, 10.59419</t>
  </si>
  <si>
    <t>Fosso Saletto</t>
  </si>
  <si>
    <t>SF-PMP-TAV</t>
  </si>
  <si>
    <t>Via Tavogliere</t>
  </si>
  <si>
    <t>44.93111, 10.58786</t>
  </si>
  <si>
    <t>Fosso Rigata 3</t>
  </si>
  <si>
    <t>SF-PMP-VAL</t>
  </si>
  <si>
    <t>Via Viazza</t>
  </si>
  <si>
    <t>44.93523, 10.59827</t>
  </si>
  <si>
    <t>In rinnovo insieme aal depuratore (inviata istanza 2023)</t>
  </si>
  <si>
    <t>in meteo - chiedere al comune e temporaneamente sostituito da SAL</t>
  </si>
  <si>
    <t>SF-PMP-VIA</t>
  </si>
  <si>
    <t>ATTENZIONE: non è corretto il calcolo di Qp, quindi Pavv. Ricalcolare al prissimo rinnovo!</t>
  </si>
  <si>
    <t>via Viazza</t>
  </si>
  <si>
    <t>temporaneamente sostituito da SAL</t>
  </si>
  <si>
    <t>SF-PMP-XXS</t>
  </si>
  <si>
    <t>Via XX Settembre</t>
  </si>
  <si>
    <t>44.93677, 10.59409</t>
  </si>
  <si>
    <t>SF-PRT-BEL</t>
  </si>
  <si>
    <t>PORTO MANTOVANO</t>
  </si>
  <si>
    <t>S. Antonio</t>
  </si>
  <si>
    <t>Via Belgiardino incr. Via Tarantelli</t>
  </si>
  <si>
    <t>45.188266, 10.784873</t>
  </si>
  <si>
    <t>Porto Mantovano (Mantovanella)</t>
  </si>
  <si>
    <t>Colatore Diversivo Mincio</t>
  </si>
  <si>
    <t>n° PD / 242 del 23/02/2017</t>
  </si>
  <si>
    <t>Il depuratore associato è in AUA</t>
  </si>
  <si>
    <t>SF-PRT-BRO</t>
  </si>
  <si>
    <t>PP0200450001</t>
  </si>
  <si>
    <t>Via Brodolini / Strada Circonvallazione Est</t>
  </si>
  <si>
    <t>45.184134, 10.79484</t>
  </si>
  <si>
    <t>Porto Mantovano (Favorita)</t>
  </si>
  <si>
    <t>n° PD / 1822 del 30/10/2023</t>
  </si>
  <si>
    <t>Inoltrata domanda SIPIUI - 25/07/2023 - PI_23_00000113746</t>
  </si>
  <si>
    <t>SF-PRT-COS1</t>
  </si>
  <si>
    <t>Soave</t>
  </si>
  <si>
    <t>Via Costituzione/Via D. Pietri</t>
  </si>
  <si>
    <t>45.196358, 10.72428</t>
  </si>
  <si>
    <t>Tratto tombato di Guerrera di Soave (da rete meteorica)</t>
  </si>
  <si>
    <t>in meteo - chiedere al comune però esiste n° PD / 231 del 22/02/2017</t>
  </si>
  <si>
    <t>SF-PRT-COS2</t>
  </si>
  <si>
    <t>Il muretto di sfioro è posto nel pozzetto a valle del tubo emissario.</t>
  </si>
  <si>
    <t>Via Costituzione/Via Martelli</t>
  </si>
  <si>
    <t>45.196786, 10.724813</t>
  </si>
  <si>
    <t>in meteo - chiedere al comune però esiste n° PD / 232 del 22/02/2017</t>
  </si>
  <si>
    <t>SF-PRT-DON</t>
  </si>
  <si>
    <t>Via Donatori del Sangue</t>
  </si>
  <si>
    <t>45.198476, 10.719029</t>
  </si>
  <si>
    <t>Scolo Colarina</t>
  </si>
  <si>
    <t>SF-PRT-DST</t>
  </si>
  <si>
    <t>Via Don Luigi Sturzo / Via De Gasperi</t>
  </si>
  <si>
    <t>45.185818, 10.790063</t>
  </si>
  <si>
    <t>Colatore Diversivo Mincio tramite rete meteorica</t>
  </si>
  <si>
    <t>SF-PRT-EST</t>
  </si>
  <si>
    <t>PP0200450010</t>
  </si>
  <si>
    <t xml:space="preserve">Manufatto di sfioro immediatamente a monte di uno degli ingressi del Dep.Favorita. </t>
  </si>
  <si>
    <t>Strada Circonvallazione Est presso depuratore Favorita</t>
  </si>
  <si>
    <t>45.183928, 10.797714</t>
  </si>
  <si>
    <t>SF-PRT-GER</t>
  </si>
  <si>
    <t>Via Germiniasi, presso ex-depuratore</t>
  </si>
  <si>
    <t>45.193237, 10.723654</t>
  </si>
  <si>
    <t>n° PD / 1214 del 25/09/2017</t>
  </si>
  <si>
    <t>SF-PRT-GRA</t>
  </si>
  <si>
    <t>Via A. Gramsci</t>
  </si>
  <si>
    <t>45.194754, 10.787835</t>
  </si>
  <si>
    <t>n° PD / 190 del 17/02/2017</t>
  </si>
  <si>
    <t>SF-PRT-IND</t>
  </si>
  <si>
    <t>Malpensata-Gombetto</t>
  </si>
  <si>
    <t>Via Industria</t>
  </si>
  <si>
    <t>45.19646111808928, 10.770281123265958</t>
  </si>
  <si>
    <t>tratto tombato di Gambarara Vecchia (da rete meteorica)</t>
  </si>
  <si>
    <t>in meteo - chiedere al comune però esiste n° PD / 233 del 22/02/2017</t>
  </si>
  <si>
    <t>SF-PRT-KEN1</t>
  </si>
  <si>
    <t>Bancole</t>
  </si>
  <si>
    <t>Via F.lli Kennedy (presso Casa del Trattore)</t>
  </si>
  <si>
    <t>45.190945, 10.797038</t>
  </si>
  <si>
    <t>Colatore Diversivo Mincio (mediante rete acque piovane)</t>
  </si>
  <si>
    <t>SF-PRT-KEN2</t>
  </si>
  <si>
    <t>Via F.lli Kennedy / Via Brodolini</t>
  </si>
  <si>
    <t>45.189232, 10.795501</t>
  </si>
  <si>
    <t>SF-PRT-MAG</t>
  </si>
  <si>
    <t>PP0200450021</t>
  </si>
  <si>
    <t>Montata</t>
  </si>
  <si>
    <t>Via Magellano / Strada Montata</t>
  </si>
  <si>
    <t>45.181498, 10.802332</t>
  </si>
  <si>
    <t>Colatore Diversivo Mincio tramite fosso tombato</t>
  </si>
  <si>
    <t>SF-PRT-MAN</t>
  </si>
  <si>
    <t> Via Papa Giovanni XXIII / Via Manzoni</t>
  </si>
  <si>
    <t>45.200707, 10.795582</t>
  </si>
  <si>
    <t>SF-PRT-MAR1</t>
  </si>
  <si>
    <t>Via Maritain/Via Bellini</t>
  </si>
  <si>
    <t>45.209979, 10.793707</t>
  </si>
  <si>
    <t>tratto tombato di Olmazzo tramite rete meteorica</t>
  </si>
  <si>
    <t>in meteo - chiedere al comune però esiste n° PD / 215 del 21/02/2017</t>
  </si>
  <si>
    <t>SF-PRT-MAR2</t>
  </si>
  <si>
    <t>Via Maritain incr. Via Don D. Bertoldi</t>
  </si>
  <si>
    <t>45.209887, 10.79449</t>
  </si>
  <si>
    <t>in meteo - chiedere al comune però esiste n° PD / 216 del 21/02/2017</t>
  </si>
  <si>
    <t>SF-PRT-MGL</t>
  </si>
  <si>
    <t>Strada Maglio</t>
  </si>
  <si>
    <t>45.195504, 10.719206</t>
  </si>
  <si>
    <t>Naviglio di Goito</t>
  </si>
  <si>
    <t>n° PD / 228 del 22/02/2017</t>
  </si>
  <si>
    <t>SF-PRT-MGL2</t>
  </si>
  <si>
    <t>45.197254, 10.71729</t>
  </si>
  <si>
    <t>n° PD / 244 del 23/02/2017</t>
  </si>
  <si>
    <t>SF-PRT-MON</t>
  </si>
  <si>
    <t>Via Monteverdi</t>
  </si>
  <si>
    <t>45.187989, 10.786536</t>
  </si>
  <si>
    <t>n° PD / 199 del 20/02/2017</t>
  </si>
  <si>
    <t>SF-PRT-MONT</t>
  </si>
  <si>
    <t>PP0200450034</t>
  </si>
  <si>
    <t>Strada Montata</t>
  </si>
  <si>
    <t>45.184038, 10.806414</t>
  </si>
  <si>
    <t>Colle Aperto (tratto tombato)</t>
  </si>
  <si>
    <t>SF-PRT-NER</t>
  </si>
  <si>
    <t>Via P. Neruda</t>
  </si>
  <si>
    <t>45.209151, 10.792721</t>
  </si>
  <si>
    <t>Tratto tombato di Olmazzo</t>
  </si>
  <si>
    <t>n° PD / 189 del 17/02/2017</t>
  </si>
  <si>
    <t>SF-PRT-NUV</t>
  </si>
  <si>
    <t>Via Nuvolari</t>
  </si>
  <si>
    <t>45.193311, 10.72671</t>
  </si>
  <si>
    <t>Tratto tombato di Guerrera di Soave</t>
  </si>
  <si>
    <t>n° PD / 226 del 22/02/2017</t>
  </si>
  <si>
    <t>SF-PRT-OLA</t>
  </si>
  <si>
    <t> Via Papa Giovanni XXIII / Via Olaf Palme</t>
  </si>
  <si>
    <t>45.197959, 10.797736</t>
  </si>
  <si>
    <t>SF-PRT-PAR</t>
  </si>
  <si>
    <t>Manufatto di sfioro immediatamente a monte di uno degli ingressi del Dep.Mantovanella</t>
  </si>
  <si>
    <t>Presso depuratore Mantovanella</t>
  </si>
  <si>
    <t>45.187919, 10.775914</t>
  </si>
  <si>
    <t>Gambarara Vecchia</t>
  </si>
  <si>
    <t>n° PD / 768 del 25/05/2017</t>
  </si>
  <si>
    <t>SF-PRT-ROM</t>
  </si>
  <si>
    <t>Nella tubazione di mandata del sollevamento, si innesta la premente proveniente dal SOL-PRT-MGL.</t>
  </si>
  <si>
    <t>Piazzale Roma</t>
  </si>
  <si>
    <t>45.195812, 10.72002</t>
  </si>
  <si>
    <t>n° PD / 245 del 23/02/2017</t>
  </si>
  <si>
    <t>SF-PRT-SEC1</t>
  </si>
  <si>
    <t>Via Secchia incr. Via P. Neruda</t>
  </si>
  <si>
    <t>45.209688, 10.79229</t>
  </si>
  <si>
    <t>in meteo - chiedere al comune però esiste n° PD / 201 del 20/02/2017</t>
  </si>
  <si>
    <t>SF-PRT-SEC2</t>
  </si>
  <si>
    <t>Via P. Secchia incr. Via Montessori</t>
  </si>
  <si>
    <t>45.209386, 10.7916</t>
  </si>
  <si>
    <t>tratto tombato di Olmazzo tramire rete meteorica</t>
  </si>
  <si>
    <t>in meteo - chiedere al comune però esiste n° PD / 202 del 20/02/2017</t>
  </si>
  <si>
    <t>SF-PRT-SEC3</t>
  </si>
  <si>
    <t>Via P. Secchia incr. Via Treves</t>
  </si>
  <si>
    <t>45.209018, 10.790726</t>
  </si>
  <si>
    <t>Tratto tombato di Olmazzo tramite rete meteorica</t>
  </si>
  <si>
    <t>in meteo - chiedere al comune però esiste n° PD / 209 del 21/02/2017</t>
  </si>
  <si>
    <t>SF-PRT-SEC4</t>
  </si>
  <si>
    <t>Via Secchia incr. Via B. Croce</t>
  </si>
  <si>
    <t>45.210014, 10.793087</t>
  </si>
  <si>
    <t>in meteo - chiedere al comune però esiste n° PD / 213 del 21/02/2017</t>
  </si>
  <si>
    <t>SF-PRT-SOL</t>
  </si>
  <si>
    <t>Via Solzi Antenore</t>
  </si>
  <si>
    <t>45.194074, 10.722929</t>
  </si>
  <si>
    <t>n° PD / 200 del 20/02/2017</t>
  </si>
  <si>
    <t>SF-PRT-SPI1</t>
  </si>
  <si>
    <t>PP0200450019</t>
  </si>
  <si>
    <t>Spinosa</t>
  </si>
  <si>
    <t>Strada Spinosa</t>
  </si>
  <si>
    <t>45.204991, 10.821154</t>
  </si>
  <si>
    <t>Fosso Fossamana</t>
  </si>
  <si>
    <t>SF-PRT-SPI2</t>
  </si>
  <si>
    <t>PP0200450020</t>
  </si>
  <si>
    <t>45.204431, 10.820771</t>
  </si>
  <si>
    <t>SF-PRT-TAR</t>
  </si>
  <si>
    <t>Via E. Tarantelli incr. Via Salvo D'Acquisto</t>
  </si>
  <si>
    <t>45.187335, 10.784475</t>
  </si>
  <si>
    <t>n° PD / 218 del 21/02/2017</t>
  </si>
  <si>
    <t>SF-PRT-TOL</t>
  </si>
  <si>
    <t> Via Papa Giovanni XXIII / Via Tolstoj</t>
  </si>
  <si>
    <t>45.197323, 10.798211</t>
  </si>
  <si>
    <t>SF-PRT-VTV</t>
  </si>
  <si>
    <t> Via Papa Giovanni XXIII / Via V. Veneto</t>
  </si>
  <si>
    <t>45.19665, 10.79868</t>
  </si>
  <si>
    <t>SF-PSM-CHI</t>
  </si>
  <si>
    <t>PP0200440003</t>
  </si>
  <si>
    <t>Modificato in primavera 2023</t>
  </si>
  <si>
    <t>Ponti Sul Mincio</t>
  </si>
  <si>
    <t>Broglie</t>
  </si>
  <si>
    <t>via Dalla Chiesa</t>
  </si>
  <si>
    <t>45.428118, 10.664941</t>
  </si>
  <si>
    <t>Peschiera del Garda (VR)</t>
  </si>
  <si>
    <t>Rio Giordano</t>
  </si>
  <si>
    <t>Atto PD/653 del 26/04/2023</t>
  </si>
  <si>
    <t>SF-PSM-PAR</t>
  </si>
  <si>
    <t>PP0200440002</t>
  </si>
  <si>
    <t>Piazza Parolini</t>
  </si>
  <si>
    <t>45.412938, 10.687495</t>
  </si>
  <si>
    <t>Ponti sul Mincio (Capoluogo)</t>
  </si>
  <si>
    <t>Rete meteorica afferente a Rio Dugale</t>
  </si>
  <si>
    <t>SF-PSM-ROM</t>
  </si>
  <si>
    <t>45.414119, 10.687439</t>
  </si>
  <si>
    <t>SF-PSM-TI1</t>
  </si>
  <si>
    <t>PP0200440005</t>
  </si>
  <si>
    <t>via Circonvallazione (c/o depuratore)</t>
  </si>
  <si>
    <t>45.406772, 10.687604</t>
  </si>
  <si>
    <t>Scolo Redone Superiore</t>
  </si>
  <si>
    <t>Atto PD/1123 del 27/09/2022</t>
  </si>
  <si>
    <t>SF-PSM-TI2</t>
  </si>
  <si>
    <t>PP0200440001</t>
  </si>
  <si>
    <t>45.406672, 10.68764</t>
  </si>
  <si>
    <t>SF-PVC-MATT2</t>
  </si>
  <si>
    <t>PP0200720002</t>
  </si>
  <si>
    <t>è stata alzata la soglia di sfioro a giugno 2022</t>
  </si>
  <si>
    <t>45.032752, 11.111709</t>
  </si>
  <si>
    <t>rete acque meteoriche che scarica in un fossato afferente a Emissario Agro Mantovano-Reggiano</t>
  </si>
  <si>
    <t>n.a. meteo</t>
  </si>
  <si>
    <t>SF-PVC-PEL</t>
  </si>
  <si>
    <t>PP0200720003</t>
  </si>
  <si>
    <t>via Pelate</t>
  </si>
  <si>
    <t>45.031359, 11.114043</t>
  </si>
  <si>
    <t>Dugale Pieve</t>
  </si>
  <si>
    <t>ATTO DIRIGENZIALE n° PD / 693 29/04/2024</t>
  </si>
  <si>
    <t>Richiesta in data 20.11.2023</t>
  </si>
  <si>
    <t>SF-PVC-PVC</t>
  </si>
  <si>
    <t>PP0200730002</t>
  </si>
  <si>
    <t>Via Gorgadelli, c/o depuratore, a Pieve di Coriano</t>
  </si>
  <si>
    <t>45.032019, 11.105554</t>
  </si>
  <si>
    <t>All. Fosso Gisiolo-Volto</t>
  </si>
  <si>
    <t>SF-QGN-GAB</t>
  </si>
  <si>
    <t>PP0200460003</t>
  </si>
  <si>
    <t>Quingentole</t>
  </si>
  <si>
    <t>Strada Gabbiana</t>
  </si>
  <si>
    <t>45.03531, 11.04197</t>
  </si>
  <si>
    <t>Canale Gronda Nord</t>
  </si>
  <si>
    <t>n° PD / 577 del 09/04/2024</t>
  </si>
  <si>
    <t>nulla osta Prot. 1607 del 30/06/2020</t>
  </si>
  <si>
    <t>Il consorzio ha rilasciato nulla osta perché privato</t>
  </si>
  <si>
    <t>SF-QGN-QGN</t>
  </si>
  <si>
    <t>PP0200460001</t>
  </si>
  <si>
    <t>Strada Fienili</t>
  </si>
  <si>
    <t>45.03470, 11.04604</t>
  </si>
  <si>
    <t>Dugale Lagomoro</t>
  </si>
  <si>
    <r>
      <rPr>
        <sz val="11"/>
        <color theme="1"/>
        <rFont val="Calibri"/>
      </rPr>
      <t>n° PD / 577 del 09/04/2024</t>
    </r>
  </si>
  <si>
    <t>nulla osta Prot. 1608 del 30/06/2020</t>
  </si>
  <si>
    <t>SF-QGN-ROM</t>
  </si>
  <si>
    <t>PP0200460002</t>
  </si>
  <si>
    <t>45.03588, 11.05504</t>
  </si>
  <si>
    <t>Dugale Piazza di Quingentole</t>
  </si>
  <si>
    <r>
      <rPr>
        <sz val="11"/>
        <color theme="1"/>
        <rFont val="Calibri"/>
      </rPr>
      <t>n° PD / 577 del 09/04/2024</t>
    </r>
  </si>
  <si>
    <t>nulla osta Prot. N. 2840 del 17/11/2023</t>
  </si>
  <si>
    <t>SF-RNC-BAT</t>
  </si>
  <si>
    <t>PP0200520002</t>
  </si>
  <si>
    <t>Roncoferraro</t>
  </si>
  <si>
    <t>Barbassolo</t>
  </si>
  <si>
    <t>Via C. Battisti</t>
  </si>
  <si>
    <t>45.139547, 10.9394792</t>
  </si>
  <si>
    <t>Roncoferraro (Capoluogo)</t>
  </si>
  <si>
    <t>Canale Fossona</t>
  </si>
  <si>
    <t>Atto dirigenziale n° PD/1641 del 29/10/2024 (notificiato con PEC del 31/10/2024)</t>
  </si>
  <si>
    <t>Inoltrare di nuovo per cambio recettore</t>
  </si>
  <si>
    <t>SF-RNC-FAN</t>
  </si>
  <si>
    <t>PP0200520013</t>
  </si>
  <si>
    <t xml:space="preserve"> rilievo alla mano occorre verificare la pendenza utilizzata per il calcolo di Qs, impostata sullo 0.002 per far tornare i 20 l/s. </t>
  </si>
  <si>
    <t>Via Fanti</t>
  </si>
  <si>
    <t>45.1199979, 10.9105993</t>
  </si>
  <si>
    <t>Fossato afferente a Condotto Valle dei Signori</t>
  </si>
  <si>
    <t>SF-RNC-FAN1</t>
  </si>
  <si>
    <t>PP0200520014</t>
  </si>
  <si>
    <t>via Fancelli (inc. via Roma)</t>
  </si>
  <si>
    <t>45.1316304, 10.9511438</t>
  </si>
  <si>
    <t>Reticolo idrico minore afferente a Scolo Raganella</t>
  </si>
  <si>
    <t>SF-RNC-GAL</t>
  </si>
  <si>
    <t>PP0200520012</t>
  </si>
  <si>
    <t>Villa Garibaldi</t>
  </si>
  <si>
    <t>Via C. Battisti/ via Galvagnina</t>
  </si>
  <si>
    <t>45.1447747, 10.9284284</t>
  </si>
  <si>
    <t>fossato afferente al canale Fossona</t>
  </si>
  <si>
    <t>SF-RNC-GALI</t>
  </si>
  <si>
    <t>PP0200520005</t>
  </si>
  <si>
    <t>Via G. Galilei</t>
  </si>
  <si>
    <t>45.1369762, 10.9569267</t>
  </si>
  <si>
    <t>Dugaletto Corbolo</t>
  </si>
  <si>
    <t>SF-RNC-LAM</t>
  </si>
  <si>
    <t>Il sollevamento ha Q fortemente limitante causa mandate piccole. Questo però è in accordo con le capacità ridotte del dep. Per cui si decide di fissare Q effettiva a 30 m3/h</t>
  </si>
  <si>
    <t>Governolo</t>
  </si>
  <si>
    <t>via Lamarmora</t>
  </si>
  <si>
    <t>45.0908505, 10.9640945</t>
  </si>
  <si>
    <t>Roncoferraro (Governolo)</t>
  </si>
  <si>
    <t>Dugale di Governolo</t>
  </si>
  <si>
    <t>n° PD / 958  del 11/09/2019</t>
  </si>
  <si>
    <t>Mandata richiesta di rinnovo in provincia in data 5.09.2023 - monitorare rilascio</t>
  </si>
  <si>
    <t>SF-RNC-MIC</t>
  </si>
  <si>
    <t>PP0200520006</t>
  </si>
  <si>
    <t>Questo manufatto è da rifare.</t>
  </si>
  <si>
    <t>via Michelangelo (inc. via Roma)</t>
  </si>
  <si>
    <t>45.1311406, 10.9504273</t>
  </si>
  <si>
    <t>SF-RNC-ROD1</t>
  </si>
  <si>
    <t>PP0200520011</t>
  </si>
  <si>
    <t>Via C. Battisti ang. via Rodoni</t>
  </si>
  <si>
    <t>45.147257, 10.922483</t>
  </si>
  <si>
    <t>Canale Carzolana</t>
  </si>
  <si>
    <t>SF-RNC-ROD2</t>
  </si>
  <si>
    <t>PP0200520001</t>
  </si>
  <si>
    <t>Barbasso</t>
  </si>
  <si>
    <t>via Rodoni / SPexSS482</t>
  </si>
  <si>
    <t>45.1204762, 10.907708</t>
  </si>
  <si>
    <t>SF-RNC-ROM</t>
  </si>
  <si>
    <t>PP0200520007</t>
  </si>
  <si>
    <t>Via Roma n.75</t>
  </si>
  <si>
    <t>45.132494, 10.951985</t>
  </si>
  <si>
    <t>SF-RNC-VIN</t>
  </si>
  <si>
    <t>PP0200520003</t>
  </si>
  <si>
    <t>Via L. da Vinci</t>
  </si>
  <si>
    <t>45.1369559, 10.9541787</t>
  </si>
  <si>
    <t>Dugale di Roncoferraro</t>
  </si>
  <si>
    <t>Richieste più infos</t>
  </si>
  <si>
    <t>SF-RVL-LAM</t>
  </si>
  <si>
    <t>PP0200500001</t>
  </si>
  <si>
    <t>Rivarolo Mantovano</t>
  </si>
  <si>
    <t>via G. Garibaldi</t>
  </si>
  <si>
    <t>45.069047, 10.430400</t>
  </si>
  <si>
    <t>Rivarolo Mantovano (Capoluogo)</t>
  </si>
  <si>
    <t>fosso del reticolo minore afferente a colatore delmona</t>
  </si>
  <si>
    <t>n° PD / 888 del 29/07/2021</t>
  </si>
  <si>
    <t>SF-RVL-PIA</t>
  </si>
  <si>
    <t>PP0200500002</t>
  </si>
  <si>
    <t>v.le Piave</t>
  </si>
  <si>
    <t>45.071770, 10.437572</t>
  </si>
  <si>
    <t>Fossato afferente a Scarico Rivarolo 1</t>
  </si>
  <si>
    <t>SF-RVL-ROM</t>
  </si>
  <si>
    <t>Cividale</t>
  </si>
  <si>
    <t>45.064845, 10.489106</t>
  </si>
  <si>
    <t>Spineda (CR)</t>
  </si>
  <si>
    <t>fosso del reticolo minore afferente a canale Delmoncello 1</t>
  </si>
  <si>
    <t>Da chiarire perchè è su CR</t>
  </si>
  <si>
    <t>SF-RVL-RVL</t>
  </si>
  <si>
    <t>PP0200500004</t>
  </si>
  <si>
    <t>1) Lavori di realizzazione soglia in programma, ma di difficile esecuzione. 2) è presente valvola di non ritorno sul derivatore per immissione ad un collettore poco a valle</t>
  </si>
  <si>
    <t>Via A. Tosi</t>
  </si>
  <si>
    <t>45.066797, 10.437001</t>
  </si>
  <si>
    <t>Colatore Delmona</t>
  </si>
  <si>
    <t>In pagamento oneri per proceder al rilascio</t>
  </si>
  <si>
    <t>SF-RVR-BAS</t>
  </si>
  <si>
    <t>PP0200530005</t>
  </si>
  <si>
    <t>Roverbella</t>
  </si>
  <si>
    <t>La Bassa</t>
  </si>
  <si>
    <t>Loc. Borgo Bassa</t>
  </si>
  <si>
    <t>45.2777, 10.784315</t>
  </si>
  <si>
    <t>Roverbella Capoluogo</t>
  </si>
  <si>
    <t>Colatore Bergamasca - Ramo Borgo Bassa</t>
  </si>
  <si>
    <t>In rinnovo con depuratore (inviata 2024)</t>
  </si>
  <si>
    <t>Rep. n°  444/2024 del 10/09/2024</t>
  </si>
  <si>
    <t>SF-RVR-COL</t>
  </si>
  <si>
    <t>PP0200530002</t>
  </si>
  <si>
    <t>1) considerata una pendenza del 1% per farlo "tornare" superiore a 20 l/s. (anziché un valore standard di pendenza del 0.3%). Alternativamente occorrebbe aumentare di molto la soglia per cambiare la modalità di deflusso al tubo derivatore, o aumentare il diametro del tubo stesso.  2)geometrico: nella tabella emissario e derivatore sono invertiti; il derivatore non è quotato e non si capisce a che quota sia collocato (è un tubo DN200); la quota della soglia (sez A-A) non si riferisce al ciglio sfiorane ma ad un ginocchio intermedio non rilevante (la quota del ciglio sfiorante è 122 cm), immissario ed emissario sono ovoidali 400x600 (non 750x500 come indicato); le foto rappresentano lo sfioratore in fase di sfioro.</t>
  </si>
  <si>
    <t>Via Colombo / Via Benati</t>
  </si>
  <si>
    <t>45.270072, 10.774995</t>
  </si>
  <si>
    <t>Colatore Bergamasca</t>
  </si>
  <si>
    <t>SF-RVR-CST</t>
  </si>
  <si>
    <t>PP0200530004</t>
  </si>
  <si>
    <t>Castiglione Mantovano</t>
  </si>
  <si>
    <t>Str. Boccalina</t>
  </si>
  <si>
    <t>45.264309, 10.814903</t>
  </si>
  <si>
    <t>Roverbella-Castiglione Mantovano</t>
  </si>
  <si>
    <t>Fosso afferente a Fossa Molinella</t>
  </si>
  <si>
    <t>n° PD / 623 del 15/04/2024</t>
  </si>
  <si>
    <t>SF-RVR-DAC</t>
  </si>
  <si>
    <t>PP0200530001</t>
  </si>
  <si>
    <t>considerata una pendenza del 0.4% per farlo "tornare" superiore a 20 l/s. (anziché un valore standard di pendenza del 0.3%)</t>
  </si>
  <si>
    <t>Canedole</t>
  </si>
  <si>
    <t>Via D'Acquisto / Via Baracca</t>
  </si>
  <si>
    <t>45.233875, 10.846639</t>
  </si>
  <si>
    <t>Roverbella-Canedole</t>
  </si>
  <si>
    <t>Essere di Canedole (da fosso tombato)</t>
  </si>
  <si>
    <t>n° PD / 1165 del 17/07/2024</t>
  </si>
  <si>
    <t xml:space="preserve">Rep. n° 0000443/2024 </t>
  </si>
  <si>
    <t>SF-RVR-MAL</t>
  </si>
  <si>
    <t>PP0200530006</t>
  </si>
  <si>
    <t>Malavicina</t>
  </si>
  <si>
    <t>Str. Colonne</t>
  </si>
  <si>
    <t>45.294489, 10.786322</t>
  </si>
  <si>
    <t>Roverbella-Malavicina</t>
  </si>
  <si>
    <t>Colatore dei Fienili</t>
  </si>
  <si>
    <t>PD/1354 del 15/11/2022</t>
  </si>
  <si>
    <t>Rep. n° 743/2025 del 29/12/2025</t>
  </si>
  <si>
    <t>SF-RVR-RVR</t>
  </si>
  <si>
    <t>PP0200530003</t>
  </si>
  <si>
    <t>via Custoza (c/o Depuratore)</t>
  </si>
  <si>
    <t>45.262174, 10.769052</t>
  </si>
  <si>
    <t>Fontana Pierina (scarico principale), Fontana del Cimitero (scarico secondario)</t>
  </si>
  <si>
    <t>SF-SBB-AMI</t>
  </si>
  <si>
    <t xml:space="preserve">in fase DI RIFACIMENTO. </t>
  </si>
  <si>
    <t>Sabbioneta</t>
  </si>
  <si>
    <t>Via Anna d'Aragona (fuori ambito stradale)</t>
  </si>
  <si>
    <t>44.992698, 10.492324</t>
  </si>
  <si>
    <t>Casalmaggiore</t>
  </si>
  <si>
    <t>Gambina di Sabbioneta</t>
  </si>
  <si>
    <t>SF-SBB-FER</t>
  </si>
  <si>
    <t>Trovato marzo 2024 Vidali</t>
  </si>
  <si>
    <t>Breda Cisoni</t>
  </si>
  <si>
    <t>45.00508594112132, 10.528907658531207</t>
  </si>
  <si>
    <t>SF-SBB-FON1</t>
  </si>
  <si>
    <t>1)Qs&lt;Pavv,min. Premesso che il tubo derivatore è moltro piccolo (10 cm), non soddisfa i 20 l/s. (E' considerata una pendenza già "alta" del 2%). Questo scolmatore è attaccato al FON2, quindi valutare se tenerlo. Per far passare i 20 l/s occorrebbe sostituire tutto il tubo fino alla confluenza oppure aumentare di tanto la soglia di sfioro, per creare un battente al di sopra del tubo derivatore. 2)l'emissario si butta direttamente in "gambina di Sabbioneta", non tramite fosso senza nome, correggere relazione.</t>
  </si>
  <si>
    <t>Via Fondi</t>
  </si>
  <si>
    <t>44.992297, 10.488928</t>
  </si>
  <si>
    <t>Gambina di Sabbioneta (da fosso senza nome)</t>
  </si>
  <si>
    <t>SF-SBB-FON2</t>
  </si>
  <si>
    <t>1)l'emissario si butta direttamente in "gambina di Sabbioneta", non tramite fosso senza nome. Correggere relazione. 2) il cartiglio del geometrico riporta la codifica vecchia</t>
  </si>
  <si>
    <t>44.992299, 10.488893</t>
  </si>
  <si>
    <t>SF-SBB-GAR</t>
  </si>
  <si>
    <t>Trovato marzo 2024 Vito</t>
  </si>
  <si>
    <t>45.008109032969436, 10.528801370600487</t>
  </si>
  <si>
    <t>SF-SBB-GIU</t>
  </si>
  <si>
    <t xml:space="preserve"> l'emissario non scarica direttamente in "gambina di Sabbioneta", ricettore corretto è "gambina di Sabbioneta (da fosso senza nome)".</t>
  </si>
  <si>
    <t>Via Giulia Gonzaga</t>
  </si>
  <si>
    <t>44.997372, 10.48698</t>
  </si>
  <si>
    <t>SF-SBB-GRA</t>
  </si>
  <si>
    <t>PP0200540004</t>
  </si>
  <si>
    <t>Villa Pasquali</t>
  </si>
  <si>
    <t>Via della Grangia</t>
  </si>
  <si>
    <t>44.99795, 10.513292</t>
  </si>
  <si>
    <t>Villa Pasquali-Breda</t>
  </si>
  <si>
    <t>n° PD / 780 01/09/2020</t>
  </si>
  <si>
    <t>In corso voltura</t>
  </si>
  <si>
    <t>SF-SBB-IMP</t>
  </si>
  <si>
    <t>PP0200540002</t>
  </si>
  <si>
    <t>Porta Imperiale</t>
  </si>
  <si>
    <t>44.996143, 10.492795</t>
  </si>
  <si>
    <t>n° PD / 779 01/09/2020</t>
  </si>
  <si>
    <t>SF-SBB-INC</t>
  </si>
  <si>
    <t>Via Dell'Incoronata</t>
  </si>
  <si>
    <t>45.000418, 10.489615</t>
  </si>
  <si>
    <t>SF-SBB-ISA</t>
  </si>
  <si>
    <t>PP0200540003</t>
  </si>
  <si>
    <t>via Isacci</t>
  </si>
  <si>
    <t>44.999824, 10.487489</t>
  </si>
  <si>
    <t>n° PD / 782 01/09/2020</t>
  </si>
  <si>
    <t>SF-SBB-MON1</t>
  </si>
  <si>
    <t>Qs&lt;Pavv,min. Non soddisfa i 20 l/s, perché usata la pendenza di 0.1% rilevato. Se si aumenta allo 0.4% viene soddisfatta (Qs ) 20.31 l/s).  Lo 0.4% è circa un valore medio tra la pendenza del tubo in ingresso e quello del tubo derivatore. Valutare anche se mantenere questo sfioratore (bacino piccolo).</t>
  </si>
  <si>
    <t>Ponteterra</t>
  </si>
  <si>
    <t>Via Monteverdi (in vicolo privato)</t>
  </si>
  <si>
    <t>44.995379, 10.46356</t>
  </si>
  <si>
    <t>SF-SBB-MON2</t>
  </si>
  <si>
    <t>nelle foto immissario e derivatore sono asciutti, l'emissario invece evidenzia un ristagno di acqua.</t>
  </si>
  <si>
    <t xml:space="preserve">Via Monteverdi </t>
  </si>
  <si>
    <t>44.991615, 10.466932</t>
  </si>
  <si>
    <t>SF-SCH-BRA</t>
  </si>
  <si>
    <t>PP0200600003</t>
  </si>
  <si>
    <t>non valgono i 20 l/s perché è sollevamento</t>
  </si>
  <si>
    <t>Via Dante Alighieri, 29</t>
  </si>
  <si>
    <t>44.991834, 11.076572</t>
  </si>
  <si>
    <t>Redefossi Boline</t>
  </si>
  <si>
    <t xml:space="preserve">Prot. n° 1828 Anno 2022 </t>
  </si>
  <si>
    <t>SF-SCH-BRA2</t>
  </si>
  <si>
    <t>PP0200600002</t>
  </si>
  <si>
    <t>Via Brazzuolo 1</t>
  </si>
  <si>
    <t>44.9909390, 11.0770547,</t>
  </si>
  <si>
    <t>Appendice Redefossi Boline</t>
  </si>
  <si>
    <t xml:space="preserve">Prot. n° 1822 Anno 2022 </t>
  </si>
  <si>
    <t>SF-SCH-MAZ</t>
  </si>
  <si>
    <t>PP0200600006</t>
  </si>
  <si>
    <t>VIA Don Mazzolari</t>
  </si>
  <si>
    <t>44.99608977,11.07477445</t>
  </si>
  <si>
    <t>Canaletta di Schivenoglia (secondo Tronco) tramite fossato del reticolo idrico minore</t>
  </si>
  <si>
    <t xml:space="preserve">Prot. n° 1826 Anno 2022 </t>
  </si>
  <si>
    <t>SF-SCH-SCH</t>
  </si>
  <si>
    <t>PP0200600001</t>
  </si>
  <si>
    <t>c/o impianto di Depurazione</t>
  </si>
  <si>
    <t>44.994345, 11.066445</t>
  </si>
  <si>
    <t>Canaletta di Schivenoglia (Primo Tronco)</t>
  </si>
  <si>
    <t xml:space="preserve">Prot. n° 1846 Anno 2022 </t>
  </si>
  <si>
    <t>SF-SCH-XXV</t>
  </si>
  <si>
    <t>PP0200600005</t>
  </si>
  <si>
    <t>Via 25 aprile</t>
  </si>
  <si>
    <t>44.99667415, 11.07424244</t>
  </si>
  <si>
    <t>Canaletta di Schivenoglia (secondo Tronco)</t>
  </si>
  <si>
    <t xml:space="preserve">Prot. n° 1827 Anno 2022 </t>
  </si>
  <si>
    <t>SF-SER-ARG</t>
  </si>
  <si>
    <t>PP0200620001</t>
  </si>
  <si>
    <t>Serravalle Po</t>
  </si>
  <si>
    <t>Libiola</t>
  </si>
  <si>
    <t>Via Arginino</t>
  </si>
  <si>
    <t>45.068423, 11.059049</t>
  </si>
  <si>
    <t>Serravalle a Po (Libiola)</t>
  </si>
  <si>
    <t>reticolo idrico minore afferente a canale Dugale Nuovo</t>
  </si>
  <si>
    <t>n° PD / 458 del 19/03/2024</t>
  </si>
  <si>
    <t>RIM</t>
  </si>
  <si>
    <t>SF-SER-CAS</t>
  </si>
  <si>
    <t>PP0200620004</t>
  </si>
  <si>
    <t>Trovato a maggio 2023</t>
  </si>
  <si>
    <t xml:space="preserve">Via Caselle </t>
  </si>
  <si>
    <t>45.06940758168296, 11.091987793209732</t>
  </si>
  <si>
    <t>SF-SER-DUC</t>
  </si>
  <si>
    <t>PP0200620002</t>
  </si>
  <si>
    <t>via del Duca</t>
  </si>
  <si>
    <t>45.068607, 11.082567</t>
  </si>
  <si>
    <t>SF-SER-FOR</t>
  </si>
  <si>
    <t>PP0200620003</t>
  </si>
  <si>
    <t>SP482 (nei campi)</t>
  </si>
  <si>
    <t>45.07125, 11.092629</t>
  </si>
  <si>
    <t>SF-SNB-BAR</t>
  </si>
  <si>
    <t>PP0200550004</t>
  </si>
  <si>
    <t>San Benedetto Po</t>
  </si>
  <si>
    <t>Bardelle</t>
  </si>
  <si>
    <t>Strada Bardelle</t>
  </si>
  <si>
    <t>45.05675, 10.939512</t>
  </si>
  <si>
    <t>San Benedetto Po (Capoluogo)</t>
  </si>
  <si>
    <t>Zanolo-Gorgo</t>
  </si>
  <si>
    <t>n° PD / 82 del 19/01/2024</t>
  </si>
  <si>
    <t>Prot. n. 483 anno 2023</t>
  </si>
  <si>
    <t>SF-SNB-FER1</t>
  </si>
  <si>
    <t>PP0200550002</t>
  </si>
  <si>
    <t>via Ferri Zanaro</t>
  </si>
  <si>
    <t>45.037212, 10.931838</t>
  </si>
  <si>
    <t>Zara Polirone</t>
  </si>
  <si>
    <t>Prot. n. 484 anno 2023</t>
  </si>
  <si>
    <t>SF-SNB-FER2</t>
  </si>
  <si>
    <t>PP0200550007</t>
  </si>
  <si>
    <t>45.037235, 10.931862</t>
  </si>
  <si>
    <t>Prot. n. 485 anno 2023</t>
  </si>
  <si>
    <t>SF-SNB-GAL</t>
  </si>
  <si>
    <t>PP0200550006</t>
  </si>
  <si>
    <t>via Galvani</t>
  </si>
  <si>
    <t>45.053010, 10.930195</t>
  </si>
  <si>
    <t>reticolo idrico minore (primo tratto a cielo libero, poi tombato) afferente al tratto tombato di Zanolo-Gorgo</t>
  </si>
  <si>
    <t>Prot. n. 486 anno 2023</t>
  </si>
  <si>
    <t>SF-SNB-RON</t>
  </si>
  <si>
    <t>PP0200550001</t>
  </si>
  <si>
    <t>str. Ronchi</t>
  </si>
  <si>
    <t>45.048051, 10.934112</t>
  </si>
  <si>
    <t>Zanolo-Gorgo (tratto tombato)</t>
  </si>
  <si>
    <t>Prot. n. 487 anno 2023</t>
  </si>
  <si>
    <t>SF-SNB-SCH</t>
  </si>
  <si>
    <t>PP0200550003</t>
  </si>
  <si>
    <t>strada Schiappa</t>
  </si>
  <si>
    <t>45.045756, 10.943969</t>
  </si>
  <si>
    <t>Prot. n. 488 anno 2023</t>
  </si>
  <si>
    <t>SF-SNB-SCI</t>
  </si>
  <si>
    <t>PP0200550005</t>
  </si>
  <si>
    <t>via della scienza e della tecnica</t>
  </si>
  <si>
    <t>45.052468, 10.934631</t>
  </si>
  <si>
    <t>Prot. n. 489 anno 2023</t>
  </si>
  <si>
    <t>SF-SNG-CASE</t>
  </si>
  <si>
    <t>Tripoli</t>
  </si>
  <si>
    <t>Via Caselle - angolo ciclabile</t>
  </si>
  <si>
    <t>45.17506, 10.83751</t>
  </si>
  <si>
    <t>Cavo Prandini</t>
  </si>
  <si>
    <t>SF-SNG-CASEA</t>
  </si>
  <si>
    <t>Lato SUD di via Caselle incrocio via Raffaello</t>
  </si>
  <si>
    <t>45.17557, 10.83846</t>
  </si>
  <si>
    <t>SF-SNG-CASEB</t>
  </si>
  <si>
    <t>Lato NORD di via Caselle incrocio via Raffaello</t>
  </si>
  <si>
    <t>45.17559, 10.83853</t>
  </si>
  <si>
    <t>SF-SNG-CAST</t>
  </si>
  <si>
    <t>Via Castiona</t>
  </si>
  <si>
    <t>45.16835, 10.83762</t>
  </si>
  <si>
    <t>fossato - cavo S. Giorgio, recapitante ai Laghi di Mantova</t>
  </si>
  <si>
    <t>ATTO DIRIGENZIALE n° PD 1594 del 30/10/2025</t>
  </si>
  <si>
    <t>Verificare se SIPIUI o TDM</t>
  </si>
  <si>
    <t>SF-SNG-GAR</t>
  </si>
  <si>
    <t>PP0200570008</t>
  </si>
  <si>
    <t>Villanova de Bellis</t>
  </si>
  <si>
    <t>via Garibaldi</t>
  </si>
  <si>
    <t>45.15366, 10.87384</t>
  </si>
  <si>
    <t>S. Giorgio Bigarello (Loc. Villanova De Bellis)</t>
  </si>
  <si>
    <t>reticolo idrico minore (primo tratto tombato, poi a cielo aperto) afferente a Dugale Derbasco</t>
  </si>
  <si>
    <t>PD/884 del 02/08/2022</t>
  </si>
  <si>
    <t>Esiste parere di TDM che dice di fare comunque domanda al SIPIUI</t>
  </si>
  <si>
    <t>SF-SNG-LOM</t>
  </si>
  <si>
    <t>PP0200570005</t>
  </si>
  <si>
    <t>via Lombardia</t>
  </si>
  <si>
    <t>45.17867, 10.83704</t>
  </si>
  <si>
    <t>ATTO DIRIGENZIALE n° PD 1543 del 28/10/2025</t>
  </si>
  <si>
    <t>Prot. 0003566/2025 Mantova, 28/08/2025 - NULLA OSTA consorzio, si attende concessione</t>
  </si>
  <si>
    <t>SF-SNM-BRE</t>
  </si>
  <si>
    <t>PP0200590004</t>
  </si>
  <si>
    <t>Via Brede</t>
  </si>
  <si>
    <t>45.0923608, 10.5142124</t>
  </si>
  <si>
    <t>Cerere (tramite fosso stradale)</t>
  </si>
  <si>
    <t xml:space="preserve">Atto dirigenziale n°  PD / 1832  del 11/12/2025 </t>
  </si>
  <si>
    <t>Prot. 0002600/2024 del 30/08/2024</t>
  </si>
  <si>
    <t>Nota consorzio che specifica la NON competenza</t>
  </si>
  <si>
    <t>SF-SNM-BUG</t>
  </si>
  <si>
    <t>PP0200590002</t>
  </si>
  <si>
    <t>45.0951623, 10.5219141</t>
  </si>
  <si>
    <t>Reticolo idrico minore afferente a Canale Valluzza 1</t>
  </si>
  <si>
    <t xml:space="preserve"> occorre</t>
  </si>
  <si>
    <t>SF-SNM-CAR</t>
  </si>
  <si>
    <t>PP0200590005</t>
  </si>
  <si>
    <t xml:space="preserve">Da colmare l'invaso a valle del salto, idraulicamente condivisibile ma non con acque reflue </t>
  </si>
  <si>
    <t>Via Carrobbio</t>
  </si>
  <si>
    <t>45.09385, 10.5222503</t>
  </si>
  <si>
    <t>Canale Motte</t>
  </si>
  <si>
    <t>SF-SNM-DUG</t>
  </si>
  <si>
    <t>Trovato in rilievo dicembre 2024, analizzato 09/2025</t>
  </si>
  <si>
    <t>via Dugoni, 5</t>
  </si>
  <si>
    <t>45.10022181368586, 10.517660658846955</t>
  </si>
  <si>
    <t>Fossato afferente a Canale Valle Onetta</t>
  </si>
  <si>
    <t>fosso privato</t>
  </si>
  <si>
    <t>SF-SNM-GIA</t>
  </si>
  <si>
    <t>PP0200590001</t>
  </si>
  <si>
    <t>Via Loc. Giardino</t>
  </si>
  <si>
    <t>45.1041876, 10.5203581</t>
  </si>
  <si>
    <t>Canale Covata</t>
  </si>
  <si>
    <t>SF-SNM-GRA</t>
  </si>
  <si>
    <t>via Gramsci</t>
  </si>
  <si>
    <t>45.099707292137154, 10.523003518028846</t>
  </si>
  <si>
    <t>Fossato afferente al Canale Valluzza 1</t>
  </si>
  <si>
    <t>no</t>
  </si>
  <si>
    <t>SF-SNM-KEN</t>
  </si>
  <si>
    <t>PP0200590006</t>
  </si>
  <si>
    <t>Via Kennedy n.4</t>
  </si>
  <si>
    <t>45.1024544, 10.5211709</t>
  </si>
  <si>
    <t>Cavata (scolo) tramite fosso tombato</t>
  </si>
  <si>
    <t>SF-SNM-SNM</t>
  </si>
  <si>
    <t>PP0200590003</t>
  </si>
  <si>
    <t>45.094326, 10.5231027</t>
  </si>
  <si>
    <t>N°1947 del 18/09/2024</t>
  </si>
  <si>
    <t>SF-SRM-ARG</t>
  </si>
  <si>
    <t>PP0200610010</t>
  </si>
  <si>
    <t>Arginino</t>
  </si>
  <si>
    <t xml:space="preserve"> Via L. Galvani</t>
  </si>
  <si>
    <t>45.018500, 11.247194</t>
  </si>
  <si>
    <t>Sermide e Felonica (Arginino)</t>
  </si>
  <si>
    <t>Dugale Carbonara tramite reticolo idrico minore</t>
  </si>
  <si>
    <t>PD/505 del 09/10/2022</t>
  </si>
  <si>
    <t>SF-SRM-BER</t>
  </si>
  <si>
    <t>PP0200610012</t>
  </si>
  <si>
    <t>Via Berzuini n.33</t>
  </si>
  <si>
    <t>44.9971991, 11.2979337</t>
  </si>
  <si>
    <t>scarico su suolo</t>
  </si>
  <si>
    <t xml:space="preserve">PD / 870 del 18/06/2025 </t>
  </si>
  <si>
    <t>nota del consorzio prot. 2</t>
  </si>
  <si>
    <t>SF-SRM-CAR</t>
  </si>
  <si>
    <t>PP0200610004</t>
  </si>
  <si>
    <t>Caposotto</t>
  </si>
  <si>
    <t>Via Carducci inc. SP 35</t>
  </si>
  <si>
    <t>44.993935, 11.306643</t>
  </si>
  <si>
    <t>SF-SRM-MAL</t>
  </si>
  <si>
    <t>PP0200610001</t>
  </si>
  <si>
    <t>Malcantone</t>
  </si>
  <si>
    <t>Via Ariosto (accesso)</t>
  </si>
  <si>
    <t>44.957730, 11.246837</t>
  </si>
  <si>
    <t>Sermide e Felonica (Malcantone)</t>
  </si>
  <si>
    <t>Fossato afferente a scolo Cavettino Cò di Rondine</t>
  </si>
  <si>
    <t>PD/1498​ del 07/10/2024</t>
  </si>
  <si>
    <t>nulla osta prot 9272 del 1.07.2020</t>
  </si>
  <si>
    <t>SF-SRM-MAR</t>
  </si>
  <si>
    <t>PP0200610009</t>
  </si>
  <si>
    <t>Sermide (capoluogo)</t>
  </si>
  <si>
    <t>Via Margutti</t>
  </si>
  <si>
    <t>45.0118433, 11.2652148</t>
  </si>
  <si>
    <t>fosso confluente nel dugale I° di Moglia</t>
  </si>
  <si>
    <t>in attesa di feedback dal consorzi Burana - contattato mail - feedback pseudoinutile perché su sermide non c'è nulla</t>
  </si>
  <si>
    <t>SF-SRM-MIL</t>
  </si>
  <si>
    <t>PP0200610006</t>
  </si>
  <si>
    <t>Santa Croce</t>
  </si>
  <si>
    <t>Via Milazzo</t>
  </si>
  <si>
    <t>44.9852515, 11.2557964</t>
  </si>
  <si>
    <t>Canale di Sermide</t>
  </si>
  <si>
    <t>n. 1636 del 2023</t>
  </si>
  <si>
    <t>SF-SRM-POL</t>
  </si>
  <si>
    <t>PP0200610005</t>
  </si>
  <si>
    <t>Via Pole inc. via Passioncella</t>
  </si>
  <si>
    <t>44.991673, 11.3167045</t>
  </si>
  <si>
    <t>fosso confluente con Dugale Massari</t>
  </si>
  <si>
    <t>SF-SRM-POR</t>
  </si>
  <si>
    <t>PP0200610003</t>
  </si>
  <si>
    <t>Porcara</t>
  </si>
  <si>
    <t>Via provinciale ferrarese</t>
  </si>
  <si>
    <t>44.9586797, 11.285843</t>
  </si>
  <si>
    <t>Sermide e Felonica (Porcara)</t>
  </si>
  <si>
    <t>Canale Fossalta</t>
  </si>
  <si>
    <t>PD/574 del 23/05/2022</t>
  </si>
  <si>
    <t xml:space="preserve">Prot. n.7186/2022 </t>
  </si>
  <si>
    <t>SF-SRM-SRM</t>
  </si>
  <si>
    <t>PP0200610002</t>
  </si>
  <si>
    <t>Via Zappelloni</t>
  </si>
  <si>
    <t>44.9964085, 11.2824905</t>
  </si>
  <si>
    <t>Dugale Rastello</t>
  </si>
  <si>
    <t>Coc 18813/2024 del 29.04.2025</t>
  </si>
  <si>
    <t>SF-SRM-VIN</t>
  </si>
  <si>
    <t>PP0200610008</t>
  </si>
  <si>
    <t>44.9893259, 11.2689506</t>
  </si>
  <si>
    <t>Fosso afferente a Dugale Rastello</t>
  </si>
  <si>
    <t>SF-SRM-VOL</t>
  </si>
  <si>
    <t>PP0200610007</t>
  </si>
  <si>
    <t>Moglia</t>
  </si>
  <si>
    <t>Via Volta</t>
  </si>
  <si>
    <t>45.0120922, 11.2697577</t>
  </si>
  <si>
    <t>fossa Cini</t>
  </si>
  <si>
    <t>concessione in capo a comune di sermine n. 1824/86 - attraversamento</t>
  </si>
  <si>
    <t>SF-SST-BAS</t>
  </si>
  <si>
    <t>PP0200640001</t>
  </si>
  <si>
    <t>L'acqua tracima in uno scatolare da cui parte l'emissario.</t>
  </si>
  <si>
    <t>Sustinente</t>
  </si>
  <si>
    <t>Bastia</t>
  </si>
  <si>
    <t>Via Bastia</t>
  </si>
  <si>
    <t>45.073411, 11.045705</t>
  </si>
  <si>
    <t>Sustinente (Capoluogo)</t>
  </si>
  <si>
    <t>Dugale nuovo tramite fosso di scolo</t>
  </si>
  <si>
    <t>n° PD / 625 del 15/04/2024</t>
  </si>
  <si>
    <t>SF-SST-SP482</t>
  </si>
  <si>
    <t>trovato post rilievo - in elaborazione, forse da dismettere</t>
  </si>
  <si>
    <t>Sacchetta</t>
  </si>
  <si>
    <t>SP 482 civ. 2105 in prop. Privata</t>
  </si>
  <si>
    <t>45.071114, 10.995863</t>
  </si>
  <si>
    <t>Reticolo idrico minore nel bacino di Scolo Fisseretto</t>
  </si>
  <si>
    <t>?? non autorizzato con il depuratore perché?</t>
  </si>
  <si>
    <t>SF-SST-SST</t>
  </si>
  <si>
    <t>PP0200640002</t>
  </si>
  <si>
    <t>1)una foto inquadra l'emissario (tubo 5) in parte sommerso, molto probabilmente è un ristagno. 2)la portata limite in ingresso al manufatto è stata calcolata in base alle informazioni sulle tubazioni in ingresso (dimensioni e pendenza) fornite da TEA (in quanto il confinamento del manufatto non ha permesso il rilievo diretto delle stesse) e potranno pertanto essere oggetto di ulteriore indagine futura.</t>
  </si>
  <si>
    <t>via Cavour</t>
  </si>
  <si>
    <t>45.072662, 11.028705</t>
  </si>
  <si>
    <t>Scolo Fisseretto</t>
  </si>
  <si>
    <t>Rep. n° 428/2024 Prot. N. 928/2024 del 1/03/2024</t>
  </si>
  <si>
    <t>SF-SZZ-BRU</t>
  </si>
  <si>
    <t>v.le Pace</t>
  </si>
  <si>
    <t>44.9856333, 10.7757983</t>
  </si>
  <si>
    <t>Canale Correggioli</t>
  </si>
  <si>
    <t>n° PD / 989 del 03/09/2018</t>
  </si>
  <si>
    <t xml:space="preserve"> 3ev06/1424</t>
  </si>
  <si>
    <t>è una concessione in sanatoria, valutare se renderla effettiva facendo domanda</t>
  </si>
  <si>
    <t>SF-SZZ-NUO</t>
  </si>
  <si>
    <t>PP0200650004</t>
  </si>
  <si>
    <t>Vie Nuove</t>
  </si>
  <si>
    <t>Strada Camatte</t>
  </si>
  <si>
    <t>44.9976972, 10.8070117</t>
  </si>
  <si>
    <t>n° PD / 1652 29/09/2023</t>
  </si>
  <si>
    <t>Richiesta in data 20.09.2023</t>
  </si>
  <si>
    <t>SF-SZZ-TAB</t>
  </si>
  <si>
    <t>PP0200650003</t>
  </si>
  <si>
    <t>Tabellano</t>
  </si>
  <si>
    <t>Via Arginotto</t>
  </si>
  <si>
    <t>45.016150, 10.716746</t>
  </si>
  <si>
    <t>croce del Gallo/Pasine</t>
  </si>
  <si>
    <t>Prot. 3750 del 2021</t>
  </si>
  <si>
    <t>SF-VDN-CAG</t>
  </si>
  <si>
    <t>PP0200660003</t>
  </si>
  <si>
    <t>Viadana</t>
  </si>
  <si>
    <t>Cogozzo</t>
  </si>
  <si>
    <t>Via Cagnola</t>
  </si>
  <si>
    <t>44.93368, 10.52421</t>
  </si>
  <si>
    <t>Fosso Paralupa tratto est</t>
  </si>
  <si>
    <t>In rinnovo - in VIA</t>
  </si>
  <si>
    <t>n° PD / 933 del 20/08/2018</t>
  </si>
  <si>
    <t>N°1907 del 31/01/2024</t>
  </si>
  <si>
    <t>IN CORSO VIA  perchè &gt; 10.000 A.E.</t>
  </si>
  <si>
    <t>SF-VDN-CDB</t>
  </si>
  <si>
    <t>PP0200660008</t>
  </si>
  <si>
    <t>Cicognara</t>
  </si>
  <si>
    <t>Via Monpelio</t>
  </si>
  <si>
    <t>44.94696, 10.48711</t>
  </si>
  <si>
    <t>n° PD / 938 del 20/08/2018</t>
  </si>
  <si>
    <t>SF-VDN-CGN2</t>
  </si>
  <si>
    <t>PP0200660009</t>
  </si>
  <si>
    <t>44.93389535, 10.52287126</t>
  </si>
  <si>
    <t>n° PD / 939 del 20/08/2018</t>
  </si>
  <si>
    <t>SF-VDN-COG</t>
  </si>
  <si>
    <t>PP0200660002</t>
  </si>
  <si>
    <t>Viale Kennedy</t>
  </si>
  <si>
    <t>44.93880, 10.50848</t>
  </si>
  <si>
    <t>n° PD / 1066 del 17/11/2020</t>
  </si>
  <si>
    <t>SF-VDN-FEN</t>
  </si>
  <si>
    <t>PP0200660004</t>
  </si>
  <si>
    <t>Via dei Pioppi</t>
  </si>
  <si>
    <t>44.93946, 10.50939</t>
  </si>
  <si>
    <t>n° PD / 934 del 20/08/2018</t>
  </si>
  <si>
    <t>SF-VDN-GER</t>
  </si>
  <si>
    <t>Via Gerbolina</t>
  </si>
  <si>
    <t>44.95099, 10.54789</t>
  </si>
  <si>
    <t>Fosso Baghella</t>
  </si>
  <si>
    <t>n° PD / 1067 del 17/11/2020</t>
  </si>
  <si>
    <t>N°1939 del 29/08/2024</t>
  </si>
  <si>
    <t>IN CORSO RINNOVO AUTORIZZAZIONE - mandato in data 11/09/23</t>
  </si>
  <si>
    <t>SF-VDN-LOR</t>
  </si>
  <si>
    <t>PP0200660010</t>
  </si>
  <si>
    <t>Via Viazzoli</t>
  </si>
  <si>
    <t>44.93552, 10.53410</t>
  </si>
  <si>
    <t>Viazzoli</t>
  </si>
  <si>
    <t>n° PD / 931 del 20/08/2018</t>
  </si>
  <si>
    <t>SF-VDN-MER</t>
  </si>
  <si>
    <t>PP0200660011</t>
  </si>
  <si>
    <t>44.93442, 10.53139</t>
  </si>
  <si>
    <t>n° PD / 932 del 20/08/2018</t>
  </si>
  <si>
    <t>SF-VDN-MIL</t>
  </si>
  <si>
    <t>PP0200660012</t>
  </si>
  <si>
    <t>Via Milano</t>
  </si>
  <si>
    <t>44.94071669810945, 10.487640962038737</t>
  </si>
  <si>
    <t>CIP Casalmaggiore-Pomponesco</t>
  </si>
  <si>
    <t>SF-VDN-MON</t>
  </si>
  <si>
    <t>PP0200220006</t>
  </si>
  <si>
    <t>Cizzolo</t>
  </si>
  <si>
    <t>Intersezione via Montesauro/via Fenilrami</t>
  </si>
  <si>
    <t>45.005544513759766, 10.659358625587593</t>
  </si>
  <si>
    <t>Reticolo idrico minore afferente a Po Morto</t>
  </si>
  <si>
    <t>SF-VDN-PAN</t>
  </si>
  <si>
    <t>PP0200660006</t>
  </si>
  <si>
    <t>Via Pangona</t>
  </si>
  <si>
    <t>44.94429, 10.49521</t>
  </si>
  <si>
    <t>Scurtabaffa</t>
  </si>
  <si>
    <t>n° PD / 936 del 20/08/2018</t>
  </si>
  <si>
    <t>SF-VDN-PIO</t>
  </si>
  <si>
    <t>PP0200660005</t>
  </si>
  <si>
    <t>Sfioratore unito a FEN</t>
  </si>
  <si>
    <t>Fenilrosso</t>
  </si>
  <si>
    <t>44.9397384084387, 10.509826445920414</t>
  </si>
  <si>
    <t>n° PD / 935 del 20/08/2018</t>
  </si>
  <si>
    <t>SF-VDN-SCA</t>
  </si>
  <si>
    <t>PP0200660007</t>
  </si>
  <si>
    <t>Rotatoria Villa Scassa-Via G. di Vittorio</t>
  </si>
  <si>
    <t>44.93279845, 10.53987454</t>
  </si>
  <si>
    <t>Reticolo idrico minore afferente a Volta Sud</t>
  </si>
  <si>
    <t>n° PD / 937 del 20/08/2018</t>
  </si>
  <si>
    <t>SF-VLM-ALB</t>
  </si>
  <si>
    <t>PP0200680002</t>
  </si>
  <si>
    <t>Villimpenta</t>
  </si>
  <si>
    <t>Via Alberia / Via Bianchette</t>
  </si>
  <si>
    <t>45.14236, 11.02546</t>
  </si>
  <si>
    <t>Gambino Alto (tratto intubato)</t>
  </si>
  <si>
    <t xml:space="preserve"> PD/877 del 02/08/2022</t>
  </si>
  <si>
    <t xml:space="preserve">Rep. n° 668/2025 del 08/08/2025 </t>
  </si>
  <si>
    <t>SF-VLM-BAS</t>
  </si>
  <si>
    <t>PP0200680003</t>
  </si>
  <si>
    <t>Via Bassa / Via Reggiola</t>
  </si>
  <si>
    <t>45.14108, 11.03556</t>
  </si>
  <si>
    <t>Reticolo idrico minore afferente a fiume Tione</t>
  </si>
  <si>
    <t>Prot. 3393/2025 del 06/08/2025 - parere</t>
  </si>
  <si>
    <t>SF-VLM-REG</t>
  </si>
  <si>
    <t>Trovato a maggio 2025-analizzato a luglio 2025</t>
  </si>
  <si>
    <t xml:space="preserve">Via Reggiola / Via Alberia </t>
  </si>
  <si>
    <t>45.13758364651932, 11.02898604015925</t>
  </si>
  <si>
    <t>SF-VLM-VIR</t>
  </si>
  <si>
    <t>PP0200680001</t>
  </si>
  <si>
    <t>Via Virgiliana / Via Bassa</t>
  </si>
  <si>
    <t>45.1442, 11.03342</t>
  </si>
  <si>
    <t>Fiume Tione (diramazione)</t>
  </si>
  <si>
    <t>Fare richiesta consorzio veronese</t>
  </si>
  <si>
    <t>SF-VPM-ARG</t>
  </si>
  <si>
    <t>PP0200720013</t>
  </si>
  <si>
    <t>Villa Poma</t>
  </si>
  <si>
    <t>Via Livelli Arginone</t>
  </si>
  <si>
    <t>44.999784, 11.122498</t>
  </si>
  <si>
    <t>Scaricatore S. Prospero</t>
  </si>
  <si>
    <t>PD/1293 del 03/11/2022</t>
  </si>
  <si>
    <t>Prot. n° 1553 Anno 2022</t>
  </si>
  <si>
    <t>SF-VPM-VPM</t>
  </si>
  <si>
    <t>PP0200720012</t>
  </si>
  <si>
    <t>via Marconi</t>
  </si>
  <si>
    <t>45.004331, 11.105225</t>
  </si>
  <si>
    <t>Canaletta di Villa Poma</t>
  </si>
  <si>
    <r>
      <rPr>
        <b/>
        <sz val="11"/>
        <color rgb="FF000000"/>
        <rFont val="Calibri"/>
      </rPr>
      <t>Portata specifica allo scarico [l/s ha</t>
    </r>
    <r>
      <rPr>
        <b/>
        <sz val="8"/>
        <color rgb="FF000000"/>
        <rFont val="Calibri"/>
      </rPr>
      <t>imp]</t>
    </r>
  </si>
  <si>
    <t>PP0200350001</t>
  </si>
  <si>
    <t>SP50 Suzzara-Moglia</t>
  </si>
  <si>
    <t>MOGLIA</t>
  </si>
  <si>
    <t>fosso collegato canale Ceriaga Margonazza</t>
  </si>
  <si>
    <t>ATTO DIRIGENZIALE n° PD / 356 del 28/02/2025</t>
  </si>
  <si>
    <t>Gonzaga in dx Po</t>
  </si>
  <si>
    <t>PP0200350002</t>
  </si>
  <si>
    <t>via IV Novembre</t>
  </si>
  <si>
    <t>Fosso collegato al canale Magnariso</t>
  </si>
  <si>
    <t>PP0200350004</t>
  </si>
  <si>
    <t>Via Lunga</t>
  </si>
  <si>
    <t>Canale Via Lunga</t>
  </si>
  <si>
    <t>PP0200350006</t>
  </si>
  <si>
    <t>via Tangenziale Nord</t>
  </si>
  <si>
    <t>Fosso collegato al canale Ceriaga-Margonazza</t>
  </si>
  <si>
    <t>PP0200350007</t>
  </si>
  <si>
    <t>PP0200350010</t>
  </si>
  <si>
    <t>Via U. Foscolo</t>
  </si>
  <si>
    <t>Canale collegato allo scolo Busatello Vecchio</t>
  </si>
  <si>
    <t>PP0200350012</t>
  </si>
  <si>
    <t>Via Lunga incrocio Via IV Novembre</t>
  </si>
  <si>
    <t>PP0200350011</t>
  </si>
  <si>
    <t>Via Lunga incrocio Via Michelangelo</t>
  </si>
  <si>
    <t>PP0200350003</t>
  </si>
  <si>
    <t>Bondanello</t>
  </si>
  <si>
    <t>via Trivellano</t>
  </si>
  <si>
    <t>BONDANELLO</t>
  </si>
  <si>
    <t>Canale Bondanello</t>
  </si>
  <si>
    <t>ATTO DIRIGENZIALE n° PD / 490 del 26/03/2024</t>
  </si>
  <si>
    <t>PP0200350005</t>
  </si>
  <si>
    <t>via Coazze</t>
  </si>
  <si>
    <t>PP0200350008</t>
  </si>
  <si>
    <t>incrocio tra via IV Novembre e via Pertini</t>
  </si>
  <si>
    <t>scolina stradale in fregio a via IV Novembre</t>
  </si>
  <si>
    <t>MOG-SC-09</t>
  </si>
  <si>
    <t>via de amicis N.9</t>
  </si>
  <si>
    <t>Canale collegato al cavo Busatello Vecchio tramite condotta meteo</t>
  </si>
  <si>
    <t>condotta meteo</t>
  </si>
  <si>
    <t>PP0200580001</t>
  </si>
  <si>
    <t>San Giovanni del Dosso</t>
  </si>
  <si>
    <t>Via Roma c/o ex depuratore di San Giovanni del Dosso</t>
  </si>
  <si>
    <t>POGGIO RUSCO</t>
  </si>
  <si>
    <t>Fossetta delle Pietre</t>
  </si>
  <si>
    <t>ATTO DIRIGENZIALE n° PD / 414 del 08/03/2024</t>
  </si>
  <si>
    <t>BURANA</t>
  </si>
  <si>
    <t>2024</t>
  </si>
  <si>
    <t>7597/94</t>
  </si>
  <si>
    <t>rilasciato al comune</t>
  </si>
  <si>
    <t>PP0200580002</t>
  </si>
  <si>
    <t>Via D. Dossi</t>
  </si>
  <si>
    <t>PP0200420014</t>
  </si>
  <si>
    <t>Poggio Rusco</t>
  </si>
  <si>
    <t>loc. La Montata</t>
  </si>
  <si>
    <t>Dugale Vangadizza</t>
  </si>
  <si>
    <t>PP0200420003</t>
  </si>
  <si>
    <t>Via Abetone Brennero</t>
  </si>
  <si>
    <t>Fossetta Piva</t>
  </si>
  <si>
    <t>PP0200420011</t>
  </si>
  <si>
    <t>Via Martiri della Libertà</t>
  </si>
  <si>
    <t>13773/2023</t>
  </si>
  <si>
    <t>PP0200420010</t>
  </si>
  <si>
    <t>Via G. Garibaldi incrocio Via Torino</t>
  </si>
  <si>
    <t>10038/2020</t>
  </si>
  <si>
    <t>PP0200420009</t>
  </si>
  <si>
    <t>Via L. Einaudi</t>
  </si>
  <si>
    <t>Fosso Verdonda</t>
  </si>
  <si>
    <t>7971/2020</t>
  </si>
  <si>
    <t>PP0200420006</t>
  </si>
  <si>
    <t>Via Carnevale</t>
  </si>
  <si>
    <t>7972/2020</t>
  </si>
  <si>
    <t>PP0200420004</t>
  </si>
  <si>
    <t>Via Bastiglia</t>
  </si>
  <si>
    <t>Fossa Nasina</t>
  </si>
  <si>
    <t>13772/2023</t>
  </si>
  <si>
    <t>PP0200420016</t>
  </si>
  <si>
    <t>loc. Pinzone</t>
  </si>
  <si>
    <t>c/o ex depuratore in Via Pinzone</t>
  </si>
  <si>
    <t>13790/2023</t>
  </si>
  <si>
    <t>PP0200420015</t>
  </si>
  <si>
    <t>Via Pinzone</t>
  </si>
  <si>
    <t>PP0200420008</t>
  </si>
  <si>
    <t>Via del Lavoro incrocio S.S. 12</t>
  </si>
  <si>
    <t>13786/2023</t>
  </si>
  <si>
    <t>PP0200420007</t>
  </si>
  <si>
    <t xml:space="preserve">Via del Lavoro  </t>
  </si>
  <si>
    <t>10039/2020</t>
  </si>
  <si>
    <t>PP0200420001</t>
  </si>
  <si>
    <t>Via Quattrocase</t>
  </si>
  <si>
    <t>10710/03 /o 10037/2020</t>
  </si>
  <si>
    <t>quale è quella giusta</t>
  </si>
  <si>
    <t>PP0200420005</t>
  </si>
  <si>
    <t>Via Borgo</t>
  </si>
  <si>
    <t>13787/2023</t>
  </si>
  <si>
    <t>PP0200420002</t>
  </si>
  <si>
    <t>Via G. Galilei, incrocio con Via Abetone Brennero</t>
  </si>
  <si>
    <t>PP0200420017</t>
  </si>
  <si>
    <t>Via T. Massarani</t>
  </si>
  <si>
    <t>SGD-SC-03</t>
  </si>
  <si>
    <t>via San Giovanni del Dosso</t>
  </si>
  <si>
    <t>Fossetta delle Pietre tramite condotta meteo</t>
  </si>
  <si>
    <t>PP0200420013</t>
  </si>
  <si>
    <t>loc. Drangoncello</t>
  </si>
  <si>
    <t>via stoppiaro</t>
  </si>
  <si>
    <t>DRANGONCELLO</t>
  </si>
  <si>
    <t>Cavettino Dragoncello</t>
  </si>
  <si>
    <t>ATTO DIRIGENZIALE n° PD / 2090  del 19/12/2023</t>
  </si>
  <si>
    <t>7968/2020</t>
  </si>
  <si>
    <t>PP0200420012</t>
  </si>
  <si>
    <t>7970/2020</t>
  </si>
  <si>
    <t>Borgofranco sul Po</t>
  </si>
  <si>
    <t>via Bancare Seconda Traversa</t>
  </si>
  <si>
    <t>REVERE</t>
  </si>
  <si>
    <t>Redefossi Bancare</t>
  </si>
  <si>
    <t>ATTO DIRIGENZIALE n° PD 1971 del 30/11/2023</t>
  </si>
  <si>
    <t>Prot. n° 3038 Anno 2023</t>
  </si>
  <si>
    <t>PP0200720001</t>
  </si>
  <si>
    <t>loc. Bonizzo</t>
  </si>
  <si>
    <t>Via Casoni</t>
  </si>
  <si>
    <t>Dugale Redefossi 1°</t>
  </si>
  <si>
    <t>Prot. n° 3023 Anno 2023</t>
  </si>
  <si>
    <t>PP0200720004</t>
  </si>
  <si>
    <t>via U. Foscolo</t>
  </si>
  <si>
    <t>Dugale Lavacollo</t>
  </si>
  <si>
    <t>Prot. n° 3008 Anno 2023</t>
  </si>
  <si>
    <t>esiste un atto di AIMAG che chiede rimozione della concessione perchè è stato dismesso</t>
  </si>
  <si>
    <t>PP0200720005</t>
  </si>
  <si>
    <t>via G. di Vittorio</t>
  </si>
  <si>
    <t>testa impianto</t>
  </si>
  <si>
    <t>Prot. n° 3002 Anno 2023</t>
  </si>
  <si>
    <t>PP0200720009</t>
  </si>
  <si>
    <t>PP0200720010</t>
  </si>
  <si>
    <t>via G. Rossa</t>
  </si>
  <si>
    <t>0826/17 rep 591</t>
  </si>
  <si>
    <t>BOR-SC-03</t>
  </si>
  <si>
    <t>incrocio fra via Virgilio e via Don Ferrari</t>
  </si>
  <si>
    <t>Dugale Redefossi</t>
  </si>
  <si>
    <t>REV-SC-03</t>
  </si>
  <si>
    <t>via Fancelli</t>
  </si>
  <si>
    <t>REV-SC-04</t>
  </si>
  <si>
    <t>Incrocio fra via Nenni e via Tamassia</t>
  </si>
  <si>
    <t>REV-SC-05</t>
  </si>
  <si>
    <t>via Grandi incrocio con via Buozzi</t>
  </si>
  <si>
    <t>REV-SC-08</t>
  </si>
  <si>
    <t>via Marcora</t>
  </si>
  <si>
    <t>PP0200470001</t>
  </si>
  <si>
    <t>Quistello</t>
  </si>
  <si>
    <t>via Cà Rossa</t>
  </si>
  <si>
    <t>QUISTELLO</t>
  </si>
  <si>
    <t>Dugale Tele</t>
  </si>
  <si>
    <t>ATTO DIRIGENZIALE n° PD 1393 del 18/11/2022</t>
  </si>
  <si>
    <t>Prot. 0640/21</t>
  </si>
  <si>
    <t>PP0200470002</t>
  </si>
  <si>
    <t>via G. Oberdan</t>
  </si>
  <si>
    <t>Dugale Piazza di Quistello</t>
  </si>
  <si>
    <t>Prot. 2929/20 rep. 758</t>
  </si>
  <si>
    <t>PP0200470003</t>
  </si>
  <si>
    <t>viale Rainera</t>
  </si>
  <si>
    <t>Prot. 0650/22 rep. 835</t>
  </si>
  <si>
    <t>PP0200470004</t>
  </si>
  <si>
    <t>tratto tombato del fosso di guardia del Canale Sabbioncello</t>
  </si>
  <si>
    <t>Fosso Privato - parere BURANA</t>
  </si>
  <si>
    <t>prot. 0007744/2022</t>
  </si>
  <si>
    <t>PP0200470005</t>
  </si>
  <si>
    <t>via XX Settembre</t>
  </si>
  <si>
    <t>PP0200470006</t>
  </si>
  <si>
    <t>via Virgilio</t>
  </si>
  <si>
    <t>PP0200470007</t>
  </si>
  <si>
    <t>PP0200470008</t>
  </si>
  <si>
    <t>via S. Allende, incrocio via Sordello</t>
  </si>
  <si>
    <t>PP0200560001</t>
  </si>
  <si>
    <t>San Giacomo delle Segnate</t>
  </si>
  <si>
    <t>via G. Marconi, c/o ex depuratore</t>
  </si>
  <si>
    <t>fosso di guardia del Canale Sabbioncello</t>
  </si>
  <si>
    <t>Fosso Privato - parere Gonzaga dx Po</t>
  </si>
  <si>
    <t>PEC del 15/05/2023</t>
  </si>
  <si>
    <t>PP0200560004</t>
  </si>
  <si>
    <t>via G. Ferrari, incrocio via G. Verdi</t>
  </si>
  <si>
    <t>fosso di competenza comunale afferente al Canale di Poggio Rusco</t>
  </si>
  <si>
    <t>PP0200560005</t>
  </si>
  <si>
    <t>via G. Verdi</t>
  </si>
  <si>
    <t>PP0200560006</t>
  </si>
  <si>
    <t>G. Matteotti</t>
  </si>
  <si>
    <t>PP0200560007</t>
  </si>
  <si>
    <t>via U. Roncada, incrocio via G. Matteotti</t>
  </si>
  <si>
    <t>PP0200560008</t>
  </si>
  <si>
    <t>via Cantone, incrocio via L. da Vinci</t>
  </si>
  <si>
    <t>fosso afferente allo Scaricatore Mobigliante</t>
  </si>
  <si>
    <t>PP0200560010</t>
  </si>
  <si>
    <t>località Malcantone</t>
  </si>
  <si>
    <t>via Donismonda</t>
  </si>
  <si>
    <t>fosso di guardia del canale Gronda Sud</t>
  </si>
  <si>
    <t>Prot. 1521/22</t>
  </si>
  <si>
    <t>PP0200560011</t>
  </si>
  <si>
    <t>Prot. 1522/22</t>
  </si>
  <si>
    <t>PP0200560012</t>
  </si>
  <si>
    <t>via M. Polo</t>
  </si>
  <si>
    <t>Prot. n° 1404 Anno 2022</t>
  </si>
  <si>
    <t>PP0200560013</t>
  </si>
  <si>
    <t>via A. Vespucci</t>
  </si>
  <si>
    <t>Prot. n° 1405 Anno 2022</t>
  </si>
  <si>
    <t>SGS-SC-02</t>
  </si>
  <si>
    <t>via Leonardo da Vinci</t>
  </si>
  <si>
    <t>Dugale Mobigliante</t>
  </si>
  <si>
    <t>SGS-SC-05</t>
  </si>
  <si>
    <t>tramite un fosso allo scaricatore Portazzoletto</t>
  </si>
  <si>
    <t>SGS-SC-012</t>
  </si>
  <si>
    <t>a monte dell’ex-impianto di depurazione di San Giacomo delle Segnate</t>
  </si>
  <si>
    <t>QUI-SC-10</t>
  </si>
  <si>
    <t>Via Basaglie</t>
  </si>
  <si>
    <t>Inadempienza provincia - chidere info</t>
  </si>
  <si>
    <t>PRIORITà ENTRO MARZ0/APRILE DECISA CON PAOLA MARAZZOLI</t>
  </si>
  <si>
    <t xml:space="preserve">Inadempienza nostra- mandare avanti richiesta </t>
  </si>
  <si>
    <t>Da capire</t>
  </si>
  <si>
    <t>Stato materiale</t>
  </si>
  <si>
    <t>NOTE POST PAOLA MARAZZOLI</t>
  </si>
  <si>
    <t>Mandata richiesta di rinnovo in provincia in data 5.09.2023 - monitorare rilascio - SOLLECITARE?</t>
  </si>
  <si>
    <t>DA VERIFICARE</t>
  </si>
  <si>
    <t>DA AGGIORNARE</t>
  </si>
  <si>
    <t>Casteld'ario</t>
  </si>
  <si>
    <t>Correggioli (Ostiglia)</t>
  </si>
  <si>
    <t>Viadana - Cogozzo</t>
  </si>
  <si>
    <t>Pieve di corriano</t>
  </si>
  <si>
    <t>AGGIORNATO IN REALTà</t>
  </si>
  <si>
    <t>IN RINNOVO CON DEPURATORE (Inviato nel 2022)</t>
  </si>
  <si>
    <t>MANDARE COME UNICA CON INFO DEPURATORE PèIANO D'AMBITO DI CREMONA</t>
  </si>
  <si>
    <t>DA ADEGUARE</t>
  </si>
  <si>
    <t>1)l'emissario si butta direttamente in "gambina di Sabbioneta", non tramite fosso senza nome. Correggere relazione. 2) il cartiglio del geometrico riporta la codifica vecchia, correggere. 3) in sez A-A la canaletta che collega il tubo 1 al 2 è rappresentata male: l'imbocco del tubo 2 si deve vedere per metà e andando verso il tubo 1 si deve vedere il tratto di canaletta sezionato longitudinalmente (quindi non tutto pieno come si vede ora)</t>
  </si>
  <si>
    <t xml:space="preserve"> l'emissario non si butta direttamente in "gambina di Sabbioneta", ricettore corretto è "gambina di Sabbioneta (da fosso senza nome)".</t>
  </si>
  <si>
    <t>Mantovanella</t>
  </si>
  <si>
    <t>IN corso rilievo - potrebbero uscire sfiori nuovi - da mandare - 2025_ Andamento pratiche Porto Mantovano Mantovanella</t>
  </si>
  <si>
    <t>Adeguamento</t>
  </si>
  <si>
    <t>Qs post adeguamento [l/s]</t>
  </si>
  <si>
    <t>Tipo sfioratore</t>
  </si>
  <si>
    <t>Intervento</t>
  </si>
  <si>
    <t>Modificare pendenza da 0,0024 a 0,003</t>
  </si>
  <si>
    <t>B</t>
  </si>
  <si>
    <t>Da chiudere post adeguamento soll di valle</t>
  </si>
  <si>
    <t>Verifica scala di deflusso MED3</t>
  </si>
  <si>
    <t>Alzo soglia di 2 cm</t>
  </si>
  <si>
    <t>Alzo soglia di 52 cm</t>
  </si>
  <si>
    <t>A</t>
  </si>
  <si>
    <t>Cambiare assetto del sollevamento limitante</t>
  </si>
  <si>
    <t>Sollevamento verificato, effettivamente risulta Qsoll=11,4 l/s. Giacomo dice che il depuratore non risulta verificato neanche con la portata dichiarata di 11 l/s, quindi possiamo sistemare gli elaborati dello sfioro in modo che risulti conforme (ritocco il punto di funzionamento del soll), lato depuratore hanno fatto storie anche per il rinnovo di qualche anno fa, "in qualche modo faremo". Servirebbe una seconda vasca di sedimentazione</t>
  </si>
  <si>
    <t>Modificare pendenza da 0,005 a 0,007</t>
  </si>
  <si>
    <t>Intervento da realizzare</t>
  </si>
  <si>
    <t>Alzo soglia di 11 cm e consedero pendenza di 0.007</t>
  </si>
  <si>
    <t>Alzare la soglia di 30 cm (o considerare pendenza di 0.007 anziché 0.0004) e cambiare assetto al sollevamento di valle (Qsoll attuale=18.8 l/s)</t>
  </si>
  <si>
    <t>La relazione aggiornata non considera il sollevamento, il quale è limitante. Senza sollevamento Qs=92,37 l/s (hanno considerato una soglia che in realtà deve essere ancora fatta, ma è già in programma).</t>
  </si>
  <si>
    <t>Capacità sollevamento (pompe in parallelo) è di 25 l/s, pompe cambiate da poco</t>
  </si>
  <si>
    <t>OK - RELAZIONI A POSTO</t>
  </si>
  <si>
    <t>E' SIPIUI ?</t>
  </si>
  <si>
    <t>Q CIV</t>
  </si>
  <si>
    <t>Q IND</t>
  </si>
  <si>
    <t>Qnm</t>
  </si>
  <si>
    <t>Qs</t>
  </si>
  <si>
    <t>Pavv</t>
  </si>
  <si>
    <t>Qsc</t>
  </si>
  <si>
    <t>PRESENTI RELAZIONI DATATE:</t>
  </si>
  <si>
    <t>45.18819669368465, 10.968749994855289</t>
  </si>
  <si>
    <t xml:space="preserve"> PD/1505 del 22/12/2021</t>
  </si>
  <si>
    <t>da richiedere con rinnovo del 2024</t>
  </si>
  <si>
    <t>ATTO DIRIGENZIALE n° PD/633 del 31/05/2021</t>
  </si>
  <si>
    <t>Roggia Re</t>
  </si>
  <si>
    <t>SCADUTO - da inserire nel rinnovo</t>
  </si>
  <si>
    <t>n° PD / 1945 14/12/2016</t>
  </si>
  <si>
    <t>n° PD / 1943 14/12/2016</t>
  </si>
  <si>
    <t>Atto Provincia 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</si>
</sst>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m/yyyy"/>
    <numFmt numFmtId="165" formatCode="0.0"/>
    <numFmt numFmtId="166" formatCode="_-* #,##0.00_-;\-* #,##0.00_-;_-* &quot;-&quot;??_-;_-@"/>
    <numFmt numFmtId="167" formatCode="dd&quot;/&quot;mm&quot;/&quot;yyyy"/>
  </numFmts>
  <fonts count="19" x14ac:knownFonts="1">
    <font>
      <sz val="11"/>
      <color theme="1"/>
      <name val="Calibri"/>
      <scheme val="minor"/>
    </font>
    <font>
      <sz val="11"/>
      <color theme="1"/>
      <name val="Calibri"/>
    </font>
    <font>
      <b/>
      <sz val="11"/>
      <color rgb="FF00B050"/>
      <name val="Calibri"/>
    </font>
    <font>
      <sz val="11"/>
      <color rgb="FF00B050"/>
      <name val="Calibri"/>
    </font>
    <font>
      <sz val="11"/>
      <color rgb="FFFF0000"/>
      <name val="Calibri"/>
    </font>
    <font>
      <b/>
      <sz val="11"/>
      <color rgb="FF000000"/>
      <name val="Calibri"/>
    </font>
    <font>
      <sz val="11"/>
      <color rgb="FF000000"/>
      <name val="Calibri"/>
    </font>
    <font>
      <b/>
      <sz val="11"/>
      <color theme="1"/>
      <name val="Calibri"/>
    </font>
    <font>
      <sz val="11"/>
      <color rgb="FF92D050"/>
      <name val="Calibri"/>
    </font>
    <font>
      <strike/>
      <sz val="11"/>
      <color rgb="FF000000"/>
      <name val="Calibri"/>
    </font>
    <font>
      <sz val="10"/>
      <color theme="1"/>
      <name val="Lato"/>
    </font>
    <font>
      <strike/>
      <sz val="11"/>
      <color theme="1"/>
      <name val="Calibri"/>
    </font>
    <font>
      <sz val="11"/>
      <name val="Calibri"/>
    </font>
    <font>
      <u/>
      <sz val="11"/>
      <color rgb="FF000000"/>
      <name val="Calibri"/>
    </font>
    <font>
      <b/>
      <sz val="11"/>
      <color rgb="FF000000"/>
      <name val="Lato"/>
    </font>
    <font>
      <sz val="11"/>
      <color rgb="FF000000"/>
      <name val="Lato"/>
    </font>
    <font>
      <sz val="10"/>
      <color theme="1"/>
      <name val="Roboto"/>
    </font>
    <font>
      <strike/>
      <sz val="11"/>
      <color rgb="FF00B050"/>
      <name val="Calibri"/>
    </font>
    <font>
      <b/>
      <sz val="8"/>
      <color rgb="FF000000"/>
      <name val="Calibri"/>
    </font>
  </fonts>
  <fills count="20">
    <fill>
      <patternFill patternType="none"/>
    </fill>
    <fill>
      <patternFill patternType="gray125"/>
    </fill>
    <fill>
      <patternFill patternType="solid">
        <fgColor theme="0"/>
        <bgColor theme="0"/>
      </patternFill>
    </fill>
    <fill>
      <patternFill patternType="solid">
        <fgColor rgb="FFFF0000"/>
        <bgColor rgb="FFFF0000"/>
      </patternFill>
    </fill>
    <fill>
      <patternFill patternType="solid">
        <fgColor rgb="FFFFFF00"/>
        <bgColor rgb="FFFFFF00"/>
      </patternFill>
    </fill>
    <fill>
      <patternFill patternType="solid">
        <fgColor rgb="FFFFC000"/>
        <bgColor rgb="FFFFC000"/>
      </patternFill>
    </fill>
    <fill>
      <patternFill patternType="solid">
        <fgColor rgb="FF92D050"/>
        <bgColor rgb="FF92D050"/>
      </patternFill>
    </fill>
    <fill>
      <patternFill patternType="solid">
        <fgColor rgb="FFFFFFFF"/>
        <bgColor rgb="FFFFFFFF"/>
      </patternFill>
    </fill>
    <fill>
      <patternFill patternType="solid">
        <fgColor rgb="FFBDD6EE"/>
        <bgColor rgb="FFBDD6EE"/>
      </patternFill>
    </fill>
    <fill>
      <patternFill patternType="solid">
        <fgColor rgb="FFC55A11"/>
        <bgColor rgb="FFC55A11"/>
      </patternFill>
    </fill>
    <fill>
      <patternFill patternType="solid">
        <fgColor rgb="FFEAD1DC"/>
        <bgColor rgb="FFEAD1DC"/>
      </patternFill>
    </fill>
    <fill>
      <patternFill patternType="solid">
        <fgColor rgb="FFA8D08D"/>
        <bgColor rgb="FFA8D08D"/>
      </patternFill>
    </fill>
    <fill>
      <patternFill patternType="solid">
        <fgColor rgb="FFFCE5CD"/>
        <bgColor rgb="FFFCE5CD"/>
      </patternFill>
    </fill>
    <fill>
      <patternFill patternType="solid">
        <fgColor rgb="FF00FF00"/>
        <bgColor rgb="FF00FF00"/>
      </patternFill>
    </fill>
    <fill>
      <patternFill patternType="solid">
        <fgColor rgb="FFEA9999"/>
        <bgColor rgb="FFEA9999"/>
      </patternFill>
    </fill>
    <fill>
      <patternFill patternType="solid">
        <fgColor rgb="FFD0E0E3"/>
        <bgColor rgb="FFD0E0E3"/>
      </patternFill>
    </fill>
    <fill>
      <patternFill patternType="solid">
        <fgColor rgb="FFBFBFBF"/>
        <bgColor rgb="FFBFBFBF"/>
      </patternFill>
    </fill>
    <fill>
      <patternFill patternType="solid">
        <fgColor rgb="FFB7E1CD"/>
        <bgColor rgb="FFB7E1CD"/>
      </patternFill>
    </fill>
    <fill>
      <patternFill patternType="solid">
        <fgColor rgb="FFFFF2CC"/>
        <bgColor rgb="FFFFF2CC"/>
      </patternFill>
    </fill>
    <fill>
      <patternFill patternType="solid">
        <fgColor rgb="FFF4CCCC"/>
        <bgColor rgb="FFF4CCCC"/>
      </patternFill>
    </fill>
  </fills>
  <borders count="35">
    <border>
      <left/>
      <right/>
      <top/>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BFBFBF"/>
      </left>
      <right style="thin">
        <color rgb="FFBFBFBF"/>
      </right>
      <top style="thin">
        <color rgb="FFBFBFBF"/>
      </top>
      <bottom style="thin">
        <color rgb="FFBFBFBF"/>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top style="thin">
        <color rgb="FF000000"/>
      </top>
      <bottom/>
      <diagonal/>
    </border>
    <border>
      <left/>
      <right/>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thin">
        <color rgb="FF000000"/>
      </left>
      <right/>
      <top/>
      <bottom style="thin">
        <color rgb="FF000000"/>
      </bottom>
      <diagonal/>
    </border>
  </borders>
  <cellStyleXfs count="1">
    <xf numFmtId="0" fontId="0" fillId="0" borderId="0"/>
  </cellStyleXfs>
  <cellXfs count="363">
    <xf numFmtId="0" fontId="0" fillId="0" borderId="0" xfId="0" applyFont="1" applyAlignment="1"/>
    <xf numFmtId="0" fontId="1" fillId="0" borderId="0" xfId="0" applyFont="1" applyAlignment="1">
      <alignment vertical="center"/>
    </xf>
    <xf numFmtId="0" fontId="1" fillId="2" borderId="1" xfId="0" applyFont="1" applyFill="1" applyBorder="1" applyAlignment="1">
      <alignment vertical="center"/>
    </xf>
    <xf numFmtId="164" fontId="1" fillId="0" borderId="0" xfId="0" applyNumberFormat="1" applyFont="1" applyAlignment="1">
      <alignment horizontal="right" vertical="center"/>
    </xf>
    <xf numFmtId="0" fontId="1" fillId="0" borderId="0" xfId="0" applyFont="1" applyAlignment="1">
      <alignment horizontal="left" vertical="center"/>
    </xf>
    <xf numFmtId="0" fontId="1" fillId="0" borderId="0" xfId="0" applyFont="1" applyAlignment="1">
      <alignment horizontal="left" vertical="center" wrapText="1"/>
    </xf>
    <xf numFmtId="0" fontId="1" fillId="3" borderId="2" xfId="0" applyFont="1" applyFill="1" applyBorder="1" applyAlignment="1">
      <alignment vertical="center"/>
    </xf>
    <xf numFmtId="0" fontId="1" fillId="4" borderId="3" xfId="0" applyFont="1" applyFill="1" applyBorder="1" applyAlignment="1">
      <alignment vertical="center"/>
    </xf>
    <xf numFmtId="0" fontId="1" fillId="5" borderId="3" xfId="0" applyFont="1" applyFill="1" applyBorder="1" applyAlignment="1">
      <alignment vertical="center"/>
    </xf>
    <xf numFmtId="0" fontId="1" fillId="6" borderId="3" xfId="0" applyFont="1" applyFill="1" applyBorder="1" applyAlignment="1">
      <alignment vertical="center"/>
    </xf>
    <xf numFmtId="0" fontId="2" fillId="0" borderId="0" xfId="0" applyFont="1" applyAlignment="1">
      <alignment vertical="center" wrapText="1"/>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vertical="center" wrapText="1"/>
    </xf>
    <xf numFmtId="0" fontId="4" fillId="0" borderId="3" xfId="0" applyFont="1" applyBorder="1" applyAlignment="1">
      <alignment horizontal="center" vertical="center" wrapText="1"/>
    </xf>
    <xf numFmtId="0" fontId="5" fillId="0" borderId="3" xfId="0" applyFont="1" applyBorder="1" applyAlignment="1">
      <alignment horizontal="center" vertical="center" wrapText="1"/>
    </xf>
    <xf numFmtId="0" fontId="6" fillId="0" borderId="3" xfId="0" applyFont="1" applyBorder="1" applyAlignment="1">
      <alignment horizontal="center" vertical="center" wrapText="1"/>
    </xf>
    <xf numFmtId="0" fontId="5" fillId="2" borderId="3" xfId="0" applyFont="1" applyFill="1" applyBorder="1" applyAlignment="1">
      <alignment horizontal="center" vertical="center" wrapText="1"/>
    </xf>
    <xf numFmtId="164" fontId="5" fillId="2" borderId="3" xfId="0" applyNumberFormat="1" applyFont="1" applyFill="1" applyBorder="1" applyAlignment="1">
      <alignment horizontal="center" vertical="center" wrapText="1"/>
    </xf>
    <xf numFmtId="0" fontId="6" fillId="7" borderId="3" xfId="0" applyFont="1" applyFill="1" applyBorder="1" applyAlignment="1">
      <alignment vertical="center"/>
    </xf>
    <xf numFmtId="0" fontId="6" fillId="3" borderId="3" xfId="0" applyFont="1" applyFill="1" applyBorder="1" applyAlignment="1">
      <alignment vertical="center"/>
    </xf>
    <xf numFmtId="0" fontId="6" fillId="0" borderId="3" xfId="0" applyFont="1" applyBorder="1" applyAlignment="1">
      <alignment vertical="center"/>
    </xf>
    <xf numFmtId="2" fontId="6" fillId="2" borderId="3" xfId="0" applyNumberFormat="1" applyFont="1" applyFill="1" applyBorder="1" applyAlignment="1">
      <alignment vertical="center"/>
    </xf>
    <xf numFmtId="2" fontId="6" fillId="0" borderId="3" xfId="0" applyNumberFormat="1" applyFont="1" applyBorder="1" applyAlignment="1">
      <alignment vertical="center"/>
    </xf>
    <xf numFmtId="165" fontId="6" fillId="0" borderId="3" xfId="0" applyNumberFormat="1" applyFont="1" applyBorder="1" applyAlignment="1">
      <alignment vertical="center"/>
    </xf>
    <xf numFmtId="0" fontId="6" fillId="0" borderId="3" xfId="0" applyFont="1" applyBorder="1" applyAlignment="1">
      <alignment horizontal="right" vertical="center"/>
    </xf>
    <xf numFmtId="0" fontId="6" fillId="0" borderId="3" xfId="0" applyFont="1" applyBorder="1" applyAlignment="1">
      <alignment horizontal="left" vertical="center"/>
    </xf>
    <xf numFmtId="0" fontId="5" fillId="2" borderId="3" xfId="0" applyFont="1" applyFill="1" applyBorder="1" applyAlignment="1">
      <alignment horizontal="left" vertical="center" wrapText="1"/>
    </xf>
    <xf numFmtId="0" fontId="6" fillId="2" borderId="3" xfId="0" applyFont="1" applyFill="1" applyBorder="1" applyAlignment="1">
      <alignment horizontal="right" vertical="center"/>
    </xf>
    <xf numFmtId="0" fontId="6" fillId="2" borderId="3" xfId="0" applyFont="1" applyFill="1" applyBorder="1" applyAlignment="1">
      <alignment horizontal="left" vertical="center"/>
    </xf>
    <xf numFmtId="0" fontId="6" fillId="3" borderId="4" xfId="0" applyFont="1" applyFill="1" applyBorder="1" applyAlignment="1">
      <alignment vertical="center"/>
    </xf>
    <xf numFmtId="0" fontId="6" fillId="0" borderId="5" xfId="0" applyFont="1" applyBorder="1" applyAlignment="1">
      <alignment vertical="center"/>
    </xf>
    <xf numFmtId="2" fontId="6" fillId="2" borderId="4" xfId="0" applyNumberFormat="1" applyFont="1" applyFill="1" applyBorder="1" applyAlignment="1">
      <alignment vertical="center"/>
    </xf>
    <xf numFmtId="165" fontId="6" fillId="0" borderId="5" xfId="0" applyNumberFormat="1" applyFont="1" applyBorder="1" applyAlignment="1">
      <alignment vertical="center"/>
    </xf>
    <xf numFmtId="2" fontId="6" fillId="0" borderId="5" xfId="0" applyNumberFormat="1" applyFont="1" applyBorder="1" applyAlignment="1">
      <alignment vertical="center"/>
    </xf>
    <xf numFmtId="0" fontId="6" fillId="2" borderId="4" xfId="0" applyFont="1" applyFill="1" applyBorder="1" applyAlignment="1">
      <alignment horizontal="right" vertical="center"/>
    </xf>
    <xf numFmtId="0" fontId="6" fillId="2" borderId="4" xfId="0" applyFont="1" applyFill="1" applyBorder="1" applyAlignment="1">
      <alignment horizontal="left" vertical="center"/>
    </xf>
    <xf numFmtId="0" fontId="6" fillId="0" borderId="5" xfId="0" applyFont="1" applyBorder="1" applyAlignment="1">
      <alignment horizontal="left" vertical="center"/>
    </xf>
    <xf numFmtId="0" fontId="6" fillId="0" borderId="0" xfId="0" applyFont="1" applyAlignment="1">
      <alignment vertical="center"/>
    </xf>
    <xf numFmtId="164" fontId="6" fillId="0" borderId="3" xfId="0" applyNumberFormat="1" applyFont="1" applyBorder="1" applyAlignment="1">
      <alignment horizontal="right" vertical="center"/>
    </xf>
    <xf numFmtId="166" fontId="6" fillId="0" borderId="3" xfId="0" applyNumberFormat="1" applyFont="1" applyBorder="1" applyAlignment="1">
      <alignment vertical="center"/>
    </xf>
    <xf numFmtId="0" fontId="6" fillId="2" borderId="3" xfId="0" applyFont="1" applyFill="1" applyBorder="1" applyAlignment="1">
      <alignment vertical="center"/>
    </xf>
    <xf numFmtId="0" fontId="6" fillId="7" borderId="3" xfId="0" applyFont="1" applyFill="1" applyBorder="1" applyAlignment="1">
      <alignment horizontal="center" vertical="center" wrapText="1"/>
    </xf>
    <xf numFmtId="0" fontId="6" fillId="0" borderId="6" xfId="0" applyFont="1" applyBorder="1" applyAlignment="1">
      <alignment vertical="center"/>
    </xf>
    <xf numFmtId="0" fontId="6" fillId="7" borderId="4" xfId="0" applyFont="1" applyFill="1" applyBorder="1" applyAlignment="1">
      <alignment horizontal="center" vertical="center" wrapText="1"/>
    </xf>
    <xf numFmtId="166" fontId="6" fillId="0" borderId="5" xfId="0" applyNumberFormat="1" applyFont="1" applyBorder="1" applyAlignment="1">
      <alignment vertical="center"/>
    </xf>
    <xf numFmtId="164" fontId="6" fillId="2" borderId="4" xfId="0" applyNumberFormat="1" applyFont="1" applyFill="1" applyBorder="1" applyAlignment="1">
      <alignment horizontal="right" vertical="center"/>
    </xf>
    <xf numFmtId="164" fontId="6" fillId="2" borderId="3" xfId="0" applyNumberFormat="1" applyFont="1" applyFill="1" applyBorder="1" applyAlignment="1">
      <alignment horizontal="right" vertical="center"/>
    </xf>
    <xf numFmtId="165" fontId="6" fillId="6" borderId="3" xfId="0" applyNumberFormat="1" applyFont="1" applyFill="1" applyBorder="1" applyAlignment="1">
      <alignment vertical="center"/>
    </xf>
    <xf numFmtId="0" fontId="1" fillId="7" borderId="1" xfId="0" applyFont="1" applyFill="1" applyBorder="1" applyAlignment="1">
      <alignment vertical="center"/>
    </xf>
    <xf numFmtId="0" fontId="1" fillId="0" borderId="3" xfId="0" applyFont="1" applyBorder="1" applyAlignment="1">
      <alignment vertical="center"/>
    </xf>
    <xf numFmtId="0" fontId="1" fillId="8" borderId="3" xfId="0" applyFont="1" applyFill="1" applyBorder="1" applyAlignment="1">
      <alignment vertical="center"/>
    </xf>
    <xf numFmtId="2" fontId="1" fillId="2" borderId="3" xfId="0" applyNumberFormat="1" applyFont="1" applyFill="1" applyBorder="1" applyAlignment="1">
      <alignment vertical="center"/>
    </xf>
    <xf numFmtId="165" fontId="1" fillId="0" borderId="3" xfId="0" applyNumberFormat="1" applyFont="1" applyBorder="1" applyAlignment="1">
      <alignment vertical="center"/>
    </xf>
    <xf numFmtId="2" fontId="1" fillId="0" borderId="3" xfId="0" applyNumberFormat="1" applyFont="1" applyBorder="1" applyAlignment="1">
      <alignment vertical="center"/>
    </xf>
    <xf numFmtId="0" fontId="1" fillId="2" borderId="3" xfId="0" applyFont="1" applyFill="1" applyBorder="1" applyAlignment="1">
      <alignment vertical="center"/>
    </xf>
    <xf numFmtId="0" fontId="1" fillId="0" borderId="3" xfId="0" applyFont="1" applyBorder="1"/>
    <xf numFmtId="164" fontId="1" fillId="2" borderId="3" xfId="0" applyNumberFormat="1" applyFont="1" applyFill="1" applyBorder="1" applyAlignment="1">
      <alignment horizontal="right" vertical="center"/>
    </xf>
    <xf numFmtId="0" fontId="1" fillId="2" borderId="3" xfId="0" applyFont="1" applyFill="1" applyBorder="1" applyAlignment="1">
      <alignment horizontal="left" vertical="center"/>
    </xf>
    <xf numFmtId="0" fontId="1" fillId="7" borderId="3" xfId="0" applyFont="1" applyFill="1" applyBorder="1" applyAlignment="1">
      <alignment vertical="center"/>
    </xf>
    <xf numFmtId="0" fontId="1" fillId="2" borderId="1" xfId="0" applyFont="1" applyFill="1" applyBorder="1" applyAlignment="1">
      <alignment horizontal="right" vertical="center"/>
    </xf>
    <xf numFmtId="0" fontId="1" fillId="2" borderId="1" xfId="0" applyFont="1" applyFill="1" applyBorder="1" applyAlignment="1">
      <alignment horizontal="left" vertical="center"/>
    </xf>
    <xf numFmtId="164" fontId="1" fillId="2" borderId="7" xfId="0" applyNumberFormat="1" applyFont="1" applyFill="1" applyBorder="1" applyAlignment="1">
      <alignment horizontal="right" vertical="center"/>
    </xf>
    <xf numFmtId="0" fontId="1" fillId="2" borderId="3" xfId="0" applyFont="1" applyFill="1" applyBorder="1" applyAlignment="1">
      <alignment horizontal="left" vertical="center" wrapText="1"/>
    </xf>
    <xf numFmtId="0" fontId="1" fillId="0" borderId="3" xfId="0" applyFont="1" applyBorder="1" applyAlignment="1">
      <alignment horizontal="left" vertical="center"/>
    </xf>
    <xf numFmtId="0" fontId="7" fillId="2" borderId="3" xfId="0" applyFont="1" applyFill="1" applyBorder="1" applyAlignment="1">
      <alignment horizontal="left" vertical="center" wrapText="1"/>
    </xf>
    <xf numFmtId="0" fontId="1" fillId="2" borderId="3" xfId="0" applyFont="1" applyFill="1" applyBorder="1" applyAlignment="1">
      <alignment horizontal="right" vertical="center"/>
    </xf>
    <xf numFmtId="164" fontId="1" fillId="0" borderId="3" xfId="0" applyNumberFormat="1" applyFont="1" applyBorder="1" applyAlignment="1">
      <alignment horizontal="right" vertical="center"/>
    </xf>
    <xf numFmtId="0" fontId="1" fillId="7" borderId="3" xfId="0" applyFont="1" applyFill="1" applyBorder="1" applyAlignment="1">
      <alignment horizontal="center" vertical="center" wrapText="1"/>
    </xf>
    <xf numFmtId="0" fontId="1" fillId="0" borderId="6" xfId="0" applyFont="1" applyBorder="1" applyAlignment="1">
      <alignment vertical="center"/>
    </xf>
    <xf numFmtId="0" fontId="1" fillId="0" borderId="5" xfId="0" applyFont="1" applyBorder="1" applyAlignment="1">
      <alignment vertical="center"/>
    </xf>
    <xf numFmtId="0" fontId="1" fillId="2" borderId="4" xfId="0" applyFont="1" applyFill="1" applyBorder="1" applyAlignment="1">
      <alignment vertical="center"/>
    </xf>
    <xf numFmtId="2" fontId="1" fillId="2" borderId="4" xfId="0" applyNumberFormat="1" applyFont="1" applyFill="1" applyBorder="1" applyAlignment="1">
      <alignment vertical="center"/>
    </xf>
    <xf numFmtId="165" fontId="1" fillId="0" borderId="5" xfId="0" applyNumberFormat="1" applyFont="1" applyBorder="1" applyAlignment="1">
      <alignment vertical="center"/>
    </xf>
    <xf numFmtId="2" fontId="1" fillId="0" borderId="5" xfId="0" applyNumberFormat="1" applyFont="1" applyBorder="1" applyAlignment="1">
      <alignment vertical="center"/>
    </xf>
    <xf numFmtId="164" fontId="1" fillId="2" borderId="3" xfId="0" applyNumberFormat="1" applyFont="1" applyFill="1" applyBorder="1" applyAlignment="1">
      <alignment horizontal="left" vertical="center"/>
    </xf>
    <xf numFmtId="0" fontId="6" fillId="8" borderId="3" xfId="0" applyFont="1" applyFill="1" applyBorder="1" applyAlignment="1">
      <alignment vertical="center"/>
    </xf>
    <xf numFmtId="164" fontId="6" fillId="2" borderId="7" xfId="0" applyNumberFormat="1" applyFont="1" applyFill="1" applyBorder="1" applyAlignment="1">
      <alignment horizontal="right" vertical="center"/>
    </xf>
    <xf numFmtId="164" fontId="6" fillId="2" borderId="3" xfId="0" applyNumberFormat="1" applyFont="1" applyFill="1" applyBorder="1" applyAlignment="1">
      <alignment horizontal="left" vertical="center"/>
    </xf>
    <xf numFmtId="0" fontId="6" fillId="7" borderId="4" xfId="0" applyFont="1" applyFill="1" applyBorder="1" applyAlignment="1">
      <alignment vertical="center"/>
    </xf>
    <xf numFmtId="0" fontId="6" fillId="2" borderId="4" xfId="0" applyFont="1" applyFill="1" applyBorder="1" applyAlignment="1">
      <alignment vertical="center"/>
    </xf>
    <xf numFmtId="0" fontId="1" fillId="0" borderId="3" xfId="0" applyFont="1" applyBorder="1" applyAlignment="1">
      <alignment horizontal="right" vertical="center"/>
    </xf>
    <xf numFmtId="164" fontId="1" fillId="0" borderId="3" xfId="0" applyNumberFormat="1" applyFont="1" applyBorder="1" applyAlignment="1">
      <alignment horizontal="left" vertical="center"/>
    </xf>
    <xf numFmtId="164" fontId="3" fillId="0" borderId="3" xfId="0" applyNumberFormat="1" applyFont="1" applyBorder="1" applyAlignment="1">
      <alignment horizontal="right" vertical="center"/>
    </xf>
    <xf numFmtId="0" fontId="3" fillId="0" borderId="3" xfId="0" applyFont="1" applyBorder="1" applyAlignment="1">
      <alignment horizontal="left" vertical="center"/>
    </xf>
    <xf numFmtId="0" fontId="1" fillId="2" borderId="7" xfId="0" applyFont="1" applyFill="1" applyBorder="1" applyAlignment="1">
      <alignment horizontal="right" vertical="center"/>
    </xf>
    <xf numFmtId="0" fontId="6" fillId="6" borderId="3" xfId="0" applyFont="1" applyFill="1" applyBorder="1" applyAlignment="1">
      <alignment vertical="center"/>
    </xf>
    <xf numFmtId="164" fontId="3" fillId="0" borderId="3" xfId="0" applyNumberFormat="1" applyFont="1" applyBorder="1" applyAlignment="1">
      <alignment horizontal="left" vertical="center"/>
    </xf>
    <xf numFmtId="2" fontId="3" fillId="0" borderId="3" xfId="0" applyNumberFormat="1" applyFont="1" applyBorder="1" applyAlignment="1">
      <alignment vertical="center"/>
    </xf>
    <xf numFmtId="0" fontId="6" fillId="0" borderId="0" xfId="0" applyFont="1" applyAlignment="1">
      <alignment horizontal="left" vertical="center"/>
    </xf>
    <xf numFmtId="0" fontId="6" fillId="5" borderId="3" xfId="0" applyFont="1" applyFill="1" applyBorder="1" applyAlignment="1">
      <alignment vertical="center"/>
    </xf>
    <xf numFmtId="0" fontId="6" fillId="4" borderId="3" xfId="0" applyFont="1" applyFill="1" applyBorder="1" applyAlignment="1">
      <alignment vertical="center"/>
    </xf>
    <xf numFmtId="0" fontId="6" fillId="7" borderId="3" xfId="0" applyFont="1" applyFill="1" applyBorder="1" applyAlignment="1">
      <alignment horizontal="left" vertical="center"/>
    </xf>
    <xf numFmtId="0" fontId="6" fillId="4" borderId="4" xfId="0" applyFont="1" applyFill="1" applyBorder="1" applyAlignment="1">
      <alignment vertical="center"/>
    </xf>
    <xf numFmtId="0" fontId="8" fillId="2" borderId="3" xfId="0" applyFont="1" applyFill="1" applyBorder="1" applyAlignment="1">
      <alignment vertical="center"/>
    </xf>
    <xf numFmtId="165" fontId="8" fillId="0" borderId="3" xfId="0" applyNumberFormat="1" applyFont="1" applyBorder="1" applyAlignment="1">
      <alignment vertical="center"/>
    </xf>
    <xf numFmtId="0" fontId="8" fillId="0" borderId="3" xfId="0" applyFont="1" applyBorder="1" applyAlignment="1">
      <alignment vertical="center"/>
    </xf>
    <xf numFmtId="0" fontId="6" fillId="0" borderId="8" xfId="0" applyFont="1" applyBorder="1" applyAlignment="1">
      <alignment vertical="center"/>
    </xf>
    <xf numFmtId="0" fontId="9" fillId="0" borderId="3" xfId="0" applyFont="1" applyBorder="1" applyAlignment="1">
      <alignment vertical="center"/>
    </xf>
    <xf numFmtId="0" fontId="6" fillId="0" borderId="9" xfId="0" applyFont="1" applyBorder="1" applyAlignment="1">
      <alignment vertical="center"/>
    </xf>
    <xf numFmtId="0" fontId="6" fillId="0" borderId="10" xfId="0" applyFont="1" applyBorder="1" applyAlignment="1">
      <alignment vertical="center"/>
    </xf>
    <xf numFmtId="0" fontId="6" fillId="8" borderId="11" xfId="0" applyFont="1" applyFill="1" applyBorder="1" applyAlignment="1">
      <alignment vertical="center"/>
    </xf>
    <xf numFmtId="0" fontId="9" fillId="2" borderId="3" xfId="0" applyFont="1" applyFill="1" applyBorder="1" applyAlignment="1">
      <alignment horizontal="left" vertical="center"/>
    </xf>
    <xf numFmtId="0" fontId="6" fillId="0" borderId="12" xfId="0" applyFont="1" applyBorder="1" applyAlignment="1">
      <alignment vertical="center"/>
    </xf>
    <xf numFmtId="0" fontId="6" fillId="0" borderId="13" xfId="0" applyFont="1" applyBorder="1" applyAlignment="1">
      <alignment vertical="center"/>
    </xf>
    <xf numFmtId="0" fontId="3" fillId="0" borderId="3" xfId="0" applyFont="1" applyBorder="1" applyAlignment="1">
      <alignment vertical="center"/>
    </xf>
    <xf numFmtId="166" fontId="1" fillId="0" borderId="3" xfId="0" applyNumberFormat="1" applyFont="1" applyBorder="1" applyAlignment="1">
      <alignment vertical="center"/>
    </xf>
    <xf numFmtId="0" fontId="1" fillId="2" borderId="4" xfId="0" applyFont="1" applyFill="1" applyBorder="1" applyAlignment="1">
      <alignment horizontal="left" vertical="center"/>
    </xf>
    <xf numFmtId="0" fontId="1" fillId="0" borderId="12" xfId="0" applyFont="1" applyBorder="1" applyAlignment="1">
      <alignment vertical="center"/>
    </xf>
    <xf numFmtId="0" fontId="1" fillId="8" borderId="11" xfId="0" applyFont="1" applyFill="1" applyBorder="1" applyAlignment="1">
      <alignment vertical="center"/>
    </xf>
    <xf numFmtId="0" fontId="1" fillId="0" borderId="10" xfId="0" applyFont="1" applyBorder="1" applyAlignment="1">
      <alignment vertical="center"/>
    </xf>
    <xf numFmtId="0" fontId="1" fillId="7" borderId="4" xfId="0" applyFont="1" applyFill="1" applyBorder="1" applyAlignment="1">
      <alignment vertical="center"/>
    </xf>
    <xf numFmtId="166" fontId="1" fillId="0" borderId="5" xfId="0" applyNumberFormat="1" applyFont="1" applyBorder="1" applyAlignment="1">
      <alignment vertical="center"/>
    </xf>
    <xf numFmtId="164" fontId="1" fillId="2" borderId="4" xfId="0" applyNumberFormat="1" applyFont="1" applyFill="1" applyBorder="1" applyAlignment="1">
      <alignment horizontal="left" vertical="center"/>
    </xf>
    <xf numFmtId="0" fontId="1" fillId="9" borderId="3" xfId="0" applyFont="1" applyFill="1" applyBorder="1" applyAlignment="1">
      <alignment vertical="center"/>
    </xf>
    <xf numFmtId="165" fontId="1" fillId="9" borderId="3" xfId="0" applyNumberFormat="1" applyFont="1" applyFill="1" applyBorder="1" applyAlignment="1">
      <alignment vertical="center"/>
    </xf>
    <xf numFmtId="2" fontId="1" fillId="9" borderId="3" xfId="0" applyNumberFormat="1" applyFont="1" applyFill="1" applyBorder="1" applyAlignment="1">
      <alignment vertical="center"/>
    </xf>
    <xf numFmtId="0" fontId="1" fillId="9" borderId="3" xfId="0" applyFont="1" applyFill="1" applyBorder="1" applyAlignment="1">
      <alignment horizontal="right" vertical="center"/>
    </xf>
    <xf numFmtId="0" fontId="1" fillId="9" borderId="3" xfId="0" applyFont="1" applyFill="1" applyBorder="1" applyAlignment="1">
      <alignment horizontal="left" vertical="center"/>
    </xf>
    <xf numFmtId="0" fontId="1" fillId="9" borderId="1" xfId="0" applyFont="1" applyFill="1" applyBorder="1" applyAlignment="1">
      <alignment vertical="center"/>
    </xf>
    <xf numFmtId="0" fontId="1" fillId="10" borderId="3" xfId="0" applyFont="1" applyFill="1" applyBorder="1" applyAlignment="1">
      <alignment horizontal="left" vertical="center"/>
    </xf>
    <xf numFmtId="0" fontId="1" fillId="0" borderId="14" xfId="0" applyFont="1" applyBorder="1" applyAlignment="1">
      <alignment vertical="center"/>
    </xf>
    <xf numFmtId="0" fontId="1" fillId="8" borderId="4" xfId="0" applyFont="1" applyFill="1" applyBorder="1" applyAlignment="1">
      <alignment vertical="center"/>
    </xf>
    <xf numFmtId="2" fontId="1" fillId="2" borderId="15" xfId="0" applyNumberFormat="1" applyFont="1" applyFill="1" applyBorder="1" applyAlignment="1">
      <alignment vertical="center"/>
    </xf>
    <xf numFmtId="165" fontId="1" fillId="0" borderId="14" xfId="0" applyNumberFormat="1" applyFont="1" applyBorder="1" applyAlignment="1">
      <alignment vertical="center"/>
    </xf>
    <xf numFmtId="2" fontId="1" fillId="0" borderId="14" xfId="0" applyNumberFormat="1" applyFont="1" applyBorder="1" applyAlignment="1">
      <alignment vertical="center"/>
    </xf>
    <xf numFmtId="166" fontId="1" fillId="0" borderId="14" xfId="0" applyNumberFormat="1" applyFont="1" applyBorder="1" applyAlignment="1">
      <alignment vertical="center"/>
    </xf>
    <xf numFmtId="0" fontId="1" fillId="2" borderId="15" xfId="0" applyFont="1" applyFill="1" applyBorder="1" applyAlignment="1">
      <alignment vertical="center"/>
    </xf>
    <xf numFmtId="0" fontId="1" fillId="0" borderId="8" xfId="0" applyFont="1" applyBorder="1" applyAlignment="1">
      <alignment vertical="center"/>
    </xf>
    <xf numFmtId="164" fontId="1" fillId="2" borderId="4" xfId="0" applyNumberFormat="1" applyFont="1" applyFill="1" applyBorder="1" applyAlignment="1">
      <alignment horizontal="right" vertical="center"/>
    </xf>
    <xf numFmtId="0" fontId="1" fillId="4" borderId="4" xfId="0" applyFont="1" applyFill="1" applyBorder="1" applyAlignment="1">
      <alignment vertical="center"/>
    </xf>
    <xf numFmtId="0" fontId="1" fillId="0" borderId="3" xfId="0" applyFont="1" applyBorder="1" applyAlignment="1">
      <alignment horizontal="center" vertical="center" wrapText="1"/>
    </xf>
    <xf numFmtId="2" fontId="1" fillId="0" borderId="3" xfId="0" applyNumberFormat="1" applyFont="1" applyBorder="1" applyAlignment="1">
      <alignment horizontal="left" vertical="center"/>
    </xf>
    <xf numFmtId="0" fontId="1" fillId="0" borderId="5" xfId="0" applyFont="1" applyBorder="1" applyAlignment="1">
      <alignment horizontal="center" vertical="center" wrapText="1"/>
    </xf>
    <xf numFmtId="2" fontId="1" fillId="0" borderId="5" xfId="0" applyNumberFormat="1" applyFont="1" applyBorder="1" applyAlignment="1">
      <alignment horizontal="left" vertical="center"/>
    </xf>
    <xf numFmtId="165" fontId="1" fillId="0" borderId="8" xfId="0" applyNumberFormat="1" applyFont="1" applyBorder="1" applyAlignment="1">
      <alignment vertical="center"/>
    </xf>
    <xf numFmtId="2" fontId="1" fillId="0" borderId="8" xfId="0" applyNumberFormat="1" applyFont="1" applyBorder="1" applyAlignment="1">
      <alignment vertical="center"/>
    </xf>
    <xf numFmtId="2" fontId="1" fillId="2" borderId="16" xfId="0" applyNumberFormat="1" applyFont="1" applyFill="1" applyBorder="1" applyAlignment="1">
      <alignment vertical="center"/>
    </xf>
    <xf numFmtId="166" fontId="1" fillId="0" borderId="8" xfId="0" applyNumberFormat="1" applyFont="1" applyBorder="1" applyAlignment="1">
      <alignment vertical="center"/>
    </xf>
    <xf numFmtId="0" fontId="1" fillId="2" borderId="16" xfId="0" applyFont="1" applyFill="1" applyBorder="1" applyAlignment="1">
      <alignment vertical="center"/>
    </xf>
    <xf numFmtId="165" fontId="2" fillId="0" borderId="3" xfId="0" applyNumberFormat="1" applyFont="1" applyBorder="1" applyAlignment="1">
      <alignment vertical="center" wrapText="1"/>
    </xf>
    <xf numFmtId="2" fontId="2" fillId="0" borderId="3" xfId="0" applyNumberFormat="1" applyFont="1" applyBorder="1" applyAlignment="1">
      <alignment vertical="center" wrapText="1"/>
    </xf>
    <xf numFmtId="1" fontId="2" fillId="0" borderId="3" xfId="0" applyNumberFormat="1" applyFont="1" applyBorder="1" applyAlignment="1">
      <alignment vertical="center" wrapText="1"/>
    </xf>
    <xf numFmtId="0" fontId="1" fillId="2" borderId="4" xfId="0" applyFont="1" applyFill="1" applyBorder="1" applyAlignment="1">
      <alignment horizontal="right" vertical="center"/>
    </xf>
    <xf numFmtId="0" fontId="1" fillId="0" borderId="5" xfId="0" applyFont="1" applyBorder="1" applyAlignment="1">
      <alignment vertical="center" wrapText="1"/>
    </xf>
    <xf numFmtId="0" fontId="1" fillId="6" borderId="4" xfId="0" applyFont="1" applyFill="1" applyBorder="1" applyAlignment="1">
      <alignment vertical="center"/>
    </xf>
    <xf numFmtId="0" fontId="3" fillId="2" borderId="3" xfId="0" applyFont="1" applyFill="1" applyBorder="1" applyAlignment="1">
      <alignment horizontal="right" vertical="center"/>
    </xf>
    <xf numFmtId="1" fontId="1" fillId="0" borderId="3" xfId="0" applyNumberFormat="1" applyFont="1" applyBorder="1" applyAlignment="1">
      <alignment vertical="center"/>
    </xf>
    <xf numFmtId="0" fontId="1" fillId="11" borderId="3" xfId="0" applyFont="1" applyFill="1" applyBorder="1" applyAlignment="1">
      <alignment vertical="center"/>
    </xf>
    <xf numFmtId="165" fontId="1" fillId="11" borderId="3" xfId="0" applyNumberFormat="1" applyFont="1" applyFill="1" applyBorder="1" applyAlignment="1">
      <alignment vertical="center"/>
    </xf>
    <xf numFmtId="2" fontId="1" fillId="11" borderId="3" xfId="0" applyNumberFormat="1" applyFont="1" applyFill="1" applyBorder="1" applyAlignment="1">
      <alignment vertical="center"/>
    </xf>
    <xf numFmtId="166" fontId="1" fillId="11" borderId="3" xfId="0" applyNumberFormat="1" applyFont="1" applyFill="1" applyBorder="1" applyAlignment="1">
      <alignment vertical="center"/>
    </xf>
    <xf numFmtId="0" fontId="1" fillId="11" borderId="3" xfId="0" applyFont="1" applyFill="1" applyBorder="1" applyAlignment="1">
      <alignment horizontal="right" vertical="center"/>
    </xf>
    <xf numFmtId="0" fontId="1" fillId="11" borderId="3" xfId="0" applyFont="1" applyFill="1" applyBorder="1" applyAlignment="1">
      <alignment horizontal="left" vertical="center"/>
    </xf>
    <xf numFmtId="0" fontId="1" fillId="11" borderId="1" xfId="0" applyFont="1" applyFill="1" applyBorder="1" applyAlignment="1">
      <alignment vertical="center"/>
    </xf>
    <xf numFmtId="0" fontId="1" fillId="7" borderId="4" xfId="0" applyFont="1" applyFill="1" applyBorder="1" applyAlignment="1">
      <alignment horizontal="center" vertical="center" wrapText="1"/>
    </xf>
    <xf numFmtId="0" fontId="1" fillId="0" borderId="9" xfId="0" applyFont="1" applyBorder="1" applyAlignment="1">
      <alignment vertical="center"/>
    </xf>
    <xf numFmtId="0" fontId="1" fillId="0" borderId="13" xfId="0" applyFont="1" applyBorder="1" applyAlignment="1">
      <alignment vertical="center"/>
    </xf>
    <xf numFmtId="0" fontId="1" fillId="4" borderId="2" xfId="0" applyFont="1" applyFill="1" applyBorder="1" applyAlignment="1">
      <alignment vertical="center"/>
    </xf>
    <xf numFmtId="0" fontId="1" fillId="0" borderId="14" xfId="0" applyFont="1" applyBorder="1"/>
    <xf numFmtId="164" fontId="10" fillId="0" borderId="3" xfId="0" applyNumberFormat="1" applyFont="1" applyBorder="1" applyAlignment="1">
      <alignment horizontal="right" vertical="center"/>
    </xf>
    <xf numFmtId="0" fontId="1" fillId="5" borderId="4" xfId="0" applyFont="1" applyFill="1" applyBorder="1" applyAlignment="1">
      <alignment vertical="center"/>
    </xf>
    <xf numFmtId="167" fontId="1" fillId="2" borderId="3" xfId="0" applyNumberFormat="1" applyFont="1" applyFill="1" applyBorder="1" applyAlignment="1">
      <alignment horizontal="left" vertical="center"/>
    </xf>
    <xf numFmtId="17" fontId="1" fillId="0" borderId="0" xfId="0" applyNumberFormat="1" applyFont="1" applyAlignment="1">
      <alignment vertical="center"/>
    </xf>
    <xf numFmtId="0" fontId="11" fillId="0" borderId="3" xfId="0" applyFont="1" applyBorder="1" applyAlignment="1">
      <alignment vertical="center"/>
    </xf>
    <xf numFmtId="167" fontId="1" fillId="2" borderId="3" xfId="0" applyNumberFormat="1" applyFont="1" applyFill="1" applyBorder="1" applyAlignment="1">
      <alignment horizontal="right" vertical="center" wrapText="1"/>
    </xf>
    <xf numFmtId="167" fontId="1" fillId="2" borderId="1" xfId="0" applyNumberFormat="1" applyFont="1" applyFill="1" applyBorder="1" applyAlignment="1">
      <alignment horizontal="right" vertical="center" wrapText="1"/>
    </xf>
    <xf numFmtId="167" fontId="1" fillId="2" borderId="7" xfId="0" applyNumberFormat="1" applyFont="1" applyFill="1" applyBorder="1" applyAlignment="1">
      <alignment horizontal="right" vertical="center" wrapText="1"/>
    </xf>
    <xf numFmtId="0" fontId="5" fillId="7" borderId="3" xfId="0" applyFont="1" applyFill="1" applyBorder="1" applyAlignment="1">
      <alignment vertical="center"/>
    </xf>
    <xf numFmtId="0" fontId="5" fillId="0" borderId="3" xfId="0" applyFont="1" applyBorder="1" applyAlignment="1">
      <alignment vertical="center"/>
    </xf>
    <xf numFmtId="0" fontId="5" fillId="2" borderId="3" xfId="0" applyFont="1" applyFill="1" applyBorder="1" applyAlignment="1">
      <alignment vertical="center"/>
    </xf>
    <xf numFmtId="0" fontId="5" fillId="0" borderId="12" xfId="0" applyFont="1" applyBorder="1" applyAlignment="1">
      <alignment vertical="center"/>
    </xf>
    <xf numFmtId="0" fontId="5" fillId="0" borderId="10" xfId="0" applyFont="1" applyBorder="1" applyAlignment="1">
      <alignment vertical="center"/>
    </xf>
    <xf numFmtId="0" fontId="5" fillId="2" borderId="2" xfId="0" applyFont="1" applyFill="1" applyBorder="1" applyAlignment="1">
      <alignment vertical="center"/>
    </xf>
    <xf numFmtId="0" fontId="5" fillId="2" borderId="3" xfId="0" applyFont="1" applyFill="1" applyBorder="1" applyAlignment="1">
      <alignment horizontal="right" vertical="center"/>
    </xf>
    <xf numFmtId="0" fontId="5" fillId="2" borderId="3" xfId="0" applyFont="1" applyFill="1" applyBorder="1" applyAlignment="1">
      <alignment horizontal="left" vertical="center"/>
    </xf>
    <xf numFmtId="0" fontId="5" fillId="0" borderId="0" xfId="0" applyFont="1" applyAlignment="1">
      <alignment vertical="center"/>
    </xf>
    <xf numFmtId="0" fontId="5" fillId="0" borderId="6" xfId="0" applyFont="1" applyBorder="1" applyAlignment="1">
      <alignment vertical="center"/>
    </xf>
    <xf numFmtId="0" fontId="6" fillId="2" borderId="1" xfId="0" applyFont="1" applyFill="1" applyBorder="1" applyAlignment="1">
      <alignment vertical="center"/>
    </xf>
    <xf numFmtId="164" fontId="6" fillId="2" borderId="1" xfId="0" applyNumberFormat="1" applyFont="1" applyFill="1" applyBorder="1" applyAlignment="1">
      <alignment horizontal="right" vertical="center"/>
    </xf>
    <xf numFmtId="0" fontId="6" fillId="2" borderId="1" xfId="0" applyFont="1" applyFill="1" applyBorder="1" applyAlignment="1">
      <alignment horizontal="left" vertical="center"/>
    </xf>
    <xf numFmtId="0" fontId="6" fillId="2" borderId="1" xfId="0" applyFont="1" applyFill="1" applyBorder="1" applyAlignment="1">
      <alignment horizontal="left" vertical="center" wrapText="1"/>
    </xf>
    <xf numFmtId="0" fontId="6" fillId="7" borderId="1" xfId="0" applyFont="1" applyFill="1" applyBorder="1" applyAlignment="1">
      <alignment vertical="center"/>
    </xf>
    <xf numFmtId="0" fontId="6" fillId="2" borderId="1" xfId="0" applyFont="1" applyFill="1" applyBorder="1" applyAlignment="1">
      <alignment vertical="center" wrapText="1"/>
    </xf>
    <xf numFmtId="0" fontId="7" fillId="12" borderId="3" xfId="0" applyFont="1" applyFill="1" applyBorder="1" applyAlignment="1">
      <alignment vertical="center" wrapText="1"/>
    </xf>
    <xf numFmtId="0" fontId="1" fillId="0" borderId="0" xfId="0" applyFont="1" applyAlignment="1">
      <alignment vertical="center" wrapText="1"/>
    </xf>
    <xf numFmtId="0" fontId="1" fillId="13" borderId="1" xfId="0" applyFont="1" applyFill="1" applyBorder="1" applyAlignment="1">
      <alignment vertical="center" wrapText="1"/>
    </xf>
    <xf numFmtId="0" fontId="1" fillId="14" borderId="3" xfId="0" applyFont="1" applyFill="1" applyBorder="1" applyAlignment="1">
      <alignment vertical="center" wrapText="1"/>
    </xf>
    <xf numFmtId="0" fontId="1" fillId="15" borderId="3" xfId="0" applyFont="1" applyFill="1" applyBorder="1" applyAlignment="1">
      <alignment vertical="center" wrapText="1"/>
    </xf>
    <xf numFmtId="0" fontId="6" fillId="12" borderId="3" xfId="0" applyFont="1" applyFill="1" applyBorder="1"/>
    <xf numFmtId="0" fontId="6" fillId="0" borderId="3" xfId="0" applyFont="1" applyBorder="1"/>
    <xf numFmtId="0" fontId="6" fillId="7" borderId="3" xfId="0" applyFont="1" applyFill="1" applyBorder="1"/>
    <xf numFmtId="0" fontId="6" fillId="0" borderId="3" xfId="0" applyFont="1" applyBorder="1" applyAlignment="1">
      <alignment horizontal="left" vertical="center" wrapText="1"/>
    </xf>
    <xf numFmtId="0" fontId="6" fillId="0" borderId="6" xfId="0" applyFont="1" applyBorder="1"/>
    <xf numFmtId="0" fontId="6" fillId="0" borderId="0" xfId="0" applyFont="1"/>
    <xf numFmtId="0" fontId="6" fillId="0" borderId="5" xfId="0" applyFont="1" applyBorder="1"/>
    <xf numFmtId="0" fontId="6" fillId="2" borderId="3" xfId="0" applyFont="1" applyFill="1" applyBorder="1" applyAlignment="1">
      <alignment horizontal="right"/>
    </xf>
    <xf numFmtId="0" fontId="6" fillId="2" borderId="3" xfId="0" applyFont="1" applyFill="1" applyBorder="1" applyAlignment="1">
      <alignment horizontal="left"/>
    </xf>
    <xf numFmtId="0" fontId="6" fillId="0" borderId="3" xfId="0" applyFont="1" applyBorder="1" applyAlignment="1">
      <alignment wrapText="1"/>
    </xf>
    <xf numFmtId="164" fontId="6" fillId="2" borderId="3" xfId="0" applyNumberFormat="1" applyFont="1" applyFill="1" applyBorder="1" applyAlignment="1">
      <alignment horizontal="right"/>
    </xf>
    <xf numFmtId="164" fontId="6" fillId="2" borderId="3" xfId="0" applyNumberFormat="1" applyFont="1" applyFill="1" applyBorder="1" applyAlignment="1">
      <alignment horizontal="left"/>
    </xf>
    <xf numFmtId="0" fontId="6" fillId="5" borderId="3" xfId="0" applyFont="1" applyFill="1" applyBorder="1"/>
    <xf numFmtId="0" fontId="6" fillId="2" borderId="4" xfId="0" applyFont="1" applyFill="1" applyBorder="1"/>
    <xf numFmtId="0" fontId="6" fillId="2" borderId="4" xfId="0" applyFont="1" applyFill="1" applyBorder="1" applyAlignment="1">
      <alignment horizontal="left"/>
    </xf>
    <xf numFmtId="0" fontId="6" fillId="7" borderId="3" xfId="0" applyFont="1" applyFill="1" applyBorder="1" applyAlignment="1">
      <alignment horizontal="left" wrapText="1"/>
    </xf>
    <xf numFmtId="0" fontId="6" fillId="2" borderId="3" xfId="0" applyFont="1" applyFill="1" applyBorder="1"/>
    <xf numFmtId="0" fontId="6" fillId="4" borderId="3" xfId="0" applyFont="1" applyFill="1" applyBorder="1"/>
    <xf numFmtId="0" fontId="1" fillId="0" borderId="0" xfId="0" applyFont="1"/>
    <xf numFmtId="0" fontId="6" fillId="2" borderId="4" xfId="0" applyFont="1" applyFill="1" applyBorder="1" applyAlignment="1">
      <alignment horizontal="right"/>
    </xf>
    <xf numFmtId="167" fontId="6" fillId="2" borderId="3" xfId="0" applyNumberFormat="1" applyFont="1" applyFill="1" applyBorder="1" applyAlignment="1">
      <alignment horizontal="left"/>
    </xf>
    <xf numFmtId="0" fontId="9" fillId="0" borderId="3" xfId="0" applyFont="1" applyBorder="1"/>
    <xf numFmtId="0" fontId="6" fillId="0" borderId="0" xfId="0" applyFont="1" applyAlignment="1">
      <alignment horizontal="left"/>
    </xf>
    <xf numFmtId="0" fontId="6" fillId="8" borderId="3" xfId="0" applyFont="1" applyFill="1" applyBorder="1"/>
    <xf numFmtId="0" fontId="6" fillId="0" borderId="3" xfId="0" applyFont="1" applyBorder="1" applyAlignment="1">
      <alignment horizontal="left"/>
    </xf>
    <xf numFmtId="0" fontId="6" fillId="0" borderId="8" xfId="0" applyFont="1" applyBorder="1"/>
    <xf numFmtId="0" fontId="6" fillId="0" borderId="9" xfId="0" applyFont="1" applyBorder="1"/>
    <xf numFmtId="0" fontId="6" fillId="0" borderId="13" xfId="0" applyFont="1" applyBorder="1"/>
    <xf numFmtId="0" fontId="6" fillId="4" borderId="2" xfId="0" applyFont="1" applyFill="1" applyBorder="1"/>
    <xf numFmtId="0" fontId="6" fillId="0" borderId="10" xfId="0" applyFont="1" applyBorder="1"/>
    <xf numFmtId="0" fontId="6" fillId="0" borderId="12" xfId="0" applyFont="1" applyBorder="1"/>
    <xf numFmtId="0" fontId="13" fillId="0" borderId="0" xfId="0" applyFont="1"/>
    <xf numFmtId="0" fontId="3" fillId="2" borderId="3" xfId="0" applyFont="1" applyFill="1" applyBorder="1" applyAlignment="1">
      <alignment horizontal="right"/>
    </xf>
    <xf numFmtId="164" fontId="1" fillId="0" borderId="0" xfId="0" applyNumberFormat="1" applyFont="1" applyAlignment="1">
      <alignment vertical="center" wrapText="1"/>
    </xf>
    <xf numFmtId="0" fontId="7" fillId="0" borderId="12" xfId="0" applyFont="1" applyBorder="1"/>
    <xf numFmtId="0" fontId="7" fillId="0" borderId="17" xfId="0" applyFont="1" applyBorder="1"/>
    <xf numFmtId="0" fontId="1" fillId="0" borderId="17" xfId="0" applyFont="1" applyBorder="1"/>
    <xf numFmtId="0" fontId="7" fillId="0" borderId="10" xfId="0" applyFont="1" applyBorder="1"/>
    <xf numFmtId="0" fontId="1" fillId="6" borderId="19" xfId="0" applyFont="1" applyFill="1" applyBorder="1"/>
    <xf numFmtId="0" fontId="1" fillId="6" borderId="19" xfId="0" applyFont="1" applyFill="1" applyBorder="1" applyAlignment="1">
      <alignment horizontal="center"/>
    </xf>
    <xf numFmtId="0" fontId="1" fillId="6" borderId="1" xfId="0" applyFont="1" applyFill="1" applyBorder="1"/>
    <xf numFmtId="0" fontId="1" fillId="6" borderId="1" xfId="0" applyFont="1" applyFill="1" applyBorder="1" applyAlignment="1">
      <alignment horizontal="center"/>
    </xf>
    <xf numFmtId="0" fontId="1" fillId="6" borderId="27" xfId="0" applyFont="1" applyFill="1" applyBorder="1"/>
    <xf numFmtId="0" fontId="1" fillId="6" borderId="27" xfId="0" applyFont="1" applyFill="1" applyBorder="1" applyAlignment="1">
      <alignment horizontal="center"/>
    </xf>
    <xf numFmtId="2" fontId="1" fillId="6" borderId="19" xfId="0" applyNumberFormat="1" applyFont="1" applyFill="1" applyBorder="1"/>
    <xf numFmtId="0" fontId="1" fillId="0" borderId="22" xfId="0" applyFont="1" applyBorder="1"/>
    <xf numFmtId="0" fontId="1" fillId="0" borderId="24" xfId="0" applyFont="1" applyBorder="1"/>
    <xf numFmtId="0" fontId="1" fillId="0" borderId="13" xfId="0" applyFont="1" applyBorder="1"/>
    <xf numFmtId="2" fontId="1" fillId="0" borderId="0" xfId="0" applyNumberFormat="1" applyFont="1"/>
    <xf numFmtId="0" fontId="1" fillId="0" borderId="21" xfId="0" applyFont="1" applyBorder="1"/>
    <xf numFmtId="0" fontId="1" fillId="0" borderId="21" xfId="0" applyFont="1" applyBorder="1" applyAlignment="1">
      <alignment horizontal="center"/>
    </xf>
    <xf numFmtId="0" fontId="1" fillId="0" borderId="0" xfId="0" applyFont="1" applyAlignment="1">
      <alignment horizontal="center"/>
    </xf>
    <xf numFmtId="0" fontId="1" fillId="0" borderId="6" xfId="0" applyFont="1" applyBorder="1"/>
    <xf numFmtId="0" fontId="1" fillId="6" borderId="2" xfId="0" applyFont="1" applyFill="1" applyBorder="1" applyAlignment="1">
      <alignment horizontal="center" vertical="center"/>
    </xf>
    <xf numFmtId="2" fontId="1" fillId="6" borderId="30" xfId="0" applyNumberFormat="1" applyFont="1" applyFill="1" applyBorder="1" applyAlignment="1">
      <alignment vertical="center"/>
    </xf>
    <xf numFmtId="0" fontId="1" fillId="6" borderId="30" xfId="0" applyFont="1" applyFill="1" applyBorder="1" applyAlignment="1">
      <alignment vertical="center"/>
    </xf>
    <xf numFmtId="0" fontId="7" fillId="6" borderId="2" xfId="0" applyFont="1" applyFill="1" applyBorder="1" applyAlignment="1">
      <alignment horizontal="center" vertical="center"/>
    </xf>
    <xf numFmtId="0" fontId="1" fillId="6" borderId="30" xfId="0" applyFont="1" applyFill="1" applyBorder="1"/>
    <xf numFmtId="0" fontId="1" fillId="6" borderId="11" xfId="0" applyFont="1" applyFill="1" applyBorder="1"/>
    <xf numFmtId="0" fontId="1" fillId="0" borderId="0" xfId="0" applyFont="1" applyAlignment="1">
      <alignment wrapText="1"/>
    </xf>
    <xf numFmtId="0" fontId="1" fillId="17" borderId="3" xfId="0" applyFont="1" applyFill="1" applyBorder="1"/>
    <xf numFmtId="0" fontId="14" fillId="0" borderId="0" xfId="0" applyFont="1"/>
    <xf numFmtId="164" fontId="14" fillId="2" borderId="1" xfId="0" applyNumberFormat="1" applyFont="1" applyFill="1" applyBorder="1" applyAlignment="1">
      <alignment horizontal="center" vertical="center"/>
    </xf>
    <xf numFmtId="0" fontId="14" fillId="2" borderId="1" xfId="0" applyFont="1" applyFill="1" applyBorder="1" applyAlignment="1">
      <alignment horizontal="left" vertical="center"/>
    </xf>
    <xf numFmtId="0" fontId="15" fillId="0" borderId="0" xfId="0" applyFont="1" applyAlignment="1">
      <alignment horizontal="left" vertical="center" wrapText="1"/>
    </xf>
    <xf numFmtId="0" fontId="14" fillId="0" borderId="0" xfId="0" applyFont="1" applyAlignment="1">
      <alignment horizontal="left" vertical="center"/>
    </xf>
    <xf numFmtId="0" fontId="1" fillId="18" borderId="3" xfId="0" applyFont="1" applyFill="1" applyBorder="1"/>
    <xf numFmtId="0" fontId="15" fillId="19" borderId="1" xfId="0" applyFont="1" applyFill="1" applyBorder="1"/>
    <xf numFmtId="0" fontId="14" fillId="0" borderId="3" xfId="0" applyFont="1" applyBorder="1"/>
    <xf numFmtId="164" fontId="14" fillId="2" borderId="3" xfId="0" applyNumberFormat="1" applyFont="1" applyFill="1" applyBorder="1" applyAlignment="1">
      <alignment horizontal="center" vertical="center"/>
    </xf>
    <xf numFmtId="0" fontId="14" fillId="2" borderId="3" xfId="0" applyFont="1" applyFill="1" applyBorder="1" applyAlignment="1">
      <alignment horizontal="left" vertical="center"/>
    </xf>
    <xf numFmtId="0" fontId="14" fillId="0" borderId="3" xfId="0" applyFont="1" applyBorder="1" applyAlignment="1">
      <alignment horizontal="left" vertical="center"/>
    </xf>
    <xf numFmtId="0" fontId="1" fillId="17" borderId="2" xfId="0" applyFont="1" applyFill="1" applyBorder="1"/>
    <xf numFmtId="0" fontId="8" fillId="17" borderId="3" xfId="0" applyFont="1" applyFill="1" applyBorder="1"/>
    <xf numFmtId="2" fontId="1" fillId="17" borderId="3" xfId="0" applyNumberFormat="1" applyFont="1" applyFill="1" applyBorder="1"/>
    <xf numFmtId="2" fontId="8" fillId="17" borderId="3" xfId="0" applyNumberFormat="1" applyFont="1" applyFill="1" applyBorder="1"/>
    <xf numFmtId="165" fontId="1" fillId="17" borderId="3" xfId="0" applyNumberFormat="1" applyFont="1" applyFill="1" applyBorder="1"/>
    <xf numFmtId="164" fontId="16" fillId="17" borderId="7" xfId="0" applyNumberFormat="1" applyFont="1" applyFill="1" applyBorder="1" applyAlignment="1">
      <alignment horizontal="center" vertical="center"/>
    </xf>
    <xf numFmtId="0" fontId="1" fillId="17" borderId="3" xfId="0" applyFont="1" applyFill="1" applyBorder="1" applyAlignment="1">
      <alignment horizontal="left"/>
    </xf>
    <xf numFmtId="0" fontId="3" fillId="17" borderId="3" xfId="0" applyFont="1" applyFill="1" applyBorder="1" applyAlignment="1">
      <alignment horizontal="left"/>
    </xf>
    <xf numFmtId="0" fontId="1" fillId="17" borderId="27" xfId="0" applyFont="1" applyFill="1" applyBorder="1"/>
    <xf numFmtId="0" fontId="1" fillId="17" borderId="1" xfId="0" applyFont="1" applyFill="1" applyBorder="1"/>
    <xf numFmtId="0" fontId="1" fillId="19" borderId="3" xfId="0" applyFont="1" applyFill="1" applyBorder="1"/>
    <xf numFmtId="165" fontId="1" fillId="19" borderId="3" xfId="0" applyNumberFormat="1" applyFont="1" applyFill="1" applyBorder="1"/>
    <xf numFmtId="2" fontId="1" fillId="19" borderId="3" xfId="0" applyNumberFormat="1" applyFont="1" applyFill="1" applyBorder="1"/>
    <xf numFmtId="164" fontId="3" fillId="19" borderId="3" xfId="0" applyNumberFormat="1" applyFont="1" applyFill="1" applyBorder="1" applyAlignment="1">
      <alignment horizontal="center"/>
    </xf>
    <xf numFmtId="0" fontId="3" fillId="19" borderId="3" xfId="0" applyFont="1" applyFill="1" applyBorder="1" applyAlignment="1">
      <alignment horizontal="left"/>
    </xf>
    <xf numFmtId="0" fontId="1" fillId="19" borderId="1" xfId="0" applyFont="1" applyFill="1" applyBorder="1"/>
    <xf numFmtId="0" fontId="3" fillId="19" borderId="3" xfId="0" applyFont="1" applyFill="1" applyBorder="1"/>
    <xf numFmtId="2" fontId="8" fillId="19" borderId="3" xfId="0" applyNumberFormat="1" applyFont="1" applyFill="1" applyBorder="1"/>
    <xf numFmtId="0" fontId="3" fillId="17" borderId="3" xfId="0" applyFont="1" applyFill="1" applyBorder="1"/>
    <xf numFmtId="0" fontId="1" fillId="17" borderId="4" xfId="0" applyFont="1" applyFill="1" applyBorder="1"/>
    <xf numFmtId="164" fontId="3" fillId="17" borderId="3" xfId="0" applyNumberFormat="1" applyFont="1" applyFill="1" applyBorder="1" applyAlignment="1">
      <alignment horizontal="center" vertical="center"/>
    </xf>
    <xf numFmtId="0" fontId="3" fillId="17" borderId="3" xfId="0" applyFont="1" applyFill="1" applyBorder="1" applyAlignment="1">
      <alignment horizontal="left" vertical="center"/>
    </xf>
    <xf numFmtId="0" fontId="1" fillId="17" borderId="3" xfId="0" applyFont="1" applyFill="1" applyBorder="1" applyAlignment="1">
      <alignment horizontal="left" vertical="center"/>
    </xf>
    <xf numFmtId="164" fontId="1" fillId="17" borderId="1" xfId="0" applyNumberFormat="1" applyFont="1" applyFill="1" applyBorder="1"/>
    <xf numFmtId="0" fontId="1" fillId="17" borderId="16" xfId="0" applyFont="1" applyFill="1" applyBorder="1"/>
    <xf numFmtId="0" fontId="1" fillId="17" borderId="34" xfId="0" applyFont="1" applyFill="1" applyBorder="1"/>
    <xf numFmtId="164" fontId="16" fillId="17" borderId="3" xfId="0" applyNumberFormat="1" applyFont="1" applyFill="1" applyBorder="1" applyAlignment="1">
      <alignment horizontal="center" vertical="center"/>
    </xf>
    <xf numFmtId="0" fontId="3" fillId="18" borderId="3" xfId="0" applyFont="1" applyFill="1" applyBorder="1"/>
    <xf numFmtId="165" fontId="1" fillId="18" borderId="3" xfId="0" applyNumberFormat="1" applyFont="1" applyFill="1" applyBorder="1"/>
    <xf numFmtId="2" fontId="1" fillId="18" borderId="3" xfId="0" applyNumberFormat="1" applyFont="1" applyFill="1" applyBorder="1"/>
    <xf numFmtId="164" fontId="3" fillId="18" borderId="3" xfId="0" applyNumberFormat="1" applyFont="1" applyFill="1" applyBorder="1" applyAlignment="1">
      <alignment horizontal="center"/>
    </xf>
    <xf numFmtId="0" fontId="3" fillId="18" borderId="3" xfId="0" applyFont="1" applyFill="1" applyBorder="1" applyAlignment="1">
      <alignment horizontal="left"/>
    </xf>
    <xf numFmtId="0" fontId="1" fillId="18" borderId="1" xfId="0" applyFont="1" applyFill="1" applyBorder="1"/>
    <xf numFmtId="0" fontId="3" fillId="0" borderId="3" xfId="0" applyFont="1" applyBorder="1"/>
    <xf numFmtId="165" fontId="1" fillId="0" borderId="3" xfId="0" applyNumberFormat="1" applyFont="1" applyBorder="1"/>
    <xf numFmtId="2" fontId="1" fillId="0" borderId="3" xfId="0" applyNumberFormat="1" applyFont="1" applyBorder="1"/>
    <xf numFmtId="164" fontId="3" fillId="2" borderId="3" xfId="0" applyNumberFormat="1" applyFont="1" applyFill="1" applyBorder="1" applyAlignment="1">
      <alignment horizontal="center"/>
    </xf>
    <xf numFmtId="0" fontId="3" fillId="2" borderId="3" xfId="0" applyFont="1" applyFill="1" applyBorder="1" applyAlignment="1">
      <alignment horizontal="left"/>
    </xf>
    <xf numFmtId="0" fontId="3" fillId="2" borderId="3" xfId="0" applyFont="1" applyFill="1" applyBorder="1"/>
    <xf numFmtId="0" fontId="7" fillId="17" borderId="3" xfId="0" applyFont="1" applyFill="1" applyBorder="1"/>
    <xf numFmtId="0" fontId="1" fillId="4" borderId="3" xfId="0" applyFont="1" applyFill="1" applyBorder="1"/>
    <xf numFmtId="0" fontId="1" fillId="2" borderId="3" xfId="0" applyFont="1" applyFill="1" applyBorder="1" applyAlignment="1">
      <alignment horizontal="center"/>
    </xf>
    <xf numFmtId="0" fontId="1" fillId="2" borderId="3" xfId="0" applyFont="1" applyFill="1" applyBorder="1" applyAlignment="1">
      <alignment horizontal="left"/>
    </xf>
    <xf numFmtId="0" fontId="1" fillId="0" borderId="5" xfId="0" applyFont="1" applyBorder="1"/>
    <xf numFmtId="165" fontId="1" fillId="0" borderId="5" xfId="0" applyNumberFormat="1" applyFont="1" applyBorder="1"/>
    <xf numFmtId="2" fontId="1" fillId="0" borderId="5" xfId="0" applyNumberFormat="1" applyFont="1" applyBorder="1"/>
    <xf numFmtId="164" fontId="3" fillId="2" borderId="4" xfId="0" applyNumberFormat="1" applyFont="1" applyFill="1" applyBorder="1" applyAlignment="1">
      <alignment horizontal="center"/>
    </xf>
    <xf numFmtId="0" fontId="3" fillId="2" borderId="4" xfId="0" applyFont="1" applyFill="1" applyBorder="1" applyAlignment="1">
      <alignment horizontal="left"/>
    </xf>
    <xf numFmtId="164" fontId="1" fillId="17" borderId="3" xfId="0" applyNumberFormat="1" applyFont="1" applyFill="1" applyBorder="1" applyAlignment="1">
      <alignment horizontal="center" vertical="center"/>
    </xf>
    <xf numFmtId="165" fontId="1" fillId="17" borderId="4" xfId="0" applyNumberFormat="1" applyFont="1" applyFill="1" applyBorder="1"/>
    <xf numFmtId="2" fontId="1" fillId="17" borderId="4" xfId="0" applyNumberFormat="1" applyFont="1" applyFill="1" applyBorder="1"/>
    <xf numFmtId="164" fontId="1" fillId="17" borderId="4" xfId="0" applyNumberFormat="1" applyFont="1" applyFill="1" applyBorder="1" applyAlignment="1">
      <alignment horizontal="center" vertical="center"/>
    </xf>
    <xf numFmtId="0" fontId="1" fillId="17" borderId="4" xfId="0" applyFont="1" applyFill="1" applyBorder="1" applyAlignment="1">
      <alignment horizontal="left" vertical="center"/>
    </xf>
    <xf numFmtId="0" fontId="3" fillId="17" borderId="3" xfId="0" applyFont="1" applyFill="1" applyBorder="1" applyAlignment="1">
      <alignment horizontal="center"/>
    </xf>
    <xf numFmtId="0" fontId="11" fillId="0" borderId="3" xfId="0" applyFont="1" applyBorder="1"/>
    <xf numFmtId="0" fontId="17" fillId="0" borderId="3" xfId="0" applyFont="1" applyBorder="1"/>
    <xf numFmtId="165" fontId="11" fillId="0" borderId="3" xfId="0" applyNumberFormat="1" applyFont="1" applyBorder="1"/>
    <xf numFmtId="2" fontId="11" fillId="0" borderId="3" xfId="0" applyNumberFormat="1" applyFont="1" applyBorder="1"/>
    <xf numFmtId="164" fontId="17" fillId="2" borderId="3" xfId="0" applyNumberFormat="1" applyFont="1" applyFill="1" applyBorder="1" applyAlignment="1">
      <alignment horizontal="center" vertical="center"/>
    </xf>
    <xf numFmtId="0" fontId="17" fillId="2" borderId="3" xfId="0" applyFont="1" applyFill="1" applyBorder="1" applyAlignment="1">
      <alignment horizontal="left" vertical="center"/>
    </xf>
    <xf numFmtId="0" fontId="17" fillId="0" borderId="3" xfId="0" applyFont="1" applyBorder="1" applyAlignment="1">
      <alignment horizontal="left" vertical="center"/>
    </xf>
    <xf numFmtId="0" fontId="11" fillId="0" borderId="0" xfId="0" applyFont="1"/>
    <xf numFmtId="165" fontId="8" fillId="17" borderId="3" xfId="0" applyNumberFormat="1" applyFont="1" applyFill="1" applyBorder="1"/>
    <xf numFmtId="0" fontId="1" fillId="17" borderId="4" xfId="0" applyFont="1" applyFill="1" applyBorder="1" applyAlignment="1">
      <alignment horizontal="right"/>
    </xf>
    <xf numFmtId="165" fontId="1" fillId="17" borderId="4" xfId="0" applyNumberFormat="1" applyFont="1" applyFill="1" applyBorder="1" applyAlignment="1">
      <alignment horizontal="right"/>
    </xf>
    <xf numFmtId="2" fontId="1" fillId="17" borderId="4" xfId="0" applyNumberFormat="1" applyFont="1" applyFill="1" applyBorder="1" applyAlignment="1">
      <alignment horizontal="right"/>
    </xf>
    <xf numFmtId="2" fontId="1" fillId="17" borderId="3" xfId="0" applyNumberFormat="1" applyFont="1" applyFill="1" applyBorder="1" applyAlignment="1">
      <alignment horizontal="right"/>
    </xf>
    <xf numFmtId="166" fontId="1" fillId="17" borderId="4" xfId="0" applyNumberFormat="1" applyFont="1" applyFill="1" applyBorder="1" applyAlignment="1">
      <alignment horizontal="right"/>
    </xf>
    <xf numFmtId="165" fontId="1" fillId="17" borderId="3" xfId="0" applyNumberFormat="1" applyFont="1" applyFill="1" applyBorder="1" applyAlignment="1">
      <alignment horizontal="right"/>
    </xf>
    <xf numFmtId="0" fontId="1" fillId="17" borderId="3" xfId="0" applyFont="1" applyFill="1" applyBorder="1" applyAlignment="1">
      <alignment horizontal="right"/>
    </xf>
    <xf numFmtId="166" fontId="1" fillId="17" borderId="3" xfId="0" applyNumberFormat="1" applyFont="1" applyFill="1" applyBorder="1" applyAlignment="1">
      <alignment horizontal="right"/>
    </xf>
    <xf numFmtId="0" fontId="1" fillId="0" borderId="0" xfId="0" applyFont="1" applyAlignment="1">
      <alignment horizontal="left"/>
    </xf>
    <xf numFmtId="0" fontId="1" fillId="0" borderId="12" xfId="0" applyFont="1" applyBorder="1" applyAlignment="1">
      <alignment vertical="center" wrapText="1"/>
    </xf>
    <xf numFmtId="0" fontId="12" fillId="0" borderId="17" xfId="0" applyFont="1" applyBorder="1"/>
    <xf numFmtId="0" fontId="12" fillId="0" borderId="10" xfId="0" applyFont="1" applyBorder="1"/>
    <xf numFmtId="0" fontId="1" fillId="13" borderId="12" xfId="0" applyFont="1" applyFill="1" applyBorder="1" applyAlignment="1">
      <alignment vertical="center" wrapText="1"/>
    </xf>
    <xf numFmtId="0" fontId="1" fillId="16" borderId="12" xfId="0" applyFont="1" applyFill="1" applyBorder="1" applyAlignment="1">
      <alignment vertical="center" wrapText="1"/>
    </xf>
    <xf numFmtId="0" fontId="1" fillId="17" borderId="12" xfId="0" applyFont="1" applyFill="1" applyBorder="1" applyAlignment="1">
      <alignment vertical="center" wrapText="1"/>
    </xf>
    <xf numFmtId="0" fontId="7" fillId="0" borderId="12" xfId="0" applyFont="1" applyBorder="1" applyAlignment="1">
      <alignment vertical="center" wrapText="1"/>
    </xf>
    <xf numFmtId="0" fontId="1" fillId="6" borderId="20" xfId="0" applyFont="1" applyFill="1" applyBorder="1" applyAlignment="1">
      <alignment horizontal="center" wrapText="1"/>
    </xf>
    <xf numFmtId="0" fontId="12" fillId="0" borderId="21" xfId="0" applyFont="1" applyBorder="1"/>
    <xf numFmtId="0" fontId="12" fillId="0" borderId="28" xfId="0" applyFont="1" applyBorder="1"/>
    <xf numFmtId="0" fontId="12" fillId="0" borderId="9" xfId="0" applyFont="1" applyBorder="1"/>
    <xf numFmtId="0" fontId="12" fillId="0" borderId="6" xfId="0" applyFont="1" applyBorder="1"/>
    <xf numFmtId="0" fontId="12" fillId="0" borderId="29" xfId="0" applyFont="1" applyBorder="1"/>
    <xf numFmtId="0" fontId="7" fillId="0" borderId="20" xfId="0" applyFont="1" applyBorder="1" applyAlignment="1">
      <alignment horizontal="center" vertical="center"/>
    </xf>
    <xf numFmtId="0" fontId="12" fillId="0" borderId="22" xfId="0" applyFont="1" applyBorder="1"/>
    <xf numFmtId="0" fontId="12" fillId="0" borderId="24" xfId="0" applyFont="1" applyBorder="1"/>
    <xf numFmtId="0" fontId="0" fillId="0" borderId="0" xfId="0" applyFont="1" applyAlignment="1"/>
    <xf numFmtId="0" fontId="12" fillId="0" borderId="25" xfId="0" applyFont="1" applyBorder="1"/>
    <xf numFmtId="0" fontId="12" fillId="0" borderId="13" xfId="0" applyFont="1" applyBorder="1"/>
    <xf numFmtId="0" fontId="1" fillId="6" borderId="31" xfId="0" applyFont="1" applyFill="1" applyBorder="1" applyAlignment="1">
      <alignment horizontal="center" wrapText="1"/>
    </xf>
    <xf numFmtId="0" fontId="12" fillId="0" borderId="32" xfId="0" applyFont="1" applyBorder="1"/>
    <xf numFmtId="0" fontId="12" fillId="0" borderId="33" xfId="0" applyFont="1" applyBorder="1"/>
    <xf numFmtId="0" fontId="1" fillId="6" borderId="18" xfId="0" applyFont="1" applyFill="1" applyBorder="1" applyAlignment="1">
      <alignment horizontal="center" vertical="center"/>
    </xf>
    <xf numFmtId="0" fontId="12" fillId="0" borderId="23" xfId="0" applyFont="1" applyBorder="1"/>
    <xf numFmtId="0" fontId="12" fillId="0" borderId="26" xfId="0" applyFont="1" applyBorder="1"/>
    <xf numFmtId="0" fontId="7" fillId="6" borderId="18" xfId="0" applyFont="1" applyFill="1" applyBorder="1" applyAlignment="1">
      <alignment horizontal="center" vertical="center"/>
    </xf>
    <xf numFmtId="0" fontId="1" fillId="6" borderId="20" xfId="0" applyFont="1" applyFill="1" applyBorder="1" applyAlignment="1">
      <alignment horizontal="center" vertical="center"/>
    </xf>
    <xf numFmtId="0" fontId="1" fillId="0" borderId="8" xfId="0" applyFont="1" applyBorder="1" applyAlignment="1">
      <alignment horizontal="center" vertical="center"/>
    </xf>
    <xf numFmtId="0" fontId="12" fillId="0" borderId="14" xfId="0" applyFont="1" applyBorder="1"/>
    <xf numFmtId="0" fontId="12" fillId="0" borderId="5" xfId="0" applyFont="1" applyBorder="1"/>
  </cellXfs>
  <cellStyles count="1">
    <cellStyle name="Normale" xfId="0" builtinId="0"/>
  </cellStyles>
  <dxfs count="15">
    <dxf>
      <fill>
        <patternFill patternType="solid">
          <fgColor rgb="FFF4C7C3"/>
          <bgColor rgb="FFF4C7C3"/>
        </patternFill>
      </fill>
    </dxf>
    <dxf>
      <fill>
        <patternFill patternType="solid">
          <fgColor rgb="FFFCE8B2"/>
          <bgColor rgb="FFFCE8B2"/>
        </patternFill>
      </fill>
    </dxf>
    <dxf>
      <fill>
        <patternFill patternType="solid">
          <fgColor rgb="FFB7E1CD"/>
          <bgColor rgb="FFB7E1CD"/>
        </patternFill>
      </fill>
    </dxf>
    <dxf>
      <fill>
        <patternFill patternType="solid">
          <fgColor rgb="FFF4C7C3"/>
          <bgColor rgb="FFF4C7C3"/>
        </patternFill>
      </fill>
    </dxf>
    <dxf>
      <fill>
        <patternFill patternType="solid">
          <fgColor rgb="FFFCE8B2"/>
          <bgColor rgb="FFFCE8B2"/>
        </patternFill>
      </fill>
    </dxf>
    <dxf>
      <fill>
        <patternFill patternType="solid">
          <fgColor rgb="FFB7E1CD"/>
          <bgColor rgb="FFB7E1CD"/>
        </patternFill>
      </fill>
    </dxf>
    <dxf>
      <fill>
        <patternFill patternType="solid">
          <fgColor rgb="FFF4C7C3"/>
          <bgColor rgb="FFF4C7C3"/>
        </patternFill>
      </fill>
    </dxf>
    <dxf>
      <fill>
        <patternFill patternType="solid">
          <fgColor rgb="FFFCE8B2"/>
          <bgColor rgb="FFFCE8B2"/>
        </patternFill>
      </fill>
    </dxf>
    <dxf>
      <fill>
        <patternFill patternType="solid">
          <fgColor rgb="FFB7E1CD"/>
          <bgColor rgb="FFB7E1CD"/>
        </patternFill>
      </fill>
    </dxf>
    <dxf>
      <fill>
        <patternFill patternType="solid">
          <fgColor rgb="FFF4C7C3"/>
          <bgColor rgb="FFF4C7C3"/>
        </patternFill>
      </fill>
    </dxf>
    <dxf>
      <fill>
        <patternFill patternType="solid">
          <fgColor rgb="FFFCE8B2"/>
          <bgColor rgb="FFFCE8B2"/>
        </patternFill>
      </fill>
    </dxf>
    <dxf>
      <fill>
        <patternFill patternType="solid">
          <fgColor rgb="FFB7E1CD"/>
          <bgColor rgb="FFB7E1CD"/>
        </patternFill>
      </fill>
    </dxf>
    <dxf>
      <fill>
        <patternFill patternType="solid">
          <fgColor rgb="FFF4C7C3"/>
          <bgColor rgb="FFF4C7C3"/>
        </patternFill>
      </fill>
    </dxf>
    <dxf>
      <fill>
        <patternFill patternType="solid">
          <fgColor rgb="FFFCE8B2"/>
          <bgColor rgb="FFFCE8B2"/>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8" Type="http://schemas.openxmlformats.org/officeDocument/2006/relationships/hyperlink" Target="https://docs.google.com/spreadsheets/d/15AxtsoophmqCICtj05ghCsdNLDnMOAsx9bXG_g_FrkU/edit?usp=sharing" TargetMode="External"/><Relationship Id="rId13" Type="http://schemas.openxmlformats.org/officeDocument/2006/relationships/hyperlink" Target="https://docs.google.com/spreadsheets/d/15AxtsoophmqCICtj05ghCsdNLDnMOAsx9bXG_g_FrkU/edit?usp=sharing" TargetMode="External"/><Relationship Id="rId18" Type="http://schemas.openxmlformats.org/officeDocument/2006/relationships/hyperlink" Target="https://docs.google.com/spreadsheets/d/15AxtsoophmqCICtj05ghCsdNLDnMOAsx9bXG_g_FrkU/edit?usp=sharing" TargetMode="External"/><Relationship Id="rId3" Type="http://schemas.openxmlformats.org/officeDocument/2006/relationships/hyperlink" Target="https://docs.google.com/spreadsheets/d/15AxtsoophmqCICtj05ghCsdNLDnMOAsx9bXG_g_FrkU/edit?usp=sharing" TargetMode="External"/><Relationship Id="rId21" Type="http://schemas.openxmlformats.org/officeDocument/2006/relationships/hyperlink" Target="https://docs.google.com/spreadsheets/d/15AxtsoophmqCICtj05ghCsdNLDnMOAsx9bXG_g_FrkU/edit?usp=sharing" TargetMode="External"/><Relationship Id="rId7" Type="http://schemas.openxmlformats.org/officeDocument/2006/relationships/hyperlink" Target="https://docs.google.com/spreadsheets/d/15AxtsoophmqCICtj05ghCsdNLDnMOAsx9bXG_g_FrkU/edit?usp=sharing" TargetMode="External"/><Relationship Id="rId12" Type="http://schemas.openxmlformats.org/officeDocument/2006/relationships/hyperlink" Target="https://docs.google.com/spreadsheets/d/15AxtsoophmqCICtj05ghCsdNLDnMOAsx9bXG_g_FrkU/edit?usp=sharing" TargetMode="External"/><Relationship Id="rId17" Type="http://schemas.openxmlformats.org/officeDocument/2006/relationships/hyperlink" Target="https://docs.google.com/spreadsheets/d/15AxtsoophmqCICtj05ghCsdNLDnMOAsx9bXG_g_FrkU/edit?usp=sharing" TargetMode="External"/><Relationship Id="rId2" Type="http://schemas.openxmlformats.org/officeDocument/2006/relationships/hyperlink" Target="https://docs.google.com/spreadsheets/d/15AxtsoophmqCICtj05ghCsdNLDnMOAsx9bXG_g_FrkU/edit?usp=sharing" TargetMode="External"/><Relationship Id="rId16" Type="http://schemas.openxmlformats.org/officeDocument/2006/relationships/hyperlink" Target="https://docs.google.com/spreadsheets/d/15AxtsoophmqCICtj05ghCsdNLDnMOAsx9bXG_g_FrkU/edit?usp=sharing" TargetMode="External"/><Relationship Id="rId20" Type="http://schemas.openxmlformats.org/officeDocument/2006/relationships/hyperlink" Target="https://docs.google.com/spreadsheets/d/15AxtsoophmqCICtj05ghCsdNLDnMOAsx9bXG_g_FrkU/edit?usp=sharing" TargetMode="External"/><Relationship Id="rId1" Type="http://schemas.openxmlformats.org/officeDocument/2006/relationships/hyperlink" Target="https://docs.google.com/spreadsheets/d/15AxtsoophmqCICtj05ghCsdNLDnMOAsx9bXG_g_FrkU/edit?usp=sharing" TargetMode="External"/><Relationship Id="rId6" Type="http://schemas.openxmlformats.org/officeDocument/2006/relationships/hyperlink" Target="https://docs.google.com/spreadsheets/d/15AxtsoophmqCICtj05ghCsdNLDnMOAsx9bXG_g_FrkU/edit?usp=sharing" TargetMode="External"/><Relationship Id="rId11" Type="http://schemas.openxmlformats.org/officeDocument/2006/relationships/hyperlink" Target="https://docs.google.com/spreadsheets/d/15AxtsoophmqCICtj05ghCsdNLDnMOAsx9bXG_g_FrkU/edit?usp=sharing" TargetMode="External"/><Relationship Id="rId5" Type="http://schemas.openxmlformats.org/officeDocument/2006/relationships/hyperlink" Target="https://docs.google.com/spreadsheets/d/15AxtsoophmqCICtj05ghCsdNLDnMOAsx9bXG_g_FrkU/edit?usp=sharing" TargetMode="External"/><Relationship Id="rId15" Type="http://schemas.openxmlformats.org/officeDocument/2006/relationships/hyperlink" Target="https://docs.google.com/spreadsheets/d/15AxtsoophmqCICtj05ghCsdNLDnMOAsx9bXG_g_FrkU/edit?usp=sharing" TargetMode="External"/><Relationship Id="rId10" Type="http://schemas.openxmlformats.org/officeDocument/2006/relationships/hyperlink" Target="https://docs.google.com/spreadsheets/d/15AxtsoophmqCICtj05ghCsdNLDnMOAsx9bXG_g_FrkU/edit?usp=sharing" TargetMode="External"/><Relationship Id="rId19" Type="http://schemas.openxmlformats.org/officeDocument/2006/relationships/hyperlink" Target="https://docs.google.com/spreadsheets/d/15AxtsoophmqCICtj05ghCsdNLDnMOAsx9bXG_g_FrkU/edit?usp=sharing" TargetMode="External"/><Relationship Id="rId4" Type="http://schemas.openxmlformats.org/officeDocument/2006/relationships/hyperlink" Target="https://docs.google.com/spreadsheets/d/15AxtsoophmqCICtj05ghCsdNLDnMOAsx9bXG_g_FrkU/edit?usp=sharing" TargetMode="External"/><Relationship Id="rId9" Type="http://schemas.openxmlformats.org/officeDocument/2006/relationships/hyperlink" Target="https://docs.google.com/spreadsheets/d/15AxtsoophmqCICtj05ghCsdNLDnMOAsx9bXG_g_FrkU/edit?usp=sharing" TargetMode="External"/><Relationship Id="rId14" Type="http://schemas.openxmlformats.org/officeDocument/2006/relationships/hyperlink" Target="https://docs.google.com/spreadsheets/d/15AxtsoophmqCICtj05ghCsdNLDnMOAsx9bXG_g_FrkU/edit?usp=sharing" TargetMode="External"/><Relationship Id="rId22" Type="http://schemas.openxmlformats.org/officeDocument/2006/relationships/hyperlink" Target="https://docs.google.com/spreadsheets/d/15AxtsoophmqCICtj05ghCsdNLDnMOAsx9bXG_g_FrkU/edit?usp=shari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695"/>
  <sheetViews>
    <sheetView tabSelected="1" topLeftCell="A4" workbookViewId="0">
      <pane xSplit="3" topLeftCell="AM1" activePane="topRight" state="frozen"/>
      <selection pane="topRight" activeCell="AP8" sqref="AP8"/>
    </sheetView>
  </sheetViews>
  <sheetFormatPr defaultColWidth="14.42578125" defaultRowHeight="15" customHeight="1" outlineLevelRow="1" x14ac:dyDescent="0.25"/>
  <cols>
    <col min="1" max="1" width="9.5703125" customWidth="1"/>
    <col min="2" max="2" width="7.140625" customWidth="1"/>
    <col min="3" max="3" width="16" customWidth="1"/>
    <col min="4" max="4" width="17.85546875" customWidth="1"/>
    <col min="5" max="5" width="23" customWidth="1"/>
    <col min="6" max="6" width="31.7109375" customWidth="1"/>
    <col min="7" max="7" width="17.140625" customWidth="1"/>
    <col min="8" max="8" width="14.5703125" customWidth="1"/>
    <col min="9" max="9" width="32.42578125" customWidth="1"/>
    <col min="10" max="10" width="22.28515625" customWidth="1"/>
    <col min="11" max="11" width="34.140625" customWidth="1"/>
    <col min="12" max="12" width="63.7109375" customWidth="1"/>
    <col min="13" max="13" width="27.42578125" customWidth="1"/>
    <col min="14" max="14" width="15.5703125" customWidth="1"/>
    <col min="15" max="15" width="32.140625" customWidth="1"/>
    <col min="16" max="16" width="7.5703125" customWidth="1"/>
    <col min="17" max="17" width="9.42578125" customWidth="1"/>
    <col min="18" max="18" width="10" customWidth="1"/>
    <col min="19" max="19" width="11" customWidth="1"/>
    <col min="20" max="20" width="7.5703125" customWidth="1"/>
    <col min="21" max="21" width="9.28515625" customWidth="1"/>
    <col min="22" max="23" width="8.5703125" customWidth="1"/>
    <col min="24" max="24" width="9.42578125" customWidth="1"/>
    <col min="25" max="25" width="14.28515625" customWidth="1"/>
    <col min="26" max="26" width="13.85546875" customWidth="1"/>
    <col min="27" max="27" width="11" customWidth="1"/>
    <col min="28" max="28" width="7.42578125" customWidth="1"/>
    <col min="29" max="29" width="12.5703125" customWidth="1"/>
    <col min="30" max="30" width="8.42578125" customWidth="1"/>
    <col min="31" max="31" width="13.42578125" customWidth="1"/>
    <col min="32" max="32" width="22.5703125" customWidth="1"/>
    <col min="33" max="34" width="16" customWidth="1"/>
    <col min="35" max="35" width="18.5703125" customWidth="1"/>
    <col min="36" max="38" width="13.140625" customWidth="1"/>
    <col min="39" max="40" width="16" customWidth="1"/>
    <col min="41" max="41" width="17.28515625" customWidth="1"/>
    <col min="42" max="42" width="37.42578125" customWidth="1"/>
    <col min="43" max="43" width="45.7109375" customWidth="1"/>
    <col min="44" max="44" width="20.5703125" customWidth="1"/>
    <col min="45" max="45" width="41.28515625" customWidth="1"/>
    <col min="46" max="46" width="98.85546875" customWidth="1"/>
    <col min="47" max="57" width="6.7109375" customWidth="1"/>
  </cols>
  <sheetData>
    <row r="1" spans="1:59" ht="15" customHeight="1" outlineLevel="1" x14ac:dyDescent="0.25">
      <c r="A1" s="1"/>
      <c r="B1" s="1" t="s">
        <v>0</v>
      </c>
      <c r="C1" s="1"/>
      <c r="D1" s="1"/>
      <c r="E1" s="1" t="s">
        <v>1</v>
      </c>
      <c r="F1" s="1"/>
      <c r="G1" s="1"/>
      <c r="H1" s="1"/>
      <c r="I1" s="1"/>
      <c r="J1" s="1"/>
      <c r="K1" s="1"/>
      <c r="L1" s="1"/>
      <c r="M1" s="1"/>
      <c r="N1" s="2"/>
      <c r="O1" s="1"/>
      <c r="P1" s="1"/>
      <c r="Q1" s="1"/>
      <c r="R1" s="1"/>
      <c r="S1" s="1"/>
      <c r="T1" s="1"/>
      <c r="U1" s="1"/>
      <c r="V1" s="1"/>
      <c r="W1" s="1"/>
      <c r="X1" s="1"/>
      <c r="Y1" s="1"/>
      <c r="Z1" s="1"/>
      <c r="AA1" s="1"/>
      <c r="AB1" s="1"/>
      <c r="AC1" s="1"/>
      <c r="AD1" s="1"/>
      <c r="AE1" s="1"/>
      <c r="AF1" s="1"/>
      <c r="AG1" s="1"/>
      <c r="AH1" s="1"/>
      <c r="AI1" s="1"/>
      <c r="AJ1" s="1"/>
      <c r="AK1" s="1"/>
      <c r="AL1" s="1"/>
      <c r="AM1" s="1"/>
      <c r="AN1" s="1"/>
      <c r="AO1" s="3"/>
      <c r="AP1" s="4"/>
      <c r="AQ1" s="5"/>
      <c r="AR1" s="4"/>
      <c r="AS1" s="5"/>
      <c r="AT1" s="1"/>
      <c r="AU1" s="1"/>
      <c r="AV1" s="1"/>
      <c r="AW1" s="1"/>
      <c r="AX1" s="1"/>
      <c r="AY1" s="1"/>
      <c r="AZ1" s="1"/>
      <c r="BA1" s="1"/>
      <c r="BB1" s="1"/>
      <c r="BC1" s="1"/>
      <c r="BD1" s="1"/>
      <c r="BE1" s="1"/>
      <c r="BF1" s="1"/>
      <c r="BG1" s="1"/>
    </row>
    <row r="2" spans="1:59" ht="15" customHeight="1" outlineLevel="1" x14ac:dyDescent="0.25">
      <c r="A2" s="1"/>
      <c r="B2" s="6"/>
      <c r="C2" s="1" t="s">
        <v>2</v>
      </c>
      <c r="D2" s="1"/>
      <c r="E2" s="1"/>
      <c r="F2" s="1"/>
      <c r="G2" s="1"/>
      <c r="H2" s="1"/>
      <c r="I2" s="1"/>
      <c r="J2" s="1"/>
      <c r="K2" s="1"/>
      <c r="L2" s="1"/>
      <c r="M2" s="1"/>
      <c r="N2" s="2"/>
      <c r="O2" s="1"/>
      <c r="P2" s="1"/>
      <c r="Q2" s="1"/>
      <c r="R2" s="1"/>
      <c r="S2" s="1"/>
      <c r="T2" s="1"/>
      <c r="U2" s="1"/>
      <c r="V2" s="1"/>
      <c r="W2" s="1"/>
      <c r="X2" s="1"/>
      <c r="Y2" s="1"/>
      <c r="Z2" s="1"/>
      <c r="AA2" s="1"/>
      <c r="AB2" s="1"/>
      <c r="AC2" s="1"/>
      <c r="AD2" s="1"/>
      <c r="AE2" s="1"/>
      <c r="AF2" s="1"/>
      <c r="AG2" s="1"/>
      <c r="AH2" s="1"/>
      <c r="AI2" s="1"/>
      <c r="AJ2" s="1"/>
      <c r="AK2" s="1"/>
      <c r="AL2" s="1"/>
      <c r="AM2" s="1"/>
      <c r="AN2" s="1"/>
      <c r="AO2" s="3"/>
      <c r="AP2" s="4"/>
      <c r="AQ2" s="5"/>
      <c r="AR2" s="4"/>
      <c r="AS2" s="5"/>
      <c r="AT2" s="1"/>
      <c r="AU2" s="1"/>
      <c r="AV2" s="1"/>
      <c r="AW2" s="1"/>
      <c r="AX2" s="1"/>
      <c r="AY2" s="1"/>
      <c r="AZ2" s="1"/>
      <c r="BA2" s="1"/>
      <c r="BB2" s="1"/>
      <c r="BC2" s="1"/>
      <c r="BD2" s="1"/>
      <c r="BE2" s="1"/>
      <c r="BF2" s="1"/>
      <c r="BG2" s="1"/>
    </row>
    <row r="3" spans="1:59" ht="15" customHeight="1" outlineLevel="1" x14ac:dyDescent="0.25">
      <c r="A3" s="1"/>
      <c r="B3" s="7"/>
      <c r="C3" s="1" t="s">
        <v>3</v>
      </c>
      <c r="D3" s="1"/>
      <c r="E3" s="1"/>
      <c r="F3" s="1"/>
      <c r="G3" s="1"/>
      <c r="H3" s="1"/>
      <c r="I3" s="1"/>
      <c r="J3" s="1"/>
      <c r="K3" s="1"/>
      <c r="L3" s="1"/>
      <c r="M3" s="1"/>
      <c r="N3" s="2"/>
      <c r="O3" s="1"/>
      <c r="P3" s="1"/>
      <c r="Q3" s="1"/>
      <c r="R3" s="1"/>
      <c r="S3" s="1"/>
      <c r="T3" s="1"/>
      <c r="U3" s="1"/>
      <c r="V3" s="1"/>
      <c r="W3" s="1"/>
      <c r="X3" s="1"/>
      <c r="Y3" s="1"/>
      <c r="Z3" s="1"/>
      <c r="AA3" s="1"/>
      <c r="AB3" s="1"/>
      <c r="AC3" s="1"/>
      <c r="AD3" s="1"/>
      <c r="AE3" s="1"/>
      <c r="AF3" s="1"/>
      <c r="AG3" s="1"/>
      <c r="AH3" s="1"/>
      <c r="AI3" s="1"/>
      <c r="AJ3" s="1"/>
      <c r="AK3" s="1"/>
      <c r="AL3" s="1"/>
      <c r="AM3" s="1"/>
      <c r="AN3" s="1"/>
      <c r="AO3" s="3"/>
      <c r="AP3" s="4"/>
      <c r="AQ3" s="5"/>
      <c r="AR3" s="4"/>
      <c r="AS3" s="5"/>
      <c r="AT3" s="1"/>
      <c r="AU3" s="1"/>
      <c r="AV3" s="1"/>
      <c r="AW3" s="1"/>
      <c r="AX3" s="1"/>
      <c r="AY3" s="1"/>
      <c r="AZ3" s="1"/>
      <c r="BA3" s="1"/>
      <c r="BB3" s="1"/>
      <c r="BC3" s="1"/>
      <c r="BD3" s="1"/>
      <c r="BE3" s="1"/>
      <c r="BF3" s="1"/>
      <c r="BG3" s="1"/>
    </row>
    <row r="4" spans="1:59" ht="15" customHeight="1" outlineLevel="1" x14ac:dyDescent="0.25">
      <c r="A4" s="1"/>
      <c r="B4" s="8"/>
      <c r="C4" s="1" t="s">
        <v>4</v>
      </c>
      <c r="D4" s="1"/>
      <c r="E4" s="1"/>
      <c r="F4" s="1"/>
      <c r="G4" s="1"/>
      <c r="H4" s="1"/>
      <c r="I4" s="1"/>
      <c r="J4" s="1"/>
      <c r="K4" s="1"/>
      <c r="L4" s="1"/>
      <c r="M4" s="1"/>
      <c r="N4" s="2"/>
      <c r="O4" s="1"/>
      <c r="P4" s="1"/>
      <c r="Q4" s="1"/>
      <c r="R4" s="1"/>
      <c r="S4" s="1"/>
      <c r="T4" s="1"/>
      <c r="U4" s="1"/>
      <c r="V4" s="1"/>
      <c r="W4" s="1"/>
      <c r="X4" s="1"/>
      <c r="Y4" s="1"/>
      <c r="Z4" s="1"/>
      <c r="AA4" s="1"/>
      <c r="AB4" s="1"/>
      <c r="AC4" s="1"/>
      <c r="AD4" s="1"/>
      <c r="AE4" s="1"/>
      <c r="AF4" s="1"/>
      <c r="AG4" s="1"/>
      <c r="AH4" s="1"/>
      <c r="AI4" s="1"/>
      <c r="AJ4" s="1"/>
      <c r="AK4" s="1"/>
      <c r="AL4" s="1"/>
      <c r="AM4" s="1"/>
      <c r="AN4" s="1"/>
      <c r="AO4" s="3"/>
      <c r="AP4" s="4"/>
      <c r="AQ4" s="5"/>
      <c r="AR4" s="4"/>
      <c r="AS4" s="5"/>
      <c r="AT4" s="1"/>
      <c r="AU4" s="1"/>
      <c r="AV4" s="1"/>
      <c r="AW4" s="1"/>
      <c r="AX4" s="1"/>
      <c r="AY4" s="1"/>
      <c r="AZ4" s="1"/>
      <c r="BA4" s="1"/>
      <c r="BB4" s="1"/>
      <c r="BC4" s="1"/>
      <c r="BD4" s="1"/>
      <c r="BE4" s="1"/>
      <c r="BF4" s="1"/>
      <c r="BG4" s="1"/>
    </row>
    <row r="5" spans="1:59" ht="32.25" customHeight="1" outlineLevel="1" x14ac:dyDescent="0.25">
      <c r="A5" s="1"/>
      <c r="B5" s="9"/>
      <c r="C5" s="10" t="s">
        <v>5</v>
      </c>
      <c r="D5" s="1"/>
      <c r="E5" s="1"/>
      <c r="F5" s="1"/>
      <c r="G5" s="1"/>
      <c r="H5" s="1"/>
      <c r="I5" s="1"/>
      <c r="J5" s="1"/>
      <c r="K5" s="1"/>
      <c r="L5" s="1"/>
      <c r="M5" s="1"/>
      <c r="N5" s="2"/>
      <c r="O5" s="1"/>
      <c r="P5" s="1"/>
      <c r="Q5" s="1"/>
      <c r="R5" s="1"/>
      <c r="S5" s="1"/>
      <c r="T5" s="1"/>
      <c r="U5" s="1"/>
      <c r="V5" s="1"/>
      <c r="W5" s="1"/>
      <c r="X5" s="1"/>
      <c r="Y5" s="1"/>
      <c r="Z5" s="1"/>
      <c r="AA5" s="1"/>
      <c r="AB5" s="1"/>
      <c r="AC5" s="1"/>
      <c r="AD5" s="1"/>
      <c r="AE5" s="1"/>
      <c r="AF5" s="1"/>
      <c r="AG5" s="1"/>
      <c r="AH5" s="1"/>
      <c r="AI5" s="1"/>
      <c r="AJ5" s="1"/>
      <c r="AK5" s="1"/>
      <c r="AL5" s="1"/>
      <c r="AM5" s="1"/>
      <c r="AN5" s="1"/>
      <c r="AO5" s="3"/>
      <c r="AP5" s="4"/>
      <c r="AQ5" s="5"/>
      <c r="AR5" s="4"/>
      <c r="AS5" s="5"/>
      <c r="AT5" s="1"/>
      <c r="AU5" s="1"/>
      <c r="AV5" s="1"/>
      <c r="AW5" s="1"/>
      <c r="AX5" s="1"/>
      <c r="AY5" s="1"/>
      <c r="AZ5" s="1"/>
      <c r="BA5" s="1"/>
      <c r="BB5" s="1"/>
      <c r="BC5" s="1"/>
      <c r="BD5" s="1"/>
      <c r="BE5" s="1"/>
      <c r="BF5" s="1"/>
      <c r="BG5" s="1"/>
    </row>
    <row r="6" spans="1:59" ht="15" customHeight="1" outlineLevel="1" x14ac:dyDescent="0.25">
      <c r="A6" s="1"/>
      <c r="B6" s="1"/>
      <c r="C6" s="11"/>
      <c r="D6" s="1"/>
      <c r="E6" s="1"/>
      <c r="F6" s="1"/>
      <c r="G6" s="1"/>
      <c r="H6" s="1"/>
      <c r="I6" s="1"/>
      <c r="J6" s="1"/>
      <c r="K6" s="1"/>
      <c r="L6" s="1"/>
      <c r="M6" s="1"/>
      <c r="N6" s="2"/>
      <c r="O6" s="1"/>
      <c r="P6" s="1"/>
      <c r="Q6" s="1"/>
      <c r="R6" s="1"/>
      <c r="S6" s="1"/>
      <c r="T6" s="1"/>
      <c r="U6" s="1"/>
      <c r="V6" s="1"/>
      <c r="W6" s="1"/>
      <c r="X6" s="1"/>
      <c r="Y6" s="1"/>
      <c r="Z6" s="1"/>
      <c r="AA6" s="1"/>
      <c r="AB6" s="1"/>
      <c r="AC6" s="1" t="s">
        <v>6</v>
      </c>
      <c r="AD6" s="1" t="s">
        <v>6</v>
      </c>
      <c r="AE6" s="1"/>
      <c r="AF6" s="1"/>
      <c r="AG6" s="1"/>
      <c r="AH6" s="1"/>
      <c r="AI6" s="1"/>
      <c r="AJ6" s="1"/>
      <c r="AK6" s="1"/>
      <c r="AL6" s="1"/>
      <c r="AM6" s="1"/>
      <c r="AN6" s="1"/>
      <c r="AO6" s="3"/>
      <c r="AP6" s="4"/>
      <c r="AQ6" s="5"/>
      <c r="AR6" s="4"/>
      <c r="AS6" s="5"/>
      <c r="AT6" s="1"/>
      <c r="AU6" s="1"/>
      <c r="AV6" s="1"/>
      <c r="AW6" s="1"/>
      <c r="AX6" s="1"/>
      <c r="AY6" s="1"/>
      <c r="AZ6" s="1"/>
      <c r="BA6" s="1"/>
      <c r="BB6" s="1"/>
      <c r="BC6" s="1"/>
      <c r="BD6" s="1"/>
      <c r="BE6" s="1"/>
      <c r="BF6" s="1"/>
      <c r="BG6" s="1"/>
    </row>
    <row r="7" spans="1:59" ht="12.75" customHeight="1" x14ac:dyDescent="0.25">
      <c r="A7" s="12"/>
      <c r="B7" s="13" t="s">
        <v>7</v>
      </c>
      <c r="C7" s="12"/>
      <c r="D7" s="14" t="s">
        <v>8</v>
      </c>
      <c r="E7" s="14" t="s">
        <v>9</v>
      </c>
      <c r="F7" s="14" t="s">
        <v>10</v>
      </c>
      <c r="G7" s="12"/>
      <c r="H7" s="12"/>
      <c r="I7" s="12"/>
      <c r="J7" s="14"/>
      <c r="K7" s="14" t="s">
        <v>11</v>
      </c>
      <c r="L7" s="14" t="s">
        <v>12</v>
      </c>
      <c r="M7" s="14" t="s">
        <v>13</v>
      </c>
      <c r="N7" s="14"/>
      <c r="O7" s="14" t="s">
        <v>14</v>
      </c>
      <c r="P7" s="14" t="s">
        <v>15</v>
      </c>
      <c r="Q7" s="14" t="s">
        <v>16</v>
      </c>
      <c r="R7" s="14" t="s">
        <v>17</v>
      </c>
      <c r="S7" s="14" t="s">
        <v>18</v>
      </c>
      <c r="T7" s="14" t="s">
        <v>19</v>
      </c>
      <c r="U7" s="14" t="s">
        <v>20</v>
      </c>
      <c r="V7" s="14" t="s">
        <v>21</v>
      </c>
      <c r="W7" s="14" t="s">
        <v>22</v>
      </c>
      <c r="X7" s="14" t="s">
        <v>23</v>
      </c>
      <c r="Y7" s="14" t="s">
        <v>24</v>
      </c>
      <c r="Z7" s="14" t="s">
        <v>25</v>
      </c>
      <c r="AA7" s="14" t="s">
        <v>26</v>
      </c>
      <c r="AB7" s="14" t="s">
        <v>27</v>
      </c>
      <c r="AC7" s="14" t="s">
        <v>28</v>
      </c>
      <c r="AD7" s="14"/>
      <c r="AE7" s="14" t="s">
        <v>29</v>
      </c>
      <c r="AF7" s="14" t="s">
        <v>30</v>
      </c>
      <c r="AG7" s="14" t="s">
        <v>31</v>
      </c>
      <c r="AH7" s="14" t="s">
        <v>32</v>
      </c>
      <c r="AI7" s="14" t="s">
        <v>33</v>
      </c>
      <c r="AJ7" s="14" t="s">
        <v>34</v>
      </c>
      <c r="AK7" s="14" t="s">
        <v>35</v>
      </c>
      <c r="AL7" s="14"/>
      <c r="AM7" s="14" t="s">
        <v>36</v>
      </c>
      <c r="AN7" s="14"/>
      <c r="AO7" s="14" t="s">
        <v>37</v>
      </c>
      <c r="AP7" s="14" t="s">
        <v>38</v>
      </c>
      <c r="AQ7" s="14" t="s">
        <v>39</v>
      </c>
      <c r="AR7" s="14" t="s">
        <v>40</v>
      </c>
      <c r="AS7" s="14" t="s">
        <v>41</v>
      </c>
      <c r="AT7" s="12"/>
      <c r="AU7" s="12"/>
      <c r="AV7" s="12"/>
      <c r="AW7" s="12"/>
      <c r="AX7" s="12"/>
      <c r="AY7" s="12"/>
      <c r="AZ7" s="12"/>
      <c r="BA7" s="12"/>
      <c r="BB7" s="12"/>
      <c r="BC7" s="12"/>
      <c r="BD7" s="12"/>
      <c r="BE7" s="12"/>
      <c r="BF7" s="12"/>
      <c r="BG7" s="12"/>
    </row>
    <row r="8" spans="1:59" ht="51" customHeight="1" x14ac:dyDescent="0.25">
      <c r="A8" s="15" t="s">
        <v>42</v>
      </c>
      <c r="B8" s="15"/>
      <c r="C8" s="15" t="s">
        <v>43</v>
      </c>
      <c r="D8" s="16" t="s">
        <v>44</v>
      </c>
      <c r="E8" s="15" t="s">
        <v>45</v>
      </c>
      <c r="F8" s="15" t="s">
        <v>46</v>
      </c>
      <c r="G8" s="15" t="s">
        <v>47</v>
      </c>
      <c r="H8" s="15" t="s">
        <v>48</v>
      </c>
      <c r="I8" s="15" t="s">
        <v>49</v>
      </c>
      <c r="J8" s="15" t="s">
        <v>50</v>
      </c>
      <c r="K8" s="15" t="s">
        <v>51</v>
      </c>
      <c r="L8" s="15" t="s">
        <v>52</v>
      </c>
      <c r="M8" s="15" t="s">
        <v>53</v>
      </c>
      <c r="N8" s="17" t="s">
        <v>54</v>
      </c>
      <c r="O8" s="15" t="s">
        <v>55</v>
      </c>
      <c r="P8" s="15" t="s">
        <v>56</v>
      </c>
      <c r="Q8" s="15" t="s">
        <v>57</v>
      </c>
      <c r="R8" s="15" t="s">
        <v>58</v>
      </c>
      <c r="S8" s="15" t="s">
        <v>59</v>
      </c>
      <c r="T8" s="15" t="s">
        <v>60</v>
      </c>
      <c r="U8" s="15" t="s">
        <v>61</v>
      </c>
      <c r="V8" s="15" t="s">
        <v>62</v>
      </c>
      <c r="W8" s="15" t="s">
        <v>63</v>
      </c>
      <c r="X8" s="15" t="s">
        <v>64</v>
      </c>
      <c r="Y8" s="15" t="s">
        <v>65</v>
      </c>
      <c r="Z8" s="15" t="s">
        <v>66</v>
      </c>
      <c r="AA8" s="15" t="s">
        <v>67</v>
      </c>
      <c r="AB8" s="15" t="s">
        <v>27</v>
      </c>
      <c r="AC8" s="15" t="s">
        <v>68</v>
      </c>
      <c r="AD8" s="15" t="s">
        <v>69</v>
      </c>
      <c r="AE8" s="15" t="s">
        <v>70</v>
      </c>
      <c r="AF8" s="17" t="s">
        <v>71</v>
      </c>
      <c r="AG8" s="17" t="s">
        <v>72</v>
      </c>
      <c r="AH8" s="17" t="s">
        <v>73</v>
      </c>
      <c r="AI8" s="17" t="s">
        <v>74</v>
      </c>
      <c r="AJ8" s="15" t="s">
        <v>75</v>
      </c>
      <c r="AK8" s="15" t="s">
        <v>76</v>
      </c>
      <c r="AL8" s="15" t="s">
        <v>77</v>
      </c>
      <c r="AM8" s="15" t="s">
        <v>78</v>
      </c>
      <c r="AN8" s="15" t="s">
        <v>79</v>
      </c>
      <c r="AO8" s="18" t="s">
        <v>80</v>
      </c>
      <c r="AP8" s="17" t="s">
        <v>2971</v>
      </c>
      <c r="AQ8" s="17" t="s">
        <v>82</v>
      </c>
      <c r="AR8" s="17" t="s">
        <v>83</v>
      </c>
      <c r="AS8" s="16" t="s">
        <v>84</v>
      </c>
      <c r="AT8" s="15" t="s">
        <v>85</v>
      </c>
      <c r="AU8" s="15"/>
      <c r="AV8" s="15"/>
      <c r="AW8" s="15"/>
      <c r="AX8" s="15"/>
      <c r="AY8" s="15"/>
      <c r="AZ8" s="15"/>
      <c r="BA8" s="15"/>
      <c r="BB8" s="15"/>
      <c r="BC8" s="15"/>
      <c r="BD8" s="15"/>
      <c r="BE8" s="15"/>
      <c r="BF8" s="1"/>
      <c r="BG8" s="1"/>
    </row>
    <row r="9" spans="1:59" ht="14.25" customHeight="1" outlineLevel="1" x14ac:dyDescent="0.25">
      <c r="A9" s="1"/>
      <c r="B9" s="19"/>
      <c r="C9" s="20" t="s">
        <v>86</v>
      </c>
      <c r="D9" s="21"/>
      <c r="E9" s="21" t="str">
        <f t="shared" ref="E9:E263" si="0">D9&amp;""&amp;$E$1</f>
        <v>001B</v>
      </c>
      <c r="F9" s="21" t="s">
        <v>87</v>
      </c>
      <c r="G9" s="21" t="s">
        <v>88</v>
      </c>
      <c r="H9" s="21" t="s">
        <v>89</v>
      </c>
      <c r="I9" s="21"/>
      <c r="J9" s="21" t="s">
        <v>90</v>
      </c>
      <c r="K9" s="19" t="s">
        <v>91</v>
      </c>
      <c r="L9" s="21"/>
      <c r="M9" s="21"/>
      <c r="N9" s="22"/>
      <c r="O9" s="21"/>
      <c r="P9" s="21"/>
      <c r="Q9" s="23"/>
      <c r="R9" s="23">
        <f t="shared" ref="R9:R13" si="1">P9+Q9</f>
        <v>0</v>
      </c>
      <c r="S9" s="23"/>
      <c r="T9" s="23"/>
      <c r="U9" s="23">
        <f t="shared" ref="U9:U13" si="2">T9+S9</f>
        <v>0</v>
      </c>
      <c r="V9" s="23"/>
      <c r="W9" s="23"/>
      <c r="X9" s="23"/>
      <c r="Y9" s="21"/>
      <c r="Z9" s="21"/>
      <c r="AA9" s="23"/>
      <c r="AB9" s="21"/>
      <c r="AC9" s="21" t="str">
        <f t="shared" ref="AC9:AC263" si="3">IF(O9="di testa rete",IF(V9&gt;W9,"SI","NO"),IF(V9&gt;20,IF(V9&gt;(W9+0.001),"SI","NO"),IF(V9&lt;(W9+0.001),"NO",IF(O9="in testa impianto sollevamento","SI",IF(O9="in testa impianto di depurazione",IF(K9="Ponti sul Mincio (Capoluogo)","NO","SI"),"NO")))))</f>
        <v>NO</v>
      </c>
      <c r="AD9" s="21"/>
      <c r="AE9" s="21"/>
      <c r="AF9" s="21"/>
      <c r="AG9" s="21"/>
      <c r="AH9" s="21"/>
      <c r="AI9" s="21" t="str">
        <f t="shared" ref="AI9:AI13" si="4">IF(AG9&gt;AH9, "Manufatto limitante", " ")</f>
        <v xml:space="preserve"> </v>
      </c>
      <c r="AJ9" s="24"/>
      <c r="AK9" s="24" t="e">
        <f t="shared" ref="AK9:AK13" si="5">((MIN(AG9:AH9))-V9)/AJ9</f>
        <v>#DIV/0!</v>
      </c>
      <c r="AL9" s="24">
        <f t="shared" ref="AL9:AL13" si="6">MIN(AG9:AH9)-V9</f>
        <v>0</v>
      </c>
      <c r="AM9" s="21"/>
      <c r="AN9" s="21"/>
      <c r="AO9" s="25" t="s">
        <v>92</v>
      </c>
      <c r="AP9" s="26" t="s">
        <v>92</v>
      </c>
      <c r="AQ9" s="26" t="s">
        <v>92</v>
      </c>
      <c r="AR9" s="26" t="s">
        <v>92</v>
      </c>
      <c r="AS9" s="27" t="s">
        <v>92</v>
      </c>
      <c r="AT9" s="21" t="s">
        <v>92</v>
      </c>
      <c r="AU9" s="21"/>
      <c r="AV9" s="21"/>
      <c r="AW9" s="21"/>
      <c r="AX9" s="21"/>
      <c r="AY9" s="21"/>
      <c r="AZ9" s="21"/>
      <c r="BA9" s="21"/>
      <c r="BB9" s="21"/>
      <c r="BC9" s="21"/>
      <c r="BD9" s="21"/>
      <c r="BE9" s="21"/>
      <c r="BF9" s="1"/>
      <c r="BG9" s="1"/>
    </row>
    <row r="10" spans="1:59" ht="14.25" customHeight="1" outlineLevel="1" x14ac:dyDescent="0.25">
      <c r="A10" s="1"/>
      <c r="B10" s="19"/>
      <c r="C10" s="20" t="s">
        <v>93</v>
      </c>
      <c r="D10" s="21"/>
      <c r="E10" s="21" t="str">
        <f t="shared" si="0"/>
        <v>001B</v>
      </c>
      <c r="F10" s="21" t="s">
        <v>94</v>
      </c>
      <c r="G10" s="21" t="s">
        <v>88</v>
      </c>
      <c r="H10" s="21" t="s">
        <v>95</v>
      </c>
      <c r="I10" s="21" t="s">
        <v>96</v>
      </c>
      <c r="J10" s="21" t="s">
        <v>97</v>
      </c>
      <c r="K10" s="21" t="s">
        <v>98</v>
      </c>
      <c r="L10" s="21"/>
      <c r="M10" s="21"/>
      <c r="N10" s="22"/>
      <c r="O10" s="21"/>
      <c r="P10" s="21"/>
      <c r="Q10" s="23"/>
      <c r="R10" s="23">
        <f t="shared" si="1"/>
        <v>0</v>
      </c>
      <c r="S10" s="23"/>
      <c r="T10" s="23"/>
      <c r="U10" s="23">
        <f t="shared" si="2"/>
        <v>0</v>
      </c>
      <c r="V10" s="23"/>
      <c r="W10" s="23"/>
      <c r="X10" s="23"/>
      <c r="Y10" s="21"/>
      <c r="Z10" s="21"/>
      <c r="AA10" s="23"/>
      <c r="AB10" s="21"/>
      <c r="AC10" s="21" t="str">
        <f t="shared" si="3"/>
        <v>NO</v>
      </c>
      <c r="AD10" s="21"/>
      <c r="AE10" s="21"/>
      <c r="AF10" s="21"/>
      <c r="AG10" s="21"/>
      <c r="AH10" s="21"/>
      <c r="AI10" s="21" t="str">
        <f t="shared" si="4"/>
        <v xml:space="preserve"> </v>
      </c>
      <c r="AJ10" s="24"/>
      <c r="AK10" s="24" t="e">
        <f t="shared" si="5"/>
        <v>#DIV/0!</v>
      </c>
      <c r="AL10" s="24">
        <f t="shared" si="6"/>
        <v>0</v>
      </c>
      <c r="AM10" s="21"/>
      <c r="AN10" s="21"/>
      <c r="AO10" s="28" t="s">
        <v>92</v>
      </c>
      <c r="AP10" s="26" t="s">
        <v>92</v>
      </c>
      <c r="AQ10" s="29" t="s">
        <v>92</v>
      </c>
      <c r="AR10" s="26" t="s">
        <v>92</v>
      </c>
      <c r="AS10" s="29" t="s">
        <v>92</v>
      </c>
      <c r="AT10" s="21" t="s">
        <v>92</v>
      </c>
      <c r="AU10" s="21"/>
      <c r="AV10" s="21"/>
      <c r="AW10" s="21"/>
      <c r="AX10" s="21"/>
      <c r="AY10" s="21"/>
      <c r="AZ10" s="21"/>
      <c r="BA10" s="21"/>
      <c r="BB10" s="21"/>
      <c r="BC10" s="21"/>
      <c r="BD10" s="21"/>
      <c r="BE10" s="21"/>
      <c r="BF10" s="1"/>
      <c r="BG10" s="1"/>
    </row>
    <row r="11" spans="1:59" ht="14.25" customHeight="1" outlineLevel="1" x14ac:dyDescent="0.25">
      <c r="A11" s="1"/>
      <c r="B11" s="19" t="s">
        <v>99</v>
      </c>
      <c r="C11" s="30" t="s">
        <v>100</v>
      </c>
      <c r="D11" s="31"/>
      <c r="E11" s="21" t="str">
        <f t="shared" si="0"/>
        <v>001B</v>
      </c>
      <c r="F11" s="31" t="s">
        <v>101</v>
      </c>
      <c r="G11" s="31" t="s">
        <v>102</v>
      </c>
      <c r="H11" s="31" t="s">
        <v>103</v>
      </c>
      <c r="I11" s="31" t="s">
        <v>104</v>
      </c>
      <c r="J11" s="31" t="s">
        <v>105</v>
      </c>
      <c r="K11" s="31" t="s">
        <v>106</v>
      </c>
      <c r="L11" s="31"/>
      <c r="M11" s="31" t="s">
        <v>92</v>
      </c>
      <c r="N11" s="32"/>
      <c r="O11" s="21"/>
      <c r="P11" s="31"/>
      <c r="Q11" s="33"/>
      <c r="R11" s="34">
        <f t="shared" si="1"/>
        <v>0</v>
      </c>
      <c r="S11" s="34"/>
      <c r="T11" s="34"/>
      <c r="U11" s="34">
        <f t="shared" si="2"/>
        <v>0</v>
      </c>
      <c r="V11" s="34"/>
      <c r="W11" s="34"/>
      <c r="X11" s="34"/>
      <c r="Y11" s="31"/>
      <c r="Z11" s="31"/>
      <c r="AA11" s="34"/>
      <c r="AB11" s="31"/>
      <c r="AC11" s="21" t="str">
        <f t="shared" si="3"/>
        <v>NO</v>
      </c>
      <c r="AD11" s="31"/>
      <c r="AE11" s="31"/>
      <c r="AF11" s="31"/>
      <c r="AG11" s="31"/>
      <c r="AH11" s="31"/>
      <c r="AI11" s="31" t="str">
        <f t="shared" si="4"/>
        <v xml:space="preserve"> </v>
      </c>
      <c r="AJ11" s="33"/>
      <c r="AK11" s="33" t="e">
        <f t="shared" si="5"/>
        <v>#DIV/0!</v>
      </c>
      <c r="AL11" s="24">
        <f t="shared" si="6"/>
        <v>0</v>
      </c>
      <c r="AM11" s="31"/>
      <c r="AN11" s="31"/>
      <c r="AO11" s="35" t="s">
        <v>92</v>
      </c>
      <c r="AP11" s="36" t="s">
        <v>92</v>
      </c>
      <c r="AQ11" s="37" t="s">
        <v>92</v>
      </c>
      <c r="AR11" s="37" t="s">
        <v>92</v>
      </c>
      <c r="AS11" s="29" t="s">
        <v>92</v>
      </c>
      <c r="AT11" s="21" t="s">
        <v>92</v>
      </c>
      <c r="AU11" s="38"/>
      <c r="AV11" s="38"/>
      <c r="AW11" s="38"/>
      <c r="AX11" s="38"/>
      <c r="AY11" s="38"/>
      <c r="AZ11" s="38"/>
      <c r="BA11" s="38"/>
      <c r="BB11" s="38"/>
      <c r="BC11" s="38"/>
      <c r="BD11" s="38"/>
      <c r="BE11" s="38"/>
      <c r="BF11" s="1"/>
      <c r="BG11" s="1"/>
    </row>
    <row r="12" spans="1:59" ht="14.25" customHeight="1" outlineLevel="1" x14ac:dyDescent="0.25">
      <c r="A12" s="1"/>
      <c r="B12" s="19" t="s">
        <v>99</v>
      </c>
      <c r="C12" s="20" t="s">
        <v>107</v>
      </c>
      <c r="D12" s="21"/>
      <c r="E12" s="21" t="str">
        <f t="shared" si="0"/>
        <v>001B</v>
      </c>
      <c r="F12" s="21" t="s">
        <v>108</v>
      </c>
      <c r="G12" s="21" t="s">
        <v>102</v>
      </c>
      <c r="H12" s="21" t="s">
        <v>109</v>
      </c>
      <c r="I12" s="21" t="s">
        <v>110</v>
      </c>
      <c r="J12" s="21" t="s">
        <v>111</v>
      </c>
      <c r="K12" s="21" t="s">
        <v>112</v>
      </c>
      <c r="L12" s="21"/>
      <c r="M12" s="21"/>
      <c r="N12" s="22"/>
      <c r="O12" s="21"/>
      <c r="P12" s="21"/>
      <c r="Q12" s="24"/>
      <c r="R12" s="23">
        <f t="shared" si="1"/>
        <v>0</v>
      </c>
      <c r="S12" s="23"/>
      <c r="T12" s="23"/>
      <c r="U12" s="23">
        <f t="shared" si="2"/>
        <v>0</v>
      </c>
      <c r="V12" s="23"/>
      <c r="W12" s="23"/>
      <c r="X12" s="23"/>
      <c r="Y12" s="21"/>
      <c r="Z12" s="21"/>
      <c r="AA12" s="23"/>
      <c r="AB12" s="21"/>
      <c r="AC12" s="21" t="str">
        <f t="shared" si="3"/>
        <v>NO</v>
      </c>
      <c r="AD12" s="21"/>
      <c r="AE12" s="21"/>
      <c r="AF12" s="21"/>
      <c r="AG12" s="21"/>
      <c r="AH12" s="21"/>
      <c r="AI12" s="21" t="str">
        <f t="shared" si="4"/>
        <v xml:space="preserve"> </v>
      </c>
      <c r="AJ12" s="24"/>
      <c r="AK12" s="24" t="e">
        <f t="shared" si="5"/>
        <v>#DIV/0!</v>
      </c>
      <c r="AL12" s="24">
        <f t="shared" si="6"/>
        <v>0</v>
      </c>
      <c r="AM12" s="21"/>
      <c r="AN12" s="21"/>
      <c r="AO12" s="25"/>
      <c r="AP12" s="29" t="s">
        <v>92</v>
      </c>
      <c r="AQ12" s="26" t="s">
        <v>92</v>
      </c>
      <c r="AR12" s="26" t="s">
        <v>92</v>
      </c>
      <c r="AS12" s="29" t="s">
        <v>92</v>
      </c>
      <c r="AT12" s="21" t="s">
        <v>92</v>
      </c>
      <c r="AU12" s="38"/>
      <c r="AV12" s="38"/>
      <c r="AW12" s="38"/>
      <c r="AX12" s="38"/>
      <c r="AY12" s="38"/>
      <c r="AZ12" s="38"/>
      <c r="BA12" s="38"/>
      <c r="BB12" s="38"/>
      <c r="BC12" s="38"/>
      <c r="BD12" s="38"/>
      <c r="BE12" s="38"/>
      <c r="BF12" s="1"/>
      <c r="BG12" s="1"/>
    </row>
    <row r="13" spans="1:59" ht="14.25" customHeight="1" outlineLevel="1" x14ac:dyDescent="0.25">
      <c r="A13" s="1"/>
      <c r="B13" s="19"/>
      <c r="C13" s="20" t="s">
        <v>113</v>
      </c>
      <c r="D13" s="21"/>
      <c r="E13" s="21" t="str">
        <f t="shared" si="0"/>
        <v>001B</v>
      </c>
      <c r="F13" s="21" t="s">
        <v>114</v>
      </c>
      <c r="G13" s="21" t="s">
        <v>115</v>
      </c>
      <c r="H13" s="21" t="s">
        <v>95</v>
      </c>
      <c r="I13" s="21" t="s">
        <v>110</v>
      </c>
      <c r="J13" s="21" t="s">
        <v>116</v>
      </c>
      <c r="K13" s="21" t="s">
        <v>117</v>
      </c>
      <c r="L13" s="21"/>
      <c r="M13" s="21"/>
      <c r="N13" s="22"/>
      <c r="O13" s="21" t="s">
        <v>118</v>
      </c>
      <c r="P13" s="21"/>
      <c r="Q13" s="24"/>
      <c r="R13" s="23">
        <f t="shared" si="1"/>
        <v>0</v>
      </c>
      <c r="S13" s="23"/>
      <c r="T13" s="23"/>
      <c r="U13" s="23">
        <f t="shared" si="2"/>
        <v>0</v>
      </c>
      <c r="V13" s="23"/>
      <c r="W13" s="23"/>
      <c r="X13" s="23"/>
      <c r="Y13" s="21"/>
      <c r="Z13" s="21"/>
      <c r="AA13" s="23"/>
      <c r="AB13" s="21"/>
      <c r="AC13" s="21" t="str">
        <f t="shared" si="3"/>
        <v>NO</v>
      </c>
      <c r="AD13" s="21"/>
      <c r="AE13" s="21"/>
      <c r="AF13" s="21"/>
      <c r="AG13" s="21"/>
      <c r="AH13" s="21"/>
      <c r="AI13" s="21" t="str">
        <f t="shared" si="4"/>
        <v xml:space="preserve"> </v>
      </c>
      <c r="AJ13" s="24"/>
      <c r="AK13" s="24" t="e">
        <f t="shared" si="5"/>
        <v>#DIV/0!</v>
      </c>
      <c r="AL13" s="24">
        <f t="shared" si="6"/>
        <v>0</v>
      </c>
      <c r="AM13" s="21"/>
      <c r="AN13" s="21"/>
      <c r="AO13" s="39">
        <v>46147</v>
      </c>
      <c r="AP13" s="29" t="s">
        <v>119</v>
      </c>
      <c r="AQ13" s="29" t="s">
        <v>92</v>
      </c>
      <c r="AR13" s="26" t="s">
        <v>92</v>
      </c>
      <c r="AS13" s="29" t="s">
        <v>92</v>
      </c>
      <c r="AT13" s="26"/>
      <c r="AU13" s="38"/>
      <c r="AV13" s="38"/>
      <c r="AW13" s="38"/>
      <c r="AX13" s="38"/>
      <c r="AY13" s="38"/>
      <c r="AZ13" s="38"/>
      <c r="BA13" s="38"/>
      <c r="BB13" s="38"/>
      <c r="BC13" s="38"/>
      <c r="BD13" s="38"/>
      <c r="BE13" s="38"/>
      <c r="BF13" s="1"/>
      <c r="BG13" s="1"/>
    </row>
    <row r="14" spans="1:59" ht="14.25" customHeight="1" outlineLevel="1" x14ac:dyDescent="0.25">
      <c r="A14" s="1"/>
      <c r="B14" s="19"/>
      <c r="C14" s="20" t="s">
        <v>120</v>
      </c>
      <c r="D14" s="21"/>
      <c r="E14" s="21" t="str">
        <f t="shared" si="0"/>
        <v>001B</v>
      </c>
      <c r="F14" s="21" t="s">
        <v>101</v>
      </c>
      <c r="G14" s="21" t="s">
        <v>121</v>
      </c>
      <c r="H14" s="21" t="s">
        <v>95</v>
      </c>
      <c r="I14" s="21" t="s">
        <v>122</v>
      </c>
      <c r="J14" s="21" t="s">
        <v>123</v>
      </c>
      <c r="K14" s="21" t="s">
        <v>121</v>
      </c>
      <c r="L14" s="21" t="s">
        <v>124</v>
      </c>
      <c r="M14" s="21"/>
      <c r="N14" s="22"/>
      <c r="O14" s="21"/>
      <c r="P14" s="21"/>
      <c r="Q14" s="24"/>
      <c r="R14" s="24"/>
      <c r="S14" s="23"/>
      <c r="T14" s="23"/>
      <c r="U14" s="23"/>
      <c r="V14" s="23"/>
      <c r="W14" s="23"/>
      <c r="X14" s="23"/>
      <c r="Y14" s="21"/>
      <c r="Z14" s="21"/>
      <c r="AA14" s="23"/>
      <c r="AB14" s="21"/>
      <c r="AC14" s="21" t="str">
        <f t="shared" si="3"/>
        <v>NO</v>
      </c>
      <c r="AD14" s="21"/>
      <c r="AE14" s="21"/>
      <c r="AF14" s="21"/>
      <c r="AG14" s="21"/>
      <c r="AH14" s="21"/>
      <c r="AI14" s="21"/>
      <c r="AJ14" s="24"/>
      <c r="AK14" s="24"/>
      <c r="AL14" s="24"/>
      <c r="AM14" s="21"/>
      <c r="AN14" s="21"/>
      <c r="AO14" s="25" t="s">
        <v>92</v>
      </c>
      <c r="AP14" s="26" t="s">
        <v>92</v>
      </c>
      <c r="AQ14" s="26" t="s">
        <v>92</v>
      </c>
      <c r="AR14" s="26" t="s">
        <v>92</v>
      </c>
      <c r="AS14" s="29" t="s">
        <v>92</v>
      </c>
      <c r="AT14" s="21" t="s">
        <v>92</v>
      </c>
      <c r="AU14" s="38"/>
      <c r="AV14" s="38"/>
      <c r="AW14" s="38"/>
      <c r="AX14" s="38"/>
      <c r="AY14" s="38"/>
      <c r="AZ14" s="38"/>
      <c r="BA14" s="38"/>
      <c r="BB14" s="38"/>
      <c r="BC14" s="38"/>
      <c r="BD14" s="38"/>
      <c r="BE14" s="38"/>
      <c r="BF14" s="1"/>
      <c r="BG14" s="1"/>
    </row>
    <row r="15" spans="1:59" ht="14.25" customHeight="1" outlineLevel="1" x14ac:dyDescent="0.25">
      <c r="A15" s="1"/>
      <c r="B15" s="19"/>
      <c r="C15" s="20" t="s">
        <v>125</v>
      </c>
      <c r="D15" s="21"/>
      <c r="E15" s="21" t="str">
        <f t="shared" si="0"/>
        <v>001B</v>
      </c>
      <c r="F15" s="21" t="s">
        <v>126</v>
      </c>
      <c r="G15" s="21" t="s">
        <v>127</v>
      </c>
      <c r="H15" s="21" t="s">
        <v>128</v>
      </c>
      <c r="I15" s="21"/>
      <c r="J15" s="21" t="s">
        <v>129</v>
      </c>
      <c r="K15" s="21" t="s">
        <v>127</v>
      </c>
      <c r="L15" s="21"/>
      <c r="M15" s="21"/>
      <c r="N15" s="22"/>
      <c r="O15" s="21"/>
      <c r="P15" s="21"/>
      <c r="Q15" s="24"/>
      <c r="R15" s="24"/>
      <c r="S15" s="23"/>
      <c r="T15" s="23"/>
      <c r="U15" s="23"/>
      <c r="V15" s="23"/>
      <c r="W15" s="23"/>
      <c r="X15" s="23"/>
      <c r="Y15" s="21"/>
      <c r="Z15" s="21"/>
      <c r="AA15" s="40"/>
      <c r="AB15" s="21"/>
      <c r="AC15" s="21" t="str">
        <f t="shared" si="3"/>
        <v>NO</v>
      </c>
      <c r="AD15" s="21"/>
      <c r="AE15" s="21"/>
      <c r="AF15" s="41"/>
      <c r="AG15" s="41"/>
      <c r="AH15" s="41"/>
      <c r="AI15" s="41"/>
      <c r="AJ15" s="24"/>
      <c r="AK15" s="24"/>
      <c r="AL15" s="24"/>
      <c r="AM15" s="21"/>
      <c r="AN15" s="21"/>
      <c r="AO15" s="25" t="s">
        <v>92</v>
      </c>
      <c r="AP15" s="26" t="s">
        <v>92</v>
      </c>
      <c r="AQ15" s="26" t="s">
        <v>92</v>
      </c>
      <c r="AR15" s="26" t="s">
        <v>92</v>
      </c>
      <c r="AS15" s="29" t="s">
        <v>92</v>
      </c>
      <c r="AT15" s="21" t="s">
        <v>92</v>
      </c>
      <c r="AU15" s="38"/>
      <c r="AV15" s="38"/>
      <c r="AW15" s="38"/>
      <c r="AX15" s="38"/>
      <c r="AY15" s="38"/>
      <c r="AZ15" s="38"/>
      <c r="BA15" s="38"/>
      <c r="BB15" s="38"/>
      <c r="BC15" s="38"/>
      <c r="BD15" s="38"/>
      <c r="BE15" s="38"/>
      <c r="BF15" s="1"/>
      <c r="BG15" s="1"/>
    </row>
    <row r="16" spans="1:59" ht="14.25" customHeight="1" outlineLevel="1" x14ac:dyDescent="0.25">
      <c r="A16" s="1"/>
      <c r="B16" s="19"/>
      <c r="C16" s="20" t="s">
        <v>130</v>
      </c>
      <c r="D16" s="21"/>
      <c r="E16" s="21" t="str">
        <f t="shared" si="0"/>
        <v>001B</v>
      </c>
      <c r="F16" s="21" t="s">
        <v>94</v>
      </c>
      <c r="G16" s="21" t="s">
        <v>131</v>
      </c>
      <c r="H16" s="21"/>
      <c r="I16" s="21"/>
      <c r="J16" s="21" t="s">
        <v>132</v>
      </c>
      <c r="K16" s="21" t="s">
        <v>133</v>
      </c>
      <c r="L16" s="21"/>
      <c r="M16" s="21"/>
      <c r="N16" s="22"/>
      <c r="O16" s="21"/>
      <c r="P16" s="21"/>
      <c r="Q16" s="24"/>
      <c r="R16" s="24">
        <f t="shared" ref="R16:R21" si="7">P16+Q16</f>
        <v>0</v>
      </c>
      <c r="S16" s="23"/>
      <c r="T16" s="23"/>
      <c r="U16" s="23"/>
      <c r="V16" s="23"/>
      <c r="W16" s="23"/>
      <c r="X16" s="23"/>
      <c r="Y16" s="21"/>
      <c r="Z16" s="21"/>
      <c r="AA16" s="40"/>
      <c r="AB16" s="21"/>
      <c r="AC16" s="21" t="str">
        <f t="shared" si="3"/>
        <v>NO</v>
      </c>
      <c r="AD16" s="21"/>
      <c r="AE16" s="21"/>
      <c r="AF16" s="21"/>
      <c r="AG16" s="21"/>
      <c r="AH16" s="21"/>
      <c r="AI16" s="21" t="str">
        <f t="shared" ref="AI16:AI24" si="8">IF(AG16&gt;AH16, "Manufatto limitante", " ")</f>
        <v xml:space="preserve"> </v>
      </c>
      <c r="AJ16" s="24"/>
      <c r="AK16" s="24" t="e">
        <f t="shared" ref="AK16:AK24" si="9">((MIN(AG16:AH16))-V16)/AJ16</f>
        <v>#DIV/0!</v>
      </c>
      <c r="AL16" s="24">
        <f t="shared" ref="AL16:AL128" si="10">MIN(AG16:AH16)-V16</f>
        <v>0</v>
      </c>
      <c r="AM16" s="21"/>
      <c r="AN16" s="21"/>
      <c r="AO16" s="25" t="s">
        <v>92</v>
      </c>
      <c r="AP16" s="26" t="s">
        <v>92</v>
      </c>
      <c r="AQ16" s="26" t="s">
        <v>92</v>
      </c>
      <c r="AR16" s="26" t="s">
        <v>92</v>
      </c>
      <c r="AS16" s="29" t="s">
        <v>92</v>
      </c>
      <c r="AT16" s="21" t="s">
        <v>92</v>
      </c>
      <c r="AU16" s="38"/>
      <c r="AV16" s="38"/>
      <c r="AW16" s="38"/>
      <c r="AX16" s="38"/>
      <c r="AY16" s="38"/>
      <c r="AZ16" s="38"/>
      <c r="BA16" s="38"/>
      <c r="BB16" s="38"/>
      <c r="BC16" s="38"/>
      <c r="BD16" s="38"/>
      <c r="BE16" s="38"/>
      <c r="BF16" s="1"/>
      <c r="BG16" s="1"/>
    </row>
    <row r="17" spans="1:59" ht="14.25" customHeight="1" outlineLevel="1" x14ac:dyDescent="0.25">
      <c r="A17" s="1"/>
      <c r="B17" s="19"/>
      <c r="C17" s="20" t="s">
        <v>134</v>
      </c>
      <c r="D17" s="21"/>
      <c r="E17" s="21" t="str">
        <f t="shared" si="0"/>
        <v>001B</v>
      </c>
      <c r="F17" s="21" t="s">
        <v>94</v>
      </c>
      <c r="G17" s="21" t="s">
        <v>135</v>
      </c>
      <c r="H17" s="21"/>
      <c r="I17" s="21"/>
      <c r="J17" s="21" t="s">
        <v>136</v>
      </c>
      <c r="K17" s="21" t="s">
        <v>135</v>
      </c>
      <c r="L17" s="21"/>
      <c r="M17" s="21"/>
      <c r="N17" s="22"/>
      <c r="O17" s="21"/>
      <c r="P17" s="21"/>
      <c r="Q17" s="24"/>
      <c r="R17" s="24">
        <f t="shared" si="7"/>
        <v>0</v>
      </c>
      <c r="S17" s="23"/>
      <c r="T17" s="23"/>
      <c r="U17" s="23"/>
      <c r="V17" s="23"/>
      <c r="W17" s="23"/>
      <c r="X17" s="23"/>
      <c r="Y17" s="21"/>
      <c r="Z17" s="21"/>
      <c r="AA17" s="40"/>
      <c r="AB17" s="21"/>
      <c r="AC17" s="21" t="str">
        <f t="shared" si="3"/>
        <v>NO</v>
      </c>
      <c r="AD17" s="21"/>
      <c r="AE17" s="21"/>
      <c r="AF17" s="21"/>
      <c r="AG17" s="21"/>
      <c r="AH17" s="21"/>
      <c r="AI17" s="21" t="str">
        <f t="shared" si="8"/>
        <v xml:space="preserve"> </v>
      </c>
      <c r="AJ17" s="24"/>
      <c r="AK17" s="24" t="e">
        <f t="shared" si="9"/>
        <v>#DIV/0!</v>
      </c>
      <c r="AL17" s="24">
        <f t="shared" si="10"/>
        <v>0</v>
      </c>
      <c r="AM17" s="21"/>
      <c r="AN17" s="21"/>
      <c r="AO17" s="25" t="s">
        <v>92</v>
      </c>
      <c r="AP17" s="26" t="s">
        <v>92</v>
      </c>
      <c r="AQ17" s="26" t="s">
        <v>92</v>
      </c>
      <c r="AR17" s="26" t="s">
        <v>92</v>
      </c>
      <c r="AS17" s="29" t="s">
        <v>92</v>
      </c>
      <c r="AT17" s="21" t="s">
        <v>92</v>
      </c>
      <c r="AU17" s="38"/>
      <c r="AV17" s="38"/>
      <c r="AW17" s="38"/>
      <c r="AX17" s="38"/>
      <c r="AY17" s="38"/>
      <c r="AZ17" s="38"/>
      <c r="BA17" s="38"/>
      <c r="BB17" s="38"/>
      <c r="BC17" s="38"/>
      <c r="BD17" s="38"/>
      <c r="BE17" s="38"/>
      <c r="BF17" s="1"/>
      <c r="BG17" s="1"/>
    </row>
    <row r="18" spans="1:59" ht="14.25" customHeight="1" outlineLevel="1" x14ac:dyDescent="0.25">
      <c r="A18" s="1"/>
      <c r="B18" s="19"/>
      <c r="C18" s="20" t="s">
        <v>137</v>
      </c>
      <c r="D18" s="21"/>
      <c r="E18" s="21" t="str">
        <f t="shared" si="0"/>
        <v>001B</v>
      </c>
      <c r="F18" s="21" t="s">
        <v>94</v>
      </c>
      <c r="G18" s="21" t="s">
        <v>135</v>
      </c>
      <c r="H18" s="21"/>
      <c r="I18" s="21"/>
      <c r="J18" s="21" t="s">
        <v>138</v>
      </c>
      <c r="K18" s="21" t="s">
        <v>135</v>
      </c>
      <c r="L18" s="21"/>
      <c r="M18" s="21"/>
      <c r="N18" s="22"/>
      <c r="O18" s="21"/>
      <c r="P18" s="21"/>
      <c r="Q18" s="24"/>
      <c r="R18" s="24">
        <f t="shared" si="7"/>
        <v>0</v>
      </c>
      <c r="S18" s="23"/>
      <c r="T18" s="23"/>
      <c r="U18" s="23">
        <f t="shared" ref="U18:U21" si="11">T18+S18</f>
        <v>0</v>
      </c>
      <c r="V18" s="23"/>
      <c r="W18" s="23"/>
      <c r="X18" s="23"/>
      <c r="Y18" s="21"/>
      <c r="Z18" s="21"/>
      <c r="AA18" s="40"/>
      <c r="AB18" s="21"/>
      <c r="AC18" s="21" t="str">
        <f t="shared" si="3"/>
        <v>NO</v>
      </c>
      <c r="AD18" s="21"/>
      <c r="AE18" s="21"/>
      <c r="AF18" s="21"/>
      <c r="AG18" s="21"/>
      <c r="AH18" s="21"/>
      <c r="AI18" s="21" t="str">
        <f t="shared" si="8"/>
        <v xml:space="preserve"> </v>
      </c>
      <c r="AJ18" s="24"/>
      <c r="AK18" s="24" t="e">
        <f t="shared" si="9"/>
        <v>#DIV/0!</v>
      </c>
      <c r="AL18" s="24">
        <f t="shared" si="10"/>
        <v>0</v>
      </c>
      <c r="AM18" s="21"/>
      <c r="AN18" s="21"/>
      <c r="AO18" s="25" t="s">
        <v>92</v>
      </c>
      <c r="AP18" s="26" t="s">
        <v>92</v>
      </c>
      <c r="AQ18" s="26" t="s">
        <v>92</v>
      </c>
      <c r="AR18" s="26" t="s">
        <v>92</v>
      </c>
      <c r="AS18" s="29" t="s">
        <v>92</v>
      </c>
      <c r="AT18" s="21" t="s">
        <v>92</v>
      </c>
      <c r="AU18" s="38"/>
      <c r="AV18" s="38"/>
      <c r="AW18" s="38"/>
      <c r="AX18" s="38"/>
      <c r="AY18" s="38"/>
      <c r="AZ18" s="38"/>
      <c r="BA18" s="38"/>
      <c r="BB18" s="38"/>
      <c r="BC18" s="38"/>
      <c r="BD18" s="38"/>
      <c r="BE18" s="38"/>
      <c r="BF18" s="1"/>
      <c r="BG18" s="1"/>
    </row>
    <row r="19" spans="1:59" ht="14.25" customHeight="1" outlineLevel="1" x14ac:dyDescent="0.25">
      <c r="A19" s="1"/>
      <c r="B19" s="19"/>
      <c r="C19" s="20" t="s">
        <v>139</v>
      </c>
      <c r="D19" s="21"/>
      <c r="E19" s="21" t="str">
        <f t="shared" si="0"/>
        <v>001B</v>
      </c>
      <c r="F19" s="21" t="s">
        <v>140</v>
      </c>
      <c r="G19" s="21" t="s">
        <v>141</v>
      </c>
      <c r="H19" s="21" t="s">
        <v>142</v>
      </c>
      <c r="I19" s="21" t="s">
        <v>142</v>
      </c>
      <c r="J19" s="21" t="s">
        <v>143</v>
      </c>
      <c r="K19" s="21" t="s">
        <v>141</v>
      </c>
      <c r="L19" s="21" t="s">
        <v>144</v>
      </c>
      <c r="M19" s="21"/>
      <c r="N19" s="22" t="s">
        <v>145</v>
      </c>
      <c r="O19" s="21"/>
      <c r="P19" s="21"/>
      <c r="Q19" s="24">
        <v>0</v>
      </c>
      <c r="R19" s="24">
        <f t="shared" si="7"/>
        <v>0</v>
      </c>
      <c r="S19" s="23"/>
      <c r="T19" s="23">
        <v>0</v>
      </c>
      <c r="U19" s="23">
        <f t="shared" si="11"/>
        <v>0</v>
      </c>
      <c r="V19" s="23"/>
      <c r="W19" s="23"/>
      <c r="X19" s="23" t="e">
        <f t="shared" ref="X19:X21" si="12">V19/U19</f>
        <v>#DIV/0!</v>
      </c>
      <c r="Y19" s="21" t="str">
        <f t="shared" ref="Y19:Y21" si="13">IF(V19&gt;W19, "è in grado", "non è in grado")</f>
        <v>non è in grado</v>
      </c>
      <c r="Z19" s="21" t="str">
        <f t="shared" ref="Z19:Z21" si="14">IF(R19&gt;10000, "sottende", "non sottende")</f>
        <v>non sottende</v>
      </c>
      <c r="AA19" s="40" t="e">
        <f t="shared" ref="AA19:AA21" si="15">V19/W19</f>
        <v>#DIV/0!</v>
      </c>
      <c r="AB19" s="21" t="e">
        <f t="shared" ref="AB19:AB21" si="16">IF(R19&gt;10000, "B", IF(AA19&gt;=2, "A", "B"))</f>
        <v>#DIV/0!</v>
      </c>
      <c r="AC19" s="21" t="str">
        <f t="shared" si="3"/>
        <v>NO</v>
      </c>
      <c r="AD19" s="21" t="str">
        <f t="shared" ref="AD19:AD21" si="17">IF(V19&gt;20, "Si", "No")</f>
        <v>No</v>
      </c>
      <c r="AE19" s="21" t="s">
        <v>146</v>
      </c>
      <c r="AF19" s="41">
        <v>0.11</v>
      </c>
      <c r="AG19" s="41">
        <v>26</v>
      </c>
      <c r="AH19" s="41">
        <v>703</v>
      </c>
      <c r="AI19" s="41" t="str">
        <f t="shared" si="8"/>
        <v xml:space="preserve"> </v>
      </c>
      <c r="AJ19" s="24">
        <v>0</v>
      </c>
      <c r="AK19" s="24" t="e">
        <f t="shared" si="9"/>
        <v>#DIV/0!</v>
      </c>
      <c r="AL19" s="24">
        <f t="shared" si="10"/>
        <v>26</v>
      </c>
      <c r="AM19" s="21" t="s">
        <v>147</v>
      </c>
      <c r="AN19" s="21"/>
      <c r="AO19" s="28" t="s">
        <v>92</v>
      </c>
      <c r="AP19" s="29" t="s">
        <v>92</v>
      </c>
      <c r="AQ19" s="29" t="s">
        <v>92</v>
      </c>
      <c r="AR19" s="29" t="s">
        <v>92</v>
      </c>
      <c r="AS19" s="29" t="s">
        <v>92</v>
      </c>
      <c r="AT19" s="21" t="s">
        <v>92</v>
      </c>
      <c r="AU19" s="38"/>
      <c r="AV19" s="38"/>
      <c r="AW19" s="38"/>
      <c r="AX19" s="38"/>
      <c r="AY19" s="38"/>
      <c r="AZ19" s="38"/>
      <c r="BA19" s="38"/>
      <c r="BB19" s="38"/>
      <c r="BC19" s="38"/>
      <c r="BD19" s="38"/>
      <c r="BE19" s="38"/>
      <c r="BF19" s="1"/>
      <c r="BG19" s="1"/>
    </row>
    <row r="20" spans="1:59" ht="14.25" customHeight="1" outlineLevel="1" x14ac:dyDescent="0.25">
      <c r="A20" s="1"/>
      <c r="B20" s="19"/>
      <c r="C20" s="20" t="s">
        <v>148</v>
      </c>
      <c r="D20" s="21"/>
      <c r="E20" s="21" t="str">
        <f t="shared" si="0"/>
        <v>001B</v>
      </c>
      <c r="F20" s="21" t="s">
        <v>149</v>
      </c>
      <c r="G20" s="21" t="s">
        <v>141</v>
      </c>
      <c r="H20" s="21" t="s">
        <v>142</v>
      </c>
      <c r="I20" s="21" t="s">
        <v>142</v>
      </c>
      <c r="J20" s="21" t="s">
        <v>150</v>
      </c>
      <c r="K20" s="21" t="s">
        <v>141</v>
      </c>
      <c r="L20" s="21" t="s">
        <v>144</v>
      </c>
      <c r="M20" s="21"/>
      <c r="N20" s="22" t="s">
        <v>145</v>
      </c>
      <c r="O20" s="21" t="s">
        <v>151</v>
      </c>
      <c r="P20" s="21">
        <v>866</v>
      </c>
      <c r="Q20" s="24">
        <v>0</v>
      </c>
      <c r="R20" s="24">
        <f t="shared" si="7"/>
        <v>866</v>
      </c>
      <c r="S20" s="23">
        <v>2.04</v>
      </c>
      <c r="T20" s="23">
        <v>0</v>
      </c>
      <c r="U20" s="23">
        <f t="shared" si="11"/>
        <v>2.04</v>
      </c>
      <c r="V20" s="23">
        <v>22.54</v>
      </c>
      <c r="W20" s="23">
        <v>10.02</v>
      </c>
      <c r="X20" s="23">
        <f t="shared" si="12"/>
        <v>11.049019607843137</v>
      </c>
      <c r="Y20" s="21" t="str">
        <f t="shared" si="13"/>
        <v>è in grado</v>
      </c>
      <c r="Z20" s="21" t="str">
        <f t="shared" si="14"/>
        <v>non sottende</v>
      </c>
      <c r="AA20" s="40">
        <f t="shared" si="15"/>
        <v>2.2495009980039922</v>
      </c>
      <c r="AB20" s="21" t="str">
        <f t="shared" si="16"/>
        <v>A</v>
      </c>
      <c r="AC20" s="21" t="str">
        <f t="shared" si="3"/>
        <v>SI</v>
      </c>
      <c r="AD20" s="21" t="str">
        <f t="shared" si="17"/>
        <v>Si</v>
      </c>
      <c r="AE20" s="21" t="s">
        <v>147</v>
      </c>
      <c r="AF20" s="41">
        <v>7.31</v>
      </c>
      <c r="AG20" s="41">
        <v>854</v>
      </c>
      <c r="AH20" s="41">
        <v>948</v>
      </c>
      <c r="AI20" s="41" t="str">
        <f t="shared" si="8"/>
        <v xml:space="preserve"> </v>
      </c>
      <c r="AJ20" s="24">
        <v>187.58</v>
      </c>
      <c r="AK20" s="24">
        <f t="shared" si="9"/>
        <v>4.4325621068344176</v>
      </c>
      <c r="AL20" s="24">
        <f t="shared" si="10"/>
        <v>831.46</v>
      </c>
      <c r="AM20" s="21" t="s">
        <v>152</v>
      </c>
      <c r="AN20" s="21"/>
      <c r="AO20" s="28" t="s">
        <v>92</v>
      </c>
      <c r="AP20" s="29" t="s">
        <v>92</v>
      </c>
      <c r="AQ20" s="29" t="s">
        <v>92</v>
      </c>
      <c r="AR20" s="29" t="s">
        <v>92</v>
      </c>
      <c r="AS20" s="29" t="s">
        <v>92</v>
      </c>
      <c r="AT20" s="21" t="s">
        <v>92</v>
      </c>
      <c r="AU20" s="38"/>
      <c r="AV20" s="38"/>
      <c r="AW20" s="38"/>
      <c r="AX20" s="38"/>
      <c r="AY20" s="38"/>
      <c r="AZ20" s="38"/>
      <c r="BA20" s="38"/>
      <c r="BB20" s="38"/>
      <c r="BC20" s="38"/>
      <c r="BD20" s="38"/>
      <c r="BE20" s="38"/>
      <c r="BF20" s="1"/>
      <c r="BG20" s="1"/>
    </row>
    <row r="21" spans="1:59" ht="14.25" customHeight="1" outlineLevel="1" x14ac:dyDescent="0.25">
      <c r="A21" s="1"/>
      <c r="B21" s="19"/>
      <c r="C21" s="20" t="s">
        <v>153</v>
      </c>
      <c r="D21" s="21"/>
      <c r="E21" s="21" t="str">
        <f t="shared" si="0"/>
        <v>001B</v>
      </c>
      <c r="F21" s="21" t="s">
        <v>154</v>
      </c>
      <c r="G21" s="21" t="s">
        <v>141</v>
      </c>
      <c r="H21" s="21" t="s">
        <v>155</v>
      </c>
      <c r="I21" s="21" t="s">
        <v>156</v>
      </c>
      <c r="J21" s="21" t="s">
        <v>157</v>
      </c>
      <c r="K21" s="21" t="s">
        <v>141</v>
      </c>
      <c r="L21" s="21" t="s">
        <v>158</v>
      </c>
      <c r="M21" s="21"/>
      <c r="N21" s="22" t="s">
        <v>145</v>
      </c>
      <c r="O21" s="21" t="s">
        <v>159</v>
      </c>
      <c r="P21" s="21">
        <v>519</v>
      </c>
      <c r="Q21" s="24">
        <v>7</v>
      </c>
      <c r="R21" s="24">
        <f t="shared" si="7"/>
        <v>526</v>
      </c>
      <c r="S21" s="23">
        <v>1.22</v>
      </c>
      <c r="T21" s="23">
        <v>0.61</v>
      </c>
      <c r="U21" s="23">
        <f t="shared" si="11"/>
        <v>1.83</v>
      </c>
      <c r="V21" s="23">
        <v>30</v>
      </c>
      <c r="W21" s="23">
        <v>6.09</v>
      </c>
      <c r="X21" s="23">
        <f t="shared" si="12"/>
        <v>16.393442622950818</v>
      </c>
      <c r="Y21" s="21" t="str">
        <f t="shared" si="13"/>
        <v>è in grado</v>
      </c>
      <c r="Z21" s="21" t="str">
        <f t="shared" si="14"/>
        <v>non sottende</v>
      </c>
      <c r="AA21" s="40">
        <f t="shared" si="15"/>
        <v>4.9261083743842367</v>
      </c>
      <c r="AB21" s="21" t="str">
        <f t="shared" si="16"/>
        <v>A</v>
      </c>
      <c r="AC21" s="21" t="str">
        <f t="shared" si="3"/>
        <v>SI</v>
      </c>
      <c r="AD21" s="21" t="str">
        <f t="shared" si="17"/>
        <v>Si</v>
      </c>
      <c r="AE21" s="21" t="s">
        <v>147</v>
      </c>
      <c r="AF21" s="41">
        <v>32.83</v>
      </c>
      <c r="AG21" s="41">
        <v>3816</v>
      </c>
      <c r="AH21" s="41">
        <v>2881</v>
      </c>
      <c r="AI21" s="41" t="str">
        <f t="shared" si="8"/>
        <v>Manufatto limitante</v>
      </c>
      <c r="AJ21" s="24">
        <v>152</v>
      </c>
      <c r="AK21" s="24">
        <f t="shared" si="9"/>
        <v>18.756578947368421</v>
      </c>
      <c r="AL21" s="24">
        <f t="shared" si="10"/>
        <v>2851</v>
      </c>
      <c r="AM21" s="21" t="s">
        <v>152</v>
      </c>
      <c r="AN21" s="21"/>
      <c r="AO21" s="28" t="s">
        <v>92</v>
      </c>
      <c r="AP21" s="29" t="s">
        <v>92</v>
      </c>
      <c r="AQ21" s="29" t="s">
        <v>92</v>
      </c>
      <c r="AR21" s="29" t="s">
        <v>92</v>
      </c>
      <c r="AS21" s="29" t="s">
        <v>92</v>
      </c>
      <c r="AT21" s="21" t="s">
        <v>92</v>
      </c>
      <c r="AU21" s="38"/>
      <c r="AV21" s="38"/>
      <c r="AW21" s="38"/>
      <c r="AX21" s="38"/>
      <c r="AY21" s="38"/>
      <c r="AZ21" s="38"/>
      <c r="BA21" s="38"/>
      <c r="BB21" s="38"/>
      <c r="BC21" s="38"/>
      <c r="BD21" s="38"/>
      <c r="BE21" s="38"/>
      <c r="BF21" s="1"/>
      <c r="BG21" s="1"/>
    </row>
    <row r="22" spans="1:59" ht="14.25" customHeight="1" outlineLevel="1" x14ac:dyDescent="0.25">
      <c r="A22" s="1"/>
      <c r="B22" s="19"/>
      <c r="C22" s="20" t="s">
        <v>160</v>
      </c>
      <c r="D22" s="21"/>
      <c r="E22" s="21" t="str">
        <f t="shared" si="0"/>
        <v>001B</v>
      </c>
      <c r="F22" s="21" t="s">
        <v>2</v>
      </c>
      <c r="G22" s="21" t="s">
        <v>141</v>
      </c>
      <c r="H22" s="21" t="s">
        <v>161</v>
      </c>
      <c r="I22" s="21" t="s">
        <v>162</v>
      </c>
      <c r="J22" s="21" t="s">
        <v>163</v>
      </c>
      <c r="K22" s="21" t="s">
        <v>141</v>
      </c>
      <c r="L22" s="21" t="s">
        <v>164</v>
      </c>
      <c r="M22" s="21"/>
      <c r="N22" s="22" t="s">
        <v>145</v>
      </c>
      <c r="O22" s="21"/>
      <c r="P22" s="21"/>
      <c r="Q22" s="24"/>
      <c r="R22" s="21"/>
      <c r="S22" s="23"/>
      <c r="T22" s="23"/>
      <c r="U22" s="23"/>
      <c r="V22" s="23"/>
      <c r="W22" s="23"/>
      <c r="X22" s="23"/>
      <c r="Y22" s="21"/>
      <c r="Z22" s="21"/>
      <c r="AA22" s="40"/>
      <c r="AB22" s="21"/>
      <c r="AC22" s="21" t="str">
        <f t="shared" si="3"/>
        <v>NO</v>
      </c>
      <c r="AD22" s="21"/>
      <c r="AE22" s="21"/>
      <c r="AF22" s="21"/>
      <c r="AG22" s="21"/>
      <c r="AH22" s="21"/>
      <c r="AI22" s="21" t="str">
        <f t="shared" si="8"/>
        <v xml:space="preserve"> </v>
      </c>
      <c r="AJ22" s="24"/>
      <c r="AK22" s="24" t="e">
        <f t="shared" si="9"/>
        <v>#DIV/0!</v>
      </c>
      <c r="AL22" s="24">
        <f t="shared" si="10"/>
        <v>0</v>
      </c>
      <c r="AM22" s="21"/>
      <c r="AN22" s="21"/>
      <c r="AO22" s="25" t="s">
        <v>92</v>
      </c>
      <c r="AP22" s="29" t="s">
        <v>92</v>
      </c>
      <c r="AQ22" s="29" t="s">
        <v>92</v>
      </c>
      <c r="AR22" s="29" t="s">
        <v>92</v>
      </c>
      <c r="AS22" s="29" t="s">
        <v>92</v>
      </c>
      <c r="AT22" s="21" t="s">
        <v>92</v>
      </c>
      <c r="AU22" s="38"/>
      <c r="AV22" s="38"/>
      <c r="AW22" s="38"/>
      <c r="AX22" s="38"/>
      <c r="AY22" s="38"/>
      <c r="AZ22" s="38"/>
      <c r="BA22" s="38"/>
      <c r="BB22" s="38"/>
      <c r="BC22" s="38"/>
      <c r="BD22" s="38"/>
      <c r="BE22" s="38"/>
      <c r="BF22" s="1"/>
      <c r="BG22" s="1"/>
    </row>
    <row r="23" spans="1:59" ht="14.25" customHeight="1" outlineLevel="1" x14ac:dyDescent="0.25">
      <c r="A23" s="1"/>
      <c r="B23" s="19"/>
      <c r="C23" s="20" t="s">
        <v>165</v>
      </c>
      <c r="D23" s="21"/>
      <c r="E23" s="21" t="str">
        <f t="shared" si="0"/>
        <v>001B</v>
      </c>
      <c r="F23" s="21" t="s">
        <v>166</v>
      </c>
      <c r="G23" s="21" t="s">
        <v>141</v>
      </c>
      <c r="H23" s="21" t="s">
        <v>167</v>
      </c>
      <c r="I23" s="21" t="s">
        <v>168</v>
      </c>
      <c r="J23" s="21" t="s">
        <v>169</v>
      </c>
      <c r="K23" s="21" t="s">
        <v>141</v>
      </c>
      <c r="L23" s="21" t="s">
        <v>170</v>
      </c>
      <c r="M23" s="21"/>
      <c r="N23" s="22"/>
      <c r="O23" s="21" t="s">
        <v>151</v>
      </c>
      <c r="P23" s="21"/>
      <c r="Q23" s="24"/>
      <c r="R23" s="24"/>
      <c r="S23" s="23"/>
      <c r="T23" s="23"/>
      <c r="U23" s="23"/>
      <c r="V23" s="23"/>
      <c r="W23" s="23"/>
      <c r="X23" s="23"/>
      <c r="Y23" s="21"/>
      <c r="Z23" s="21"/>
      <c r="AA23" s="40"/>
      <c r="AB23" s="21"/>
      <c r="AC23" s="21" t="str">
        <f t="shared" si="3"/>
        <v>NO</v>
      </c>
      <c r="AD23" s="21"/>
      <c r="AE23" s="21"/>
      <c r="AF23" s="21"/>
      <c r="AG23" s="21"/>
      <c r="AH23" s="21"/>
      <c r="AI23" s="21" t="str">
        <f t="shared" si="8"/>
        <v xml:space="preserve"> </v>
      </c>
      <c r="AJ23" s="24"/>
      <c r="AK23" s="24" t="e">
        <f t="shared" si="9"/>
        <v>#DIV/0!</v>
      </c>
      <c r="AL23" s="24">
        <f t="shared" si="10"/>
        <v>0</v>
      </c>
      <c r="AM23" s="21"/>
      <c r="AN23" s="21"/>
      <c r="AO23" s="25" t="s">
        <v>92</v>
      </c>
      <c r="AP23" s="29" t="s">
        <v>92</v>
      </c>
      <c r="AQ23" s="29" t="s">
        <v>92</v>
      </c>
      <c r="AR23" s="29" t="s">
        <v>92</v>
      </c>
      <c r="AS23" s="29" t="s">
        <v>92</v>
      </c>
      <c r="AT23" s="21" t="s">
        <v>92</v>
      </c>
      <c r="AU23" s="38"/>
      <c r="AV23" s="38"/>
      <c r="AW23" s="38"/>
      <c r="AX23" s="38"/>
      <c r="AY23" s="38"/>
      <c r="AZ23" s="38"/>
      <c r="BA23" s="38"/>
      <c r="BB23" s="38"/>
      <c r="BC23" s="38"/>
      <c r="BD23" s="38"/>
      <c r="BE23" s="38"/>
      <c r="BF23" s="1"/>
      <c r="BG23" s="1"/>
    </row>
    <row r="24" spans="1:59" ht="14.25" customHeight="1" outlineLevel="1" x14ac:dyDescent="0.25">
      <c r="A24" s="1"/>
      <c r="B24" s="42"/>
      <c r="C24" s="20" t="s">
        <v>171</v>
      </c>
      <c r="D24" s="21"/>
      <c r="E24" s="21" t="str">
        <f t="shared" si="0"/>
        <v>001B</v>
      </c>
      <c r="F24" s="21" t="s">
        <v>172</v>
      </c>
      <c r="G24" s="21" t="s">
        <v>173</v>
      </c>
      <c r="H24" s="21"/>
      <c r="I24" s="21"/>
      <c r="J24" s="21"/>
      <c r="K24" s="21" t="s">
        <v>174</v>
      </c>
      <c r="L24" s="21"/>
      <c r="M24" s="21"/>
      <c r="N24" s="22"/>
      <c r="O24" s="21"/>
      <c r="P24" s="21"/>
      <c r="Q24" s="24"/>
      <c r="R24" s="21"/>
      <c r="S24" s="23"/>
      <c r="T24" s="23"/>
      <c r="U24" s="23">
        <f>T24+S24</f>
        <v>0</v>
      </c>
      <c r="V24" s="23"/>
      <c r="W24" s="23"/>
      <c r="X24" s="23"/>
      <c r="Y24" s="21" t="str">
        <f>IF(V24&gt;W24, "è in grado", "non è in grado")</f>
        <v>non è in grado</v>
      </c>
      <c r="Z24" s="21" t="str">
        <f>IF(R24&gt;10000, "sottende", "non sottende")</f>
        <v>non sottende</v>
      </c>
      <c r="AA24" s="40" t="e">
        <f>V24/W24</f>
        <v>#DIV/0!</v>
      </c>
      <c r="AB24" s="21" t="e">
        <f>IF(R24&gt;10000, "B", IF(AA24&gt;=2, "A", "B"))</f>
        <v>#DIV/0!</v>
      </c>
      <c r="AC24" s="21" t="str">
        <f t="shared" si="3"/>
        <v>NO</v>
      </c>
      <c r="AD24" s="21" t="str">
        <f>IF(V24&gt;20, "Si", "No")</f>
        <v>No</v>
      </c>
      <c r="AE24" s="21"/>
      <c r="AF24" s="21"/>
      <c r="AG24" s="21"/>
      <c r="AH24" s="21"/>
      <c r="AI24" s="21" t="str">
        <f t="shared" si="8"/>
        <v xml:space="preserve"> </v>
      </c>
      <c r="AJ24" s="24"/>
      <c r="AK24" s="24" t="e">
        <f t="shared" si="9"/>
        <v>#DIV/0!</v>
      </c>
      <c r="AL24" s="24">
        <f t="shared" si="10"/>
        <v>0</v>
      </c>
      <c r="AM24" s="21"/>
      <c r="AN24" s="21"/>
      <c r="AO24" s="25" t="s">
        <v>92</v>
      </c>
      <c r="AP24" s="26" t="s">
        <v>92</v>
      </c>
      <c r="AQ24" s="26" t="s">
        <v>92</v>
      </c>
      <c r="AR24" s="26" t="s">
        <v>92</v>
      </c>
      <c r="AS24" s="29" t="s">
        <v>92</v>
      </c>
      <c r="AT24" s="21" t="s">
        <v>92</v>
      </c>
      <c r="AU24" s="38"/>
      <c r="AV24" s="38"/>
      <c r="AW24" s="38"/>
      <c r="AX24" s="38"/>
      <c r="AY24" s="38"/>
      <c r="AZ24" s="38"/>
      <c r="BA24" s="38"/>
      <c r="BB24" s="38"/>
      <c r="BC24" s="38"/>
      <c r="BD24" s="38"/>
      <c r="BE24" s="38"/>
      <c r="BF24" s="1"/>
      <c r="BG24" s="1"/>
    </row>
    <row r="25" spans="1:59" ht="14.25" customHeight="1" outlineLevel="1" x14ac:dyDescent="0.25">
      <c r="A25" s="1"/>
      <c r="B25" s="19"/>
      <c r="C25" s="20" t="s">
        <v>175</v>
      </c>
      <c r="D25" s="21"/>
      <c r="E25" s="21" t="str">
        <f t="shared" si="0"/>
        <v>001B</v>
      </c>
      <c r="F25" s="21" t="s">
        <v>176</v>
      </c>
      <c r="G25" s="21" t="s">
        <v>177</v>
      </c>
      <c r="H25" s="21" t="s">
        <v>178</v>
      </c>
      <c r="I25" s="21" t="s">
        <v>179</v>
      </c>
      <c r="J25" s="21" t="s">
        <v>180</v>
      </c>
      <c r="K25" s="21" t="s">
        <v>178</v>
      </c>
      <c r="L25" s="21"/>
      <c r="M25" s="21"/>
      <c r="N25" s="22"/>
      <c r="O25" s="21"/>
      <c r="P25" s="21"/>
      <c r="Q25" s="24"/>
      <c r="R25" s="24"/>
      <c r="S25" s="23"/>
      <c r="T25" s="23"/>
      <c r="U25" s="23"/>
      <c r="V25" s="23"/>
      <c r="W25" s="23"/>
      <c r="X25" s="23"/>
      <c r="Y25" s="21"/>
      <c r="Z25" s="21"/>
      <c r="AA25" s="40"/>
      <c r="AB25" s="21"/>
      <c r="AC25" s="21" t="str">
        <f t="shared" si="3"/>
        <v>NO</v>
      </c>
      <c r="AD25" s="21"/>
      <c r="AE25" s="21"/>
      <c r="AF25" s="21"/>
      <c r="AG25" s="21"/>
      <c r="AH25" s="21"/>
      <c r="AI25" s="21"/>
      <c r="AJ25" s="24"/>
      <c r="AK25" s="24"/>
      <c r="AL25" s="24">
        <f t="shared" si="10"/>
        <v>0</v>
      </c>
      <c r="AM25" s="21"/>
      <c r="AN25" s="21"/>
      <c r="AO25" s="25" t="s">
        <v>181</v>
      </c>
      <c r="AP25" s="26" t="s">
        <v>182</v>
      </c>
      <c r="AQ25" s="26" t="s">
        <v>92</v>
      </c>
      <c r="AR25" s="26" t="s">
        <v>92</v>
      </c>
      <c r="AS25" s="29" t="s">
        <v>92</v>
      </c>
      <c r="AT25" s="21" t="s">
        <v>92</v>
      </c>
      <c r="AU25" s="43"/>
      <c r="AV25" s="43"/>
      <c r="AW25" s="43"/>
      <c r="AX25" s="43"/>
      <c r="AY25" s="43"/>
      <c r="AZ25" s="43"/>
      <c r="BA25" s="43"/>
      <c r="BB25" s="43"/>
      <c r="BC25" s="43"/>
      <c r="BD25" s="43"/>
      <c r="BE25" s="43"/>
      <c r="BF25" s="1"/>
      <c r="BG25" s="1"/>
    </row>
    <row r="26" spans="1:59" ht="14.25" customHeight="1" outlineLevel="1" x14ac:dyDescent="0.25">
      <c r="A26" s="1"/>
      <c r="B26" s="44"/>
      <c r="C26" s="30" t="s">
        <v>183</v>
      </c>
      <c r="D26" s="31"/>
      <c r="E26" s="21" t="str">
        <f t="shared" si="0"/>
        <v>001B</v>
      </c>
      <c r="F26" s="31" t="s">
        <v>184</v>
      </c>
      <c r="G26" s="31" t="s">
        <v>185</v>
      </c>
      <c r="H26" s="31" t="s">
        <v>95</v>
      </c>
      <c r="I26" s="31" t="s">
        <v>186</v>
      </c>
      <c r="J26" s="31" t="s">
        <v>187</v>
      </c>
      <c r="K26" s="31" t="s">
        <v>188</v>
      </c>
      <c r="L26" s="31" t="s">
        <v>189</v>
      </c>
      <c r="M26" s="31"/>
      <c r="N26" s="32"/>
      <c r="O26" s="21" t="s">
        <v>151</v>
      </c>
      <c r="P26" s="31">
        <v>8</v>
      </c>
      <c r="Q26" s="33">
        <v>0</v>
      </c>
      <c r="R26" s="33">
        <f t="shared" ref="R26:R27" si="18">P26+Q26</f>
        <v>8</v>
      </c>
      <c r="S26" s="34">
        <v>0.02</v>
      </c>
      <c r="T26" s="34">
        <v>0</v>
      </c>
      <c r="U26" s="34">
        <f t="shared" ref="U26:U27" si="19">T26+S26</f>
        <v>0.02</v>
      </c>
      <c r="V26" s="34">
        <v>28.2</v>
      </c>
      <c r="W26" s="34">
        <v>7.0000000000000007E-2</v>
      </c>
      <c r="X26" s="34">
        <f t="shared" ref="X26:X27" si="20">V26/U26</f>
        <v>1410</v>
      </c>
      <c r="Y26" s="31" t="str">
        <f t="shared" ref="Y26:Y27" si="21">IF(V26&gt;W26, "è in grado", "non è in grado")</f>
        <v>è in grado</v>
      </c>
      <c r="Z26" s="31" t="str">
        <f t="shared" ref="Z26:Z27" si="22">IF(R26&gt;10000, "sottende", "non sottende")</f>
        <v>non sottende</v>
      </c>
      <c r="AA26" s="45">
        <f t="shared" ref="AA26:AA27" si="23">V26/W26</f>
        <v>402.85714285714283</v>
      </c>
      <c r="AB26" s="31" t="str">
        <f t="shared" ref="AB26:AB27" si="24">IF(R26&gt;10000, "B", IF(AA26&gt;=2, "A", "B"))</f>
        <v>A</v>
      </c>
      <c r="AC26" s="21" t="str">
        <f t="shared" si="3"/>
        <v>SI</v>
      </c>
      <c r="AD26" s="31" t="str">
        <f t="shared" ref="AD26:AD27" si="25">IF(V26&gt;20, "Si", "No")</f>
        <v>Si</v>
      </c>
      <c r="AE26" s="31" t="s">
        <v>147</v>
      </c>
      <c r="AF26" s="31">
        <v>0.6</v>
      </c>
      <c r="AG26" s="31">
        <v>95</v>
      </c>
      <c r="AH26" s="31">
        <v>210</v>
      </c>
      <c r="AI26" s="21" t="str">
        <f t="shared" ref="AI26:AI128" si="26">IF(AG26&gt;AH26, "Manufatto limitante", " ")</f>
        <v xml:space="preserve"> </v>
      </c>
      <c r="AJ26" s="33">
        <v>201.7</v>
      </c>
      <c r="AK26" s="24">
        <f t="shared" ref="AK26:AK28" si="27">((MIN(AG26:AH26))-V26)/AJ26</f>
        <v>0.33118492811105604</v>
      </c>
      <c r="AL26" s="24">
        <f t="shared" si="10"/>
        <v>66.8</v>
      </c>
      <c r="AM26" s="31" t="s">
        <v>190</v>
      </c>
      <c r="AN26" s="31"/>
      <c r="AO26" s="46">
        <v>46166</v>
      </c>
      <c r="AP26" s="37" t="s">
        <v>191</v>
      </c>
      <c r="AQ26" s="26" t="s">
        <v>92</v>
      </c>
      <c r="AR26" s="37" t="s">
        <v>92</v>
      </c>
      <c r="AS26" s="29" t="s">
        <v>92</v>
      </c>
      <c r="AT26" s="26"/>
      <c r="AU26" s="38"/>
      <c r="AV26" s="38"/>
      <c r="AW26" s="38"/>
      <c r="AX26" s="38"/>
      <c r="AY26" s="38"/>
      <c r="AZ26" s="38"/>
      <c r="BA26" s="38"/>
      <c r="BB26" s="38"/>
      <c r="BC26" s="38"/>
      <c r="BD26" s="38"/>
      <c r="BE26" s="38"/>
      <c r="BF26" s="1"/>
      <c r="BG26" s="1"/>
    </row>
    <row r="27" spans="1:59" ht="14.25" customHeight="1" outlineLevel="1" x14ac:dyDescent="0.25">
      <c r="A27" s="1"/>
      <c r="B27" s="19"/>
      <c r="C27" s="20" t="s">
        <v>192</v>
      </c>
      <c r="D27" s="21"/>
      <c r="E27" s="21" t="str">
        <f t="shared" si="0"/>
        <v>001B</v>
      </c>
      <c r="F27" s="21" t="s">
        <v>94</v>
      </c>
      <c r="G27" s="21" t="s">
        <v>193</v>
      </c>
      <c r="H27" s="21" t="s">
        <v>194</v>
      </c>
      <c r="I27" s="21" t="s">
        <v>195</v>
      </c>
      <c r="J27" s="21" t="s">
        <v>196</v>
      </c>
      <c r="K27" s="21" t="s">
        <v>141</v>
      </c>
      <c r="L27" s="21" t="s">
        <v>197</v>
      </c>
      <c r="M27" s="21"/>
      <c r="N27" s="22"/>
      <c r="O27" s="21" t="s">
        <v>151</v>
      </c>
      <c r="P27" s="21">
        <v>5</v>
      </c>
      <c r="Q27" s="24">
        <v>0</v>
      </c>
      <c r="R27" s="24">
        <f t="shared" si="18"/>
        <v>5</v>
      </c>
      <c r="S27" s="23">
        <v>0.01</v>
      </c>
      <c r="T27" s="23">
        <v>0</v>
      </c>
      <c r="U27" s="23">
        <f t="shared" si="19"/>
        <v>0.01</v>
      </c>
      <c r="V27" s="23">
        <v>37.69</v>
      </c>
      <c r="W27" s="23">
        <v>0.04</v>
      </c>
      <c r="X27" s="23">
        <f t="shared" si="20"/>
        <v>3768.9999999999995</v>
      </c>
      <c r="Y27" s="21" t="str">
        <f t="shared" si="21"/>
        <v>è in grado</v>
      </c>
      <c r="Z27" s="21" t="str">
        <f t="shared" si="22"/>
        <v>non sottende</v>
      </c>
      <c r="AA27" s="40">
        <f t="shared" si="23"/>
        <v>942.24999999999989</v>
      </c>
      <c r="AB27" s="21" t="str">
        <f t="shared" si="24"/>
        <v>A</v>
      </c>
      <c r="AC27" s="21" t="str">
        <f t="shared" si="3"/>
        <v>SI</v>
      </c>
      <c r="AD27" s="21" t="str">
        <f t="shared" si="25"/>
        <v>Si</v>
      </c>
      <c r="AE27" s="21" t="s">
        <v>147</v>
      </c>
      <c r="AF27" s="21"/>
      <c r="AG27" s="21"/>
      <c r="AH27" s="21"/>
      <c r="AI27" s="21" t="str">
        <f t="shared" si="26"/>
        <v xml:space="preserve"> </v>
      </c>
      <c r="AJ27" s="24">
        <v>93.31</v>
      </c>
      <c r="AK27" s="24">
        <f t="shared" si="27"/>
        <v>-0.40392240917372196</v>
      </c>
      <c r="AL27" s="24">
        <f t="shared" si="10"/>
        <v>-37.69</v>
      </c>
      <c r="AM27" s="21" t="s">
        <v>190</v>
      </c>
      <c r="AN27" s="21"/>
      <c r="AO27" s="25" t="s">
        <v>92</v>
      </c>
      <c r="AP27" s="29" t="s">
        <v>92</v>
      </c>
      <c r="AQ27" s="29" t="s">
        <v>92</v>
      </c>
      <c r="AR27" s="29" t="s">
        <v>92</v>
      </c>
      <c r="AS27" s="29" t="s">
        <v>92</v>
      </c>
      <c r="AT27" s="21" t="s">
        <v>92</v>
      </c>
      <c r="AU27" s="38"/>
      <c r="AV27" s="38"/>
      <c r="AW27" s="38"/>
      <c r="AX27" s="38"/>
      <c r="AY27" s="38"/>
      <c r="AZ27" s="38"/>
      <c r="BA27" s="38"/>
      <c r="BB27" s="38"/>
      <c r="BC27" s="38"/>
      <c r="BD27" s="38"/>
      <c r="BE27" s="38"/>
      <c r="BF27" s="1"/>
      <c r="BG27" s="1"/>
    </row>
    <row r="28" spans="1:59" ht="14.25" customHeight="1" outlineLevel="1" x14ac:dyDescent="0.25">
      <c r="A28" s="1"/>
      <c r="B28" s="19"/>
      <c r="C28" s="20" t="s">
        <v>198</v>
      </c>
      <c r="D28" s="21"/>
      <c r="E28" s="21" t="str">
        <f t="shared" si="0"/>
        <v>001B</v>
      </c>
      <c r="F28" s="21" t="s">
        <v>199</v>
      </c>
      <c r="G28" s="19" t="s">
        <v>200</v>
      </c>
      <c r="H28" s="19"/>
      <c r="I28" s="19" t="s">
        <v>201</v>
      </c>
      <c r="J28" s="19"/>
      <c r="K28" s="19" t="s">
        <v>202</v>
      </c>
      <c r="L28" s="21"/>
      <c r="M28" s="21"/>
      <c r="N28" s="22"/>
      <c r="O28" s="21"/>
      <c r="P28" s="21"/>
      <c r="Q28" s="24"/>
      <c r="R28" s="21"/>
      <c r="S28" s="23"/>
      <c r="T28" s="23"/>
      <c r="U28" s="23"/>
      <c r="V28" s="23"/>
      <c r="W28" s="23"/>
      <c r="X28" s="23"/>
      <c r="Y28" s="21"/>
      <c r="Z28" s="21"/>
      <c r="AA28" s="40"/>
      <c r="AB28" s="21"/>
      <c r="AC28" s="21" t="str">
        <f t="shared" si="3"/>
        <v>NO</v>
      </c>
      <c r="AD28" s="21"/>
      <c r="AE28" s="21"/>
      <c r="AF28" s="21"/>
      <c r="AG28" s="21"/>
      <c r="AH28" s="21"/>
      <c r="AI28" s="21" t="str">
        <f t="shared" si="26"/>
        <v xml:space="preserve"> </v>
      </c>
      <c r="AJ28" s="24"/>
      <c r="AK28" s="24" t="e">
        <f t="shared" si="27"/>
        <v>#DIV/0!</v>
      </c>
      <c r="AL28" s="24">
        <f t="shared" si="10"/>
        <v>0</v>
      </c>
      <c r="AM28" s="21"/>
      <c r="AN28" s="21"/>
      <c r="AO28" s="47"/>
      <c r="AP28" s="29" t="s">
        <v>203</v>
      </c>
      <c r="AQ28" s="26" t="s">
        <v>92</v>
      </c>
      <c r="AR28" s="26" t="s">
        <v>92</v>
      </c>
      <c r="AS28" s="29" t="s">
        <v>92</v>
      </c>
      <c r="AT28" s="26" t="s">
        <v>92</v>
      </c>
      <c r="AU28" s="38"/>
      <c r="AV28" s="38"/>
      <c r="AW28" s="38"/>
      <c r="AX28" s="38"/>
      <c r="AY28" s="38"/>
      <c r="AZ28" s="38"/>
      <c r="BA28" s="38"/>
      <c r="BB28" s="38"/>
      <c r="BC28" s="38"/>
      <c r="BD28" s="38"/>
      <c r="BE28" s="38"/>
      <c r="BF28" s="1"/>
      <c r="BG28" s="1"/>
    </row>
    <row r="29" spans="1:59" ht="14.25" customHeight="1" outlineLevel="1" x14ac:dyDescent="0.25">
      <c r="A29" s="1"/>
      <c r="B29" s="42"/>
      <c r="C29" s="20" t="s">
        <v>204</v>
      </c>
      <c r="D29" s="21"/>
      <c r="E29" s="21" t="str">
        <f t="shared" si="0"/>
        <v>001B</v>
      </c>
      <c r="F29" s="21" t="s">
        <v>205</v>
      </c>
      <c r="G29" s="21" t="s">
        <v>206</v>
      </c>
      <c r="H29" s="21"/>
      <c r="I29" s="21" t="s">
        <v>207</v>
      </c>
      <c r="J29" s="21" t="s">
        <v>208</v>
      </c>
      <c r="K29" s="21" t="s">
        <v>209</v>
      </c>
      <c r="L29" s="21"/>
      <c r="M29" s="21"/>
      <c r="N29" s="22"/>
      <c r="O29" s="21"/>
      <c r="P29" s="21"/>
      <c r="Q29" s="24"/>
      <c r="R29" s="24">
        <f>P29+Q29</f>
        <v>0</v>
      </c>
      <c r="S29" s="23"/>
      <c r="T29" s="23"/>
      <c r="U29" s="23">
        <f>T29+S29</f>
        <v>0</v>
      </c>
      <c r="V29" s="23"/>
      <c r="W29" s="23"/>
      <c r="X29" s="23"/>
      <c r="Y29" s="21"/>
      <c r="Z29" s="21"/>
      <c r="AA29" s="40"/>
      <c r="AB29" s="21"/>
      <c r="AC29" s="21" t="str">
        <f t="shared" si="3"/>
        <v>NO</v>
      </c>
      <c r="AD29" s="21"/>
      <c r="AE29" s="21"/>
      <c r="AF29" s="21"/>
      <c r="AG29" s="21"/>
      <c r="AH29" s="21"/>
      <c r="AI29" s="21" t="str">
        <f t="shared" si="26"/>
        <v xml:space="preserve"> </v>
      </c>
      <c r="AJ29" s="24"/>
      <c r="AK29" s="48"/>
      <c r="AL29" s="24">
        <f t="shared" si="10"/>
        <v>0</v>
      </c>
      <c r="AM29" s="21"/>
      <c r="AN29" s="21"/>
      <c r="AO29" s="39"/>
      <c r="AP29" s="26"/>
      <c r="AQ29" s="29" t="s">
        <v>92</v>
      </c>
      <c r="AR29" s="26" t="s">
        <v>92</v>
      </c>
      <c r="AS29" s="29"/>
      <c r="AT29" s="21"/>
      <c r="AU29" s="38"/>
      <c r="AV29" s="38"/>
      <c r="AW29" s="38"/>
      <c r="AX29" s="38"/>
      <c r="AY29" s="38"/>
      <c r="AZ29" s="38"/>
      <c r="BA29" s="38"/>
      <c r="BB29" s="38"/>
      <c r="BC29" s="38"/>
      <c r="BD29" s="38"/>
      <c r="BE29" s="38"/>
      <c r="BF29" s="1"/>
      <c r="BG29" s="1"/>
    </row>
    <row r="30" spans="1:59" ht="14.25" customHeight="1" outlineLevel="1" x14ac:dyDescent="0.25">
      <c r="A30" s="1"/>
      <c r="B30" s="19"/>
      <c r="C30" s="20" t="s">
        <v>210</v>
      </c>
      <c r="D30" s="21"/>
      <c r="E30" s="21" t="str">
        <f t="shared" si="0"/>
        <v>001B</v>
      </c>
      <c r="F30" s="21" t="s">
        <v>94</v>
      </c>
      <c r="G30" s="21" t="s">
        <v>211</v>
      </c>
      <c r="H30" s="21" t="s">
        <v>212</v>
      </c>
      <c r="I30" s="21"/>
      <c r="J30" s="21" t="s">
        <v>213</v>
      </c>
      <c r="K30" s="21" t="s">
        <v>214</v>
      </c>
      <c r="L30" s="21"/>
      <c r="M30" s="21"/>
      <c r="N30" s="22"/>
      <c r="O30" s="21" t="s">
        <v>159</v>
      </c>
      <c r="P30" s="21"/>
      <c r="Q30" s="24"/>
      <c r="R30" s="21"/>
      <c r="S30" s="23"/>
      <c r="T30" s="23"/>
      <c r="U30" s="23"/>
      <c r="V30" s="23"/>
      <c r="W30" s="23"/>
      <c r="X30" s="23"/>
      <c r="Y30" s="21"/>
      <c r="Z30" s="21"/>
      <c r="AA30" s="23"/>
      <c r="AB30" s="21"/>
      <c r="AC30" s="21" t="str">
        <f t="shared" si="3"/>
        <v>NO</v>
      </c>
      <c r="AD30" s="21"/>
      <c r="AE30" s="21"/>
      <c r="AF30" s="41"/>
      <c r="AG30" s="41"/>
      <c r="AH30" s="41"/>
      <c r="AI30" s="41" t="str">
        <f t="shared" si="26"/>
        <v xml:space="preserve"> </v>
      </c>
      <c r="AJ30" s="24"/>
      <c r="AK30" s="24" t="e">
        <f t="shared" ref="AK30:AK64" si="28">((MIN(AG30:AH30))-V30)/AJ30</f>
        <v>#DIV/0!</v>
      </c>
      <c r="AL30" s="24">
        <f t="shared" si="10"/>
        <v>0</v>
      </c>
      <c r="AM30" s="21"/>
      <c r="AN30" s="21"/>
      <c r="AO30" s="28" t="s">
        <v>92</v>
      </c>
      <c r="AP30" s="29" t="s">
        <v>92</v>
      </c>
      <c r="AQ30" s="29" t="s">
        <v>92</v>
      </c>
      <c r="AR30" s="29" t="s">
        <v>92</v>
      </c>
      <c r="AS30" s="29" t="s">
        <v>92</v>
      </c>
      <c r="AT30" s="21" t="s">
        <v>92</v>
      </c>
      <c r="AU30" s="38"/>
      <c r="AV30" s="38"/>
      <c r="AW30" s="38"/>
      <c r="AX30" s="38"/>
      <c r="AY30" s="38"/>
      <c r="AZ30" s="38"/>
      <c r="BA30" s="38"/>
      <c r="BB30" s="38"/>
      <c r="BC30" s="38"/>
      <c r="BD30" s="38"/>
      <c r="BE30" s="38"/>
      <c r="BF30" s="1"/>
      <c r="BG30" s="1"/>
    </row>
    <row r="31" spans="1:59" ht="14.25" customHeight="1" x14ac:dyDescent="0.25">
      <c r="A31" s="1"/>
      <c r="B31" s="49"/>
      <c r="C31" s="50" t="s">
        <v>215</v>
      </c>
      <c r="D31" s="50" t="s">
        <v>92</v>
      </c>
      <c r="E31" s="50" t="str">
        <f t="shared" si="0"/>
        <v>-001B</v>
      </c>
      <c r="F31" s="50"/>
      <c r="G31" s="50" t="s">
        <v>88</v>
      </c>
      <c r="H31" s="50" t="s">
        <v>216</v>
      </c>
      <c r="I31" s="50" t="s">
        <v>217</v>
      </c>
      <c r="J31" s="1" t="s">
        <v>218</v>
      </c>
      <c r="K31" s="50" t="s">
        <v>219</v>
      </c>
      <c r="L31" s="1" t="s">
        <v>220</v>
      </c>
      <c r="M31" s="51" t="s">
        <v>221</v>
      </c>
      <c r="N31" s="52"/>
      <c r="O31" s="50" t="s">
        <v>151</v>
      </c>
      <c r="P31" s="50">
        <v>29</v>
      </c>
      <c r="Q31" s="53">
        <v>0</v>
      </c>
      <c r="R31" s="54">
        <f t="shared" ref="R31:R128" si="29">P31+Q31</f>
        <v>29</v>
      </c>
      <c r="S31" s="54">
        <v>7.0000000000000007E-2</v>
      </c>
      <c r="T31" s="54">
        <v>0</v>
      </c>
      <c r="U31" s="54">
        <f t="shared" ref="U31:U128" si="30">T31+S31</f>
        <v>7.0000000000000007E-2</v>
      </c>
      <c r="V31" s="54">
        <v>59.11</v>
      </c>
      <c r="W31" s="52">
        <f t="shared" ref="W31:W285" si="31">MAX(IF(N31="si",R31*1000/86400,R31*750/86400),IF(Q31&gt;=(0.5*P31),(1.5*S31+T31)*2.5,(1.5*S31+T31)*2))</f>
        <v>0.2517361111111111</v>
      </c>
      <c r="X31" s="54">
        <f t="shared" ref="X31:X128" si="32">V31/U31</f>
        <v>844.42857142857133</v>
      </c>
      <c r="Y31" s="50" t="str">
        <f t="shared" ref="Y31:Y128" si="33">IF(V31&gt;W31, "è in grado", "non è in grado")</f>
        <v>è in grado</v>
      </c>
      <c r="Z31" s="50" t="str">
        <f t="shared" ref="Z31:Z128" si="34">IF(R31&gt;10000, "sottende", "non sottende")</f>
        <v>non sottende</v>
      </c>
      <c r="AA31" s="54">
        <f t="shared" ref="AA31:AA128" si="35">V31/W31</f>
        <v>234.80937931034484</v>
      </c>
      <c r="AB31" s="50" t="str">
        <f t="shared" ref="AB31:AB128" si="36">IF(R31&gt;10000, "B", IF(AA31&gt;=2, "A", "B"))</f>
        <v>A</v>
      </c>
      <c r="AC31" s="50" t="str">
        <f t="shared" si="3"/>
        <v>SI</v>
      </c>
      <c r="AD31" s="50" t="str">
        <f t="shared" ref="AD31:AD128" si="37">IF(V31&gt;20, "Si", "No")</f>
        <v>Si</v>
      </c>
      <c r="AE31" s="50" t="s">
        <v>147</v>
      </c>
      <c r="AF31" s="55">
        <v>1.36</v>
      </c>
      <c r="AG31" s="55">
        <v>186</v>
      </c>
      <c r="AH31" s="55">
        <v>578</v>
      </c>
      <c r="AI31" s="55" t="str">
        <f t="shared" si="26"/>
        <v xml:space="preserve"> </v>
      </c>
      <c r="AJ31" s="53">
        <v>195.02</v>
      </c>
      <c r="AK31" s="53">
        <f t="shared" si="28"/>
        <v>0.65065121525997327</v>
      </c>
      <c r="AL31" s="53">
        <f t="shared" si="10"/>
        <v>126.89</v>
      </c>
      <c r="AM31" s="50" t="s">
        <v>190</v>
      </c>
      <c r="AN31" s="56" t="s">
        <v>222</v>
      </c>
      <c r="AO31" s="57"/>
      <c r="AP31" s="58" t="s">
        <v>223</v>
      </c>
      <c r="AQ31" s="58" t="s">
        <v>224</v>
      </c>
      <c r="AR31" s="58" t="s">
        <v>225</v>
      </c>
      <c r="AS31" s="58" t="s">
        <v>92</v>
      </c>
      <c r="AT31" s="50"/>
      <c r="AU31" s="1"/>
      <c r="AV31" s="1"/>
      <c r="AW31" s="1"/>
      <c r="AX31" s="1"/>
      <c r="AY31" s="1"/>
      <c r="AZ31" s="1"/>
      <c r="BA31" s="1"/>
      <c r="BB31" s="1"/>
      <c r="BC31" s="1"/>
      <c r="BD31" s="1"/>
      <c r="BE31" s="1"/>
      <c r="BF31" s="1"/>
      <c r="BG31" s="1"/>
    </row>
    <row r="32" spans="1:59" ht="14.25" customHeight="1" x14ac:dyDescent="0.25">
      <c r="A32" s="1"/>
      <c r="B32" s="59"/>
      <c r="C32" s="50" t="s">
        <v>226</v>
      </c>
      <c r="D32" s="50" t="s">
        <v>92</v>
      </c>
      <c r="E32" s="50" t="str">
        <f t="shared" si="0"/>
        <v>-001B</v>
      </c>
      <c r="F32" s="50"/>
      <c r="G32" s="50" t="s">
        <v>88</v>
      </c>
      <c r="H32" s="50" t="s">
        <v>216</v>
      </c>
      <c r="I32" s="50" t="s">
        <v>227</v>
      </c>
      <c r="J32" s="50" t="s">
        <v>228</v>
      </c>
      <c r="K32" s="50" t="s">
        <v>219</v>
      </c>
      <c r="L32" s="50" t="s">
        <v>220</v>
      </c>
      <c r="M32" s="51" t="s">
        <v>221</v>
      </c>
      <c r="N32" s="52"/>
      <c r="O32" s="50" t="s">
        <v>151</v>
      </c>
      <c r="P32" s="50">
        <v>37</v>
      </c>
      <c r="Q32" s="53">
        <v>0</v>
      </c>
      <c r="R32" s="54">
        <f t="shared" si="29"/>
        <v>37</v>
      </c>
      <c r="S32" s="54">
        <v>0.09</v>
      </c>
      <c r="T32" s="54">
        <v>0</v>
      </c>
      <c r="U32" s="54">
        <f t="shared" si="30"/>
        <v>0.09</v>
      </c>
      <c r="V32" s="54">
        <v>41.23</v>
      </c>
      <c r="W32" s="52">
        <f t="shared" si="31"/>
        <v>0.32118055555555558</v>
      </c>
      <c r="X32" s="54">
        <f t="shared" si="32"/>
        <v>458.11111111111109</v>
      </c>
      <c r="Y32" s="50" t="str">
        <f t="shared" si="33"/>
        <v>è in grado</v>
      </c>
      <c r="Z32" s="50" t="str">
        <f t="shared" si="34"/>
        <v>non sottende</v>
      </c>
      <c r="AA32" s="54">
        <f t="shared" si="35"/>
        <v>128.37016216216213</v>
      </c>
      <c r="AB32" s="50" t="str">
        <f t="shared" si="36"/>
        <v>A</v>
      </c>
      <c r="AC32" s="50" t="str">
        <f t="shared" si="3"/>
        <v>SI</v>
      </c>
      <c r="AD32" s="50" t="str">
        <f t="shared" si="37"/>
        <v>Si</v>
      </c>
      <c r="AE32" s="50" t="s">
        <v>147</v>
      </c>
      <c r="AF32" s="55">
        <v>0.35</v>
      </c>
      <c r="AG32" s="55">
        <v>110</v>
      </c>
      <c r="AH32" s="55">
        <v>405</v>
      </c>
      <c r="AI32" s="55" t="str">
        <f t="shared" si="26"/>
        <v xml:space="preserve"> </v>
      </c>
      <c r="AJ32" s="53">
        <v>394.28</v>
      </c>
      <c r="AK32" s="53">
        <f t="shared" si="28"/>
        <v>0.17441919448107948</v>
      </c>
      <c r="AL32" s="53">
        <f t="shared" si="10"/>
        <v>68.77000000000001</v>
      </c>
      <c r="AM32" s="50" t="s">
        <v>190</v>
      </c>
      <c r="AN32" s="56" t="s">
        <v>222</v>
      </c>
      <c r="AO32" s="60"/>
      <c r="AP32" s="61" t="s">
        <v>223</v>
      </c>
      <c r="AQ32" s="58" t="s">
        <v>224</v>
      </c>
      <c r="AR32" s="58" t="s">
        <v>225</v>
      </c>
      <c r="AS32" s="58" t="s">
        <v>92</v>
      </c>
      <c r="AT32" s="50"/>
      <c r="AU32" s="1"/>
      <c r="AV32" s="1"/>
      <c r="AW32" s="1"/>
      <c r="AX32" s="1"/>
      <c r="AY32" s="1"/>
      <c r="AZ32" s="1"/>
      <c r="BA32" s="1"/>
      <c r="BB32" s="1"/>
      <c r="BC32" s="1"/>
      <c r="BD32" s="1"/>
      <c r="BE32" s="1"/>
      <c r="BF32" s="1"/>
      <c r="BG32" s="1"/>
    </row>
    <row r="33" spans="1:59" ht="14.25" customHeight="1" x14ac:dyDescent="0.25">
      <c r="A33" s="1"/>
      <c r="B33" s="59"/>
      <c r="C33" s="50" t="s">
        <v>229</v>
      </c>
      <c r="D33" s="50" t="s">
        <v>230</v>
      </c>
      <c r="E33" s="50" t="str">
        <f t="shared" si="0"/>
        <v>PP0200030014001B</v>
      </c>
      <c r="F33" s="50"/>
      <c r="G33" s="50" t="s">
        <v>88</v>
      </c>
      <c r="H33" s="50" t="s">
        <v>231</v>
      </c>
      <c r="I33" s="50" t="s">
        <v>232</v>
      </c>
      <c r="J33" s="50" t="s">
        <v>233</v>
      </c>
      <c r="K33" s="50" t="s">
        <v>234</v>
      </c>
      <c r="L33" s="1" t="s">
        <v>235</v>
      </c>
      <c r="M33" s="50"/>
      <c r="N33" s="52"/>
      <c r="O33" s="50" t="s">
        <v>118</v>
      </c>
      <c r="P33" s="50">
        <v>317</v>
      </c>
      <c r="Q33" s="53">
        <v>0</v>
      </c>
      <c r="R33" s="53">
        <f t="shared" si="29"/>
        <v>317</v>
      </c>
      <c r="S33" s="54">
        <v>0.75</v>
      </c>
      <c r="T33" s="54">
        <v>0</v>
      </c>
      <c r="U33" s="54">
        <f t="shared" si="30"/>
        <v>0.75</v>
      </c>
      <c r="V33" s="54">
        <v>10</v>
      </c>
      <c r="W33" s="52">
        <f t="shared" si="31"/>
        <v>2.7517361111111112</v>
      </c>
      <c r="X33" s="54">
        <f t="shared" si="32"/>
        <v>13.333333333333334</v>
      </c>
      <c r="Y33" s="50" t="str">
        <f t="shared" si="33"/>
        <v>è in grado</v>
      </c>
      <c r="Z33" s="50" t="str">
        <f t="shared" si="34"/>
        <v>non sottende</v>
      </c>
      <c r="AA33" s="54">
        <f t="shared" si="35"/>
        <v>3.6340694006309149</v>
      </c>
      <c r="AB33" s="50" t="str">
        <f t="shared" si="36"/>
        <v>A</v>
      </c>
      <c r="AC33" s="50" t="str">
        <f t="shared" si="3"/>
        <v>SI</v>
      </c>
      <c r="AD33" s="50" t="str">
        <f t="shared" si="37"/>
        <v>No</v>
      </c>
      <c r="AE33" s="50" t="s">
        <v>147</v>
      </c>
      <c r="AF33" s="55">
        <v>15.47</v>
      </c>
      <c r="AG33" s="55">
        <v>1563</v>
      </c>
      <c r="AH33" s="55">
        <v>2595</v>
      </c>
      <c r="AI33" s="55" t="str">
        <f t="shared" si="26"/>
        <v xml:space="preserve"> </v>
      </c>
      <c r="AJ33" s="53">
        <v>190.98</v>
      </c>
      <c r="AK33" s="53">
        <f t="shared" si="28"/>
        <v>8.1317415436171334</v>
      </c>
      <c r="AL33" s="53">
        <f t="shared" si="10"/>
        <v>1553</v>
      </c>
      <c r="AM33" s="50" t="s">
        <v>190</v>
      </c>
      <c r="AN33" s="56" t="s">
        <v>236</v>
      </c>
      <c r="AO33" s="62">
        <v>46880</v>
      </c>
      <c r="AP33" s="58" t="s">
        <v>237</v>
      </c>
      <c r="AQ33" s="58" t="s">
        <v>238</v>
      </c>
      <c r="AR33" s="58" t="s">
        <v>239</v>
      </c>
      <c r="AS33" s="63" t="s">
        <v>240</v>
      </c>
      <c r="AT33" s="64"/>
      <c r="AU33" s="1"/>
      <c r="AV33" s="1"/>
      <c r="AW33" s="1"/>
      <c r="AX33" s="1"/>
      <c r="AY33" s="1"/>
      <c r="AZ33" s="1"/>
      <c r="BA33" s="1"/>
      <c r="BB33" s="1"/>
      <c r="BC33" s="1"/>
      <c r="BD33" s="1"/>
      <c r="BE33" s="1"/>
      <c r="BF33" s="1"/>
      <c r="BG33" s="1"/>
    </row>
    <row r="34" spans="1:59" ht="14.25" customHeight="1" x14ac:dyDescent="0.25">
      <c r="A34" s="1"/>
      <c r="B34" s="59"/>
      <c r="C34" s="50" t="s">
        <v>241</v>
      </c>
      <c r="D34" s="50" t="s">
        <v>242</v>
      </c>
      <c r="E34" s="50" t="str">
        <f t="shared" si="0"/>
        <v>PP0200030006001B</v>
      </c>
      <c r="F34" s="50"/>
      <c r="G34" s="50" t="s">
        <v>88</v>
      </c>
      <c r="H34" s="50" t="s">
        <v>95</v>
      </c>
      <c r="I34" s="50" t="s">
        <v>243</v>
      </c>
      <c r="J34" s="50" t="s">
        <v>244</v>
      </c>
      <c r="K34" s="59" t="s">
        <v>219</v>
      </c>
      <c r="L34" s="1" t="s">
        <v>245</v>
      </c>
      <c r="M34" s="50"/>
      <c r="N34" s="52"/>
      <c r="O34" s="50" t="s">
        <v>151</v>
      </c>
      <c r="P34" s="50">
        <v>703</v>
      </c>
      <c r="Q34" s="53">
        <v>0</v>
      </c>
      <c r="R34" s="54">
        <f t="shared" si="29"/>
        <v>703</v>
      </c>
      <c r="S34" s="54">
        <v>1.65</v>
      </c>
      <c r="T34" s="54">
        <v>0</v>
      </c>
      <c r="U34" s="54">
        <f t="shared" si="30"/>
        <v>1.65</v>
      </c>
      <c r="V34" s="54">
        <v>182.2</v>
      </c>
      <c r="W34" s="52">
        <f t="shared" si="31"/>
        <v>6.1024305555555554</v>
      </c>
      <c r="X34" s="54">
        <f t="shared" si="32"/>
        <v>110.42424242424242</v>
      </c>
      <c r="Y34" s="50" t="str">
        <f t="shared" si="33"/>
        <v>è in grado</v>
      </c>
      <c r="Z34" s="50" t="str">
        <f t="shared" si="34"/>
        <v>non sottende</v>
      </c>
      <c r="AA34" s="54">
        <f t="shared" si="35"/>
        <v>29.856955903271693</v>
      </c>
      <c r="AB34" s="50" t="str">
        <f t="shared" si="36"/>
        <v>A</v>
      </c>
      <c r="AC34" s="50" t="str">
        <f t="shared" si="3"/>
        <v>SI</v>
      </c>
      <c r="AD34" s="50" t="str">
        <f t="shared" si="37"/>
        <v>Si</v>
      </c>
      <c r="AE34" s="50" t="s">
        <v>147</v>
      </c>
      <c r="AF34" s="55">
        <v>19.09</v>
      </c>
      <c r="AG34" s="55">
        <v>1704</v>
      </c>
      <c r="AH34" s="55">
        <v>1913</v>
      </c>
      <c r="AI34" s="55" t="str">
        <f t="shared" si="26"/>
        <v xml:space="preserve"> </v>
      </c>
      <c r="AJ34" s="53">
        <v>168.36</v>
      </c>
      <c r="AK34" s="53">
        <f t="shared" si="28"/>
        <v>9.0389641244951289</v>
      </c>
      <c r="AL34" s="53">
        <f t="shared" si="10"/>
        <v>1521.8</v>
      </c>
      <c r="AM34" s="50" t="s">
        <v>190</v>
      </c>
      <c r="AN34" s="56" t="s">
        <v>236</v>
      </c>
      <c r="AO34" s="57">
        <v>46719</v>
      </c>
      <c r="AP34" s="58" t="s">
        <v>246</v>
      </c>
      <c r="AQ34" s="58" t="s">
        <v>238</v>
      </c>
      <c r="AR34" s="58" t="s">
        <v>239</v>
      </c>
      <c r="AS34" s="65"/>
      <c r="AT34" s="50" t="s">
        <v>247</v>
      </c>
      <c r="AU34" s="1"/>
      <c r="AV34" s="1"/>
      <c r="AW34" s="1"/>
      <c r="AX34" s="1"/>
      <c r="AY34" s="1"/>
      <c r="AZ34" s="1"/>
      <c r="BA34" s="1"/>
      <c r="BB34" s="1"/>
      <c r="BC34" s="1"/>
      <c r="BD34" s="1"/>
      <c r="BE34" s="1"/>
      <c r="BF34" s="1"/>
      <c r="BG34" s="1"/>
    </row>
    <row r="35" spans="1:59" ht="14.25" customHeight="1" x14ac:dyDescent="0.25">
      <c r="A35" s="1"/>
      <c r="B35" s="49"/>
      <c r="C35" s="8" t="s">
        <v>248</v>
      </c>
      <c r="D35" s="50" t="s">
        <v>249</v>
      </c>
      <c r="E35" s="50" t="str">
        <f t="shared" si="0"/>
        <v>PP0200030001001B</v>
      </c>
      <c r="F35" s="50"/>
      <c r="G35" s="50" t="s">
        <v>88</v>
      </c>
      <c r="H35" s="50" t="s">
        <v>89</v>
      </c>
      <c r="I35" s="50" t="s">
        <v>250</v>
      </c>
      <c r="J35" s="50" t="s">
        <v>251</v>
      </c>
      <c r="K35" s="59" t="s">
        <v>91</v>
      </c>
      <c r="L35" s="50" t="s">
        <v>252</v>
      </c>
      <c r="M35" s="50"/>
      <c r="N35" s="52"/>
      <c r="O35" s="50" t="s">
        <v>253</v>
      </c>
      <c r="P35" s="50">
        <v>144</v>
      </c>
      <c r="Q35" s="54">
        <v>0</v>
      </c>
      <c r="R35" s="54">
        <f t="shared" si="29"/>
        <v>144</v>
      </c>
      <c r="S35" s="54">
        <v>0.34</v>
      </c>
      <c r="T35" s="54">
        <v>0</v>
      </c>
      <c r="U35" s="54">
        <f t="shared" si="30"/>
        <v>0.34</v>
      </c>
      <c r="V35" s="54">
        <v>10.5</v>
      </c>
      <c r="W35" s="52">
        <f t="shared" si="31"/>
        <v>1.25</v>
      </c>
      <c r="X35" s="54">
        <f t="shared" si="32"/>
        <v>30.882352941176467</v>
      </c>
      <c r="Y35" s="50" t="str">
        <f t="shared" si="33"/>
        <v>è in grado</v>
      </c>
      <c r="Z35" s="50" t="str">
        <f t="shared" si="34"/>
        <v>non sottende</v>
      </c>
      <c r="AA35" s="54">
        <f t="shared" si="35"/>
        <v>8.4</v>
      </c>
      <c r="AB35" s="50" t="str">
        <f t="shared" si="36"/>
        <v>A</v>
      </c>
      <c r="AC35" s="50" t="str">
        <f t="shared" si="3"/>
        <v>SI</v>
      </c>
      <c r="AD35" s="50" t="str">
        <f t="shared" si="37"/>
        <v>No</v>
      </c>
      <c r="AE35" s="50" t="s">
        <v>147</v>
      </c>
      <c r="AF35" s="55">
        <v>8.42</v>
      </c>
      <c r="AG35" s="55">
        <v>900</v>
      </c>
      <c r="AH35" s="55">
        <v>935.7</v>
      </c>
      <c r="AI35" s="55" t="str">
        <f t="shared" si="26"/>
        <v xml:space="preserve"> </v>
      </c>
      <c r="AJ35" s="53">
        <v>220.2</v>
      </c>
      <c r="AK35" s="53">
        <f t="shared" si="28"/>
        <v>4.0395095367847418</v>
      </c>
      <c r="AL35" s="53">
        <f t="shared" si="10"/>
        <v>889.5</v>
      </c>
      <c r="AM35" s="50" t="s">
        <v>190</v>
      </c>
      <c r="AN35" s="56" t="s">
        <v>222</v>
      </c>
      <c r="AO35" s="57">
        <v>46685</v>
      </c>
      <c r="AP35" s="58" t="s">
        <v>254</v>
      </c>
      <c r="AQ35" s="58" t="s">
        <v>255</v>
      </c>
      <c r="AR35" s="58" t="s">
        <v>225</v>
      </c>
      <c r="AS35" s="58" t="s">
        <v>92</v>
      </c>
      <c r="AT35" s="50"/>
      <c r="AU35" s="1"/>
      <c r="AV35" s="1"/>
      <c r="AW35" s="1"/>
      <c r="AX35" s="1"/>
      <c r="AY35" s="1"/>
      <c r="AZ35" s="1"/>
      <c r="BA35" s="1"/>
      <c r="BB35" s="1"/>
      <c r="BC35" s="1"/>
      <c r="BD35" s="1"/>
      <c r="BE35" s="1"/>
      <c r="BF35" s="1"/>
      <c r="BG35" s="1"/>
    </row>
    <row r="36" spans="1:59" ht="14.25" customHeight="1" x14ac:dyDescent="0.25">
      <c r="A36" s="1"/>
      <c r="B36" s="59"/>
      <c r="C36" s="50" t="s">
        <v>256</v>
      </c>
      <c r="D36" s="50" t="s">
        <v>257</v>
      </c>
      <c r="E36" s="50" t="str">
        <f t="shared" si="0"/>
        <v>PP0200030003001B</v>
      </c>
      <c r="F36" s="50" t="s">
        <v>258</v>
      </c>
      <c r="G36" s="50" t="s">
        <v>88</v>
      </c>
      <c r="H36" s="50" t="s">
        <v>216</v>
      </c>
      <c r="I36" s="50" t="s">
        <v>259</v>
      </c>
      <c r="J36" s="50" t="s">
        <v>260</v>
      </c>
      <c r="K36" s="50" t="s">
        <v>219</v>
      </c>
      <c r="L36" s="50" t="s">
        <v>261</v>
      </c>
      <c r="M36" s="50"/>
      <c r="N36" s="52"/>
      <c r="O36" s="50" t="s">
        <v>151</v>
      </c>
      <c r="P36" s="50">
        <v>35</v>
      </c>
      <c r="Q36" s="53">
        <v>0</v>
      </c>
      <c r="R36" s="54">
        <f t="shared" si="29"/>
        <v>35</v>
      </c>
      <c r="S36" s="54">
        <v>0.08</v>
      </c>
      <c r="T36" s="54">
        <v>0</v>
      </c>
      <c r="U36" s="54">
        <f t="shared" si="30"/>
        <v>0.08</v>
      </c>
      <c r="V36" s="54">
        <v>29.96</v>
      </c>
      <c r="W36" s="52">
        <f t="shared" si="31"/>
        <v>0.30381944444444442</v>
      </c>
      <c r="X36" s="54">
        <f t="shared" si="32"/>
        <v>374.5</v>
      </c>
      <c r="Y36" s="50" t="str">
        <f t="shared" si="33"/>
        <v>è in grado</v>
      </c>
      <c r="Z36" s="50" t="str">
        <f t="shared" si="34"/>
        <v>non sottende</v>
      </c>
      <c r="AA36" s="54">
        <f t="shared" si="35"/>
        <v>98.611200000000011</v>
      </c>
      <c r="AB36" s="50" t="str">
        <f t="shared" si="36"/>
        <v>A</v>
      </c>
      <c r="AC36" s="50" t="str">
        <f t="shared" si="3"/>
        <v>SI</v>
      </c>
      <c r="AD36" s="50" t="str">
        <f t="shared" si="37"/>
        <v>Si</v>
      </c>
      <c r="AE36" s="50" t="s">
        <v>147</v>
      </c>
      <c r="AF36" s="55">
        <v>1.34</v>
      </c>
      <c r="AG36" s="55">
        <v>167</v>
      </c>
      <c r="AH36" s="55">
        <v>1067</v>
      </c>
      <c r="AI36" s="55" t="str">
        <f t="shared" si="26"/>
        <v xml:space="preserve"> </v>
      </c>
      <c r="AJ36" s="53">
        <v>231</v>
      </c>
      <c r="AK36" s="53">
        <f t="shared" si="28"/>
        <v>0.59324675324675324</v>
      </c>
      <c r="AL36" s="53">
        <f t="shared" si="10"/>
        <v>137.04</v>
      </c>
      <c r="AM36" s="50" t="s">
        <v>190</v>
      </c>
      <c r="AN36" s="56" t="s">
        <v>222</v>
      </c>
      <c r="AO36" s="57">
        <v>46719</v>
      </c>
      <c r="AP36" s="58" t="s">
        <v>246</v>
      </c>
      <c r="AQ36" s="58" t="s">
        <v>238</v>
      </c>
      <c r="AR36" s="58" t="s">
        <v>239</v>
      </c>
      <c r="AS36" s="65"/>
      <c r="AT36" s="50" t="s">
        <v>247</v>
      </c>
      <c r="AU36" s="1"/>
      <c r="AV36" s="1"/>
      <c r="AW36" s="1"/>
      <c r="AX36" s="1"/>
      <c r="AY36" s="1"/>
      <c r="AZ36" s="1"/>
      <c r="BA36" s="1"/>
      <c r="BB36" s="1"/>
      <c r="BC36" s="1"/>
      <c r="BD36" s="1"/>
      <c r="BE36" s="1"/>
      <c r="BF36" s="1"/>
      <c r="BG36" s="1"/>
    </row>
    <row r="37" spans="1:59" ht="14.25" customHeight="1" x14ac:dyDescent="0.25">
      <c r="A37" s="1"/>
      <c r="B37" s="59"/>
      <c r="C37" s="50" t="s">
        <v>262</v>
      </c>
      <c r="D37" s="50" t="s">
        <v>92</v>
      </c>
      <c r="E37" s="50" t="str">
        <f t="shared" si="0"/>
        <v>-001B</v>
      </c>
      <c r="F37" s="50"/>
      <c r="G37" s="50" t="s">
        <v>88</v>
      </c>
      <c r="H37" s="50" t="s">
        <v>216</v>
      </c>
      <c r="I37" s="50" t="s">
        <v>263</v>
      </c>
      <c r="J37" s="50" t="s">
        <v>264</v>
      </c>
      <c r="K37" s="50" t="s">
        <v>219</v>
      </c>
      <c r="L37" s="50" t="s">
        <v>220</v>
      </c>
      <c r="M37" s="51" t="s">
        <v>221</v>
      </c>
      <c r="N37" s="52"/>
      <c r="O37" s="50" t="s">
        <v>151</v>
      </c>
      <c r="P37" s="50">
        <v>34</v>
      </c>
      <c r="Q37" s="53">
        <v>0</v>
      </c>
      <c r="R37" s="54">
        <f t="shared" si="29"/>
        <v>34</v>
      </c>
      <c r="S37" s="54">
        <v>0.08</v>
      </c>
      <c r="T37" s="54">
        <v>0</v>
      </c>
      <c r="U37" s="54">
        <f t="shared" si="30"/>
        <v>0.08</v>
      </c>
      <c r="V37" s="54">
        <v>43.32</v>
      </c>
      <c r="W37" s="52">
        <f t="shared" si="31"/>
        <v>0.2951388888888889</v>
      </c>
      <c r="X37" s="54">
        <f t="shared" si="32"/>
        <v>541.5</v>
      </c>
      <c r="Y37" s="50" t="str">
        <f t="shared" si="33"/>
        <v>è in grado</v>
      </c>
      <c r="Z37" s="50" t="str">
        <f t="shared" si="34"/>
        <v>non sottende</v>
      </c>
      <c r="AA37" s="54">
        <f t="shared" si="35"/>
        <v>146.77835294117648</v>
      </c>
      <c r="AB37" s="50" t="str">
        <f t="shared" si="36"/>
        <v>A</v>
      </c>
      <c r="AC37" s="50" t="str">
        <f t="shared" si="3"/>
        <v>SI</v>
      </c>
      <c r="AD37" s="50" t="str">
        <f t="shared" si="37"/>
        <v>Si</v>
      </c>
      <c r="AE37" s="50" t="s">
        <v>147</v>
      </c>
      <c r="AF37" s="55">
        <v>1.18</v>
      </c>
      <c r="AG37" s="55">
        <v>187</v>
      </c>
      <c r="AH37" s="55">
        <v>536</v>
      </c>
      <c r="AI37" s="55" t="str">
        <f t="shared" si="26"/>
        <v xml:space="preserve"> </v>
      </c>
      <c r="AJ37" s="53">
        <v>220.37</v>
      </c>
      <c r="AK37" s="53">
        <f t="shared" si="28"/>
        <v>0.65199437309978669</v>
      </c>
      <c r="AL37" s="53">
        <f t="shared" si="10"/>
        <v>143.68</v>
      </c>
      <c r="AM37" s="50" t="s">
        <v>190</v>
      </c>
      <c r="AN37" s="56" t="s">
        <v>222</v>
      </c>
      <c r="AO37" s="66"/>
      <c r="AP37" s="58" t="s">
        <v>223</v>
      </c>
      <c r="AQ37" s="58" t="s">
        <v>224</v>
      </c>
      <c r="AR37" s="58" t="s">
        <v>225</v>
      </c>
      <c r="AS37" s="58" t="s">
        <v>92</v>
      </c>
      <c r="AT37" s="50"/>
      <c r="AU37" s="1"/>
      <c r="AV37" s="1"/>
      <c r="AW37" s="1"/>
      <c r="AX37" s="1"/>
      <c r="AY37" s="1"/>
      <c r="AZ37" s="1"/>
      <c r="BA37" s="1"/>
      <c r="BB37" s="1"/>
      <c r="BC37" s="1"/>
      <c r="BD37" s="1"/>
      <c r="BE37" s="1"/>
      <c r="BF37" s="1"/>
      <c r="BG37" s="1"/>
    </row>
    <row r="38" spans="1:59" ht="14.25" customHeight="1" x14ac:dyDescent="0.25">
      <c r="A38" s="1"/>
      <c r="B38" s="59"/>
      <c r="C38" s="50" t="s">
        <v>265</v>
      </c>
      <c r="D38" s="50" t="s">
        <v>92</v>
      </c>
      <c r="E38" s="50" t="str">
        <f t="shared" si="0"/>
        <v>-001B</v>
      </c>
      <c r="F38" s="50"/>
      <c r="G38" s="50" t="s">
        <v>88</v>
      </c>
      <c r="H38" s="50" t="s">
        <v>216</v>
      </c>
      <c r="I38" s="50" t="s">
        <v>266</v>
      </c>
      <c r="J38" s="50" t="s">
        <v>267</v>
      </c>
      <c r="K38" s="50" t="s">
        <v>219</v>
      </c>
      <c r="L38" s="50" t="s">
        <v>220</v>
      </c>
      <c r="M38" s="51" t="s">
        <v>221</v>
      </c>
      <c r="N38" s="52"/>
      <c r="O38" s="50" t="s">
        <v>151</v>
      </c>
      <c r="P38" s="50">
        <v>107</v>
      </c>
      <c r="Q38" s="53">
        <v>0</v>
      </c>
      <c r="R38" s="54">
        <f t="shared" si="29"/>
        <v>107</v>
      </c>
      <c r="S38" s="54">
        <v>0.25</v>
      </c>
      <c r="T38" s="54">
        <v>0</v>
      </c>
      <c r="U38" s="54">
        <f t="shared" si="30"/>
        <v>0.25</v>
      </c>
      <c r="V38" s="54">
        <v>31.37</v>
      </c>
      <c r="W38" s="52">
        <f t="shared" si="31"/>
        <v>0.92881944444444442</v>
      </c>
      <c r="X38" s="54">
        <f t="shared" si="32"/>
        <v>125.48</v>
      </c>
      <c r="Y38" s="50" t="str">
        <f t="shared" si="33"/>
        <v>è in grado</v>
      </c>
      <c r="Z38" s="50" t="str">
        <f t="shared" si="34"/>
        <v>non sottende</v>
      </c>
      <c r="AA38" s="54">
        <f t="shared" si="35"/>
        <v>33.774056074766357</v>
      </c>
      <c r="AB38" s="50" t="str">
        <f t="shared" si="36"/>
        <v>A</v>
      </c>
      <c r="AC38" s="50" t="str">
        <f t="shared" si="3"/>
        <v>SI</v>
      </c>
      <c r="AD38" s="50" t="str">
        <f t="shared" si="37"/>
        <v>Si</v>
      </c>
      <c r="AE38" s="50" t="s">
        <v>147</v>
      </c>
      <c r="AF38" s="55">
        <v>0.99</v>
      </c>
      <c r="AG38" s="55">
        <v>224</v>
      </c>
      <c r="AH38" s="55">
        <v>566</v>
      </c>
      <c r="AI38" s="55" t="str">
        <f t="shared" si="26"/>
        <v xml:space="preserve"> </v>
      </c>
      <c r="AJ38" s="53">
        <v>369.93</v>
      </c>
      <c r="AK38" s="53">
        <f t="shared" si="28"/>
        <v>0.52072013624199176</v>
      </c>
      <c r="AL38" s="53">
        <f t="shared" si="10"/>
        <v>192.63</v>
      </c>
      <c r="AM38" s="50" t="s">
        <v>190</v>
      </c>
      <c r="AN38" s="56" t="s">
        <v>222</v>
      </c>
      <c r="AO38" s="66"/>
      <c r="AP38" s="58" t="s">
        <v>223</v>
      </c>
      <c r="AQ38" s="58" t="s">
        <v>224</v>
      </c>
      <c r="AR38" s="58" t="s">
        <v>225</v>
      </c>
      <c r="AS38" s="58" t="s">
        <v>92</v>
      </c>
      <c r="AT38" s="50"/>
      <c r="AU38" s="1"/>
      <c r="AV38" s="1"/>
      <c r="AW38" s="1"/>
      <c r="AX38" s="1"/>
      <c r="AY38" s="1"/>
      <c r="AZ38" s="1"/>
      <c r="BA38" s="1"/>
      <c r="BB38" s="1"/>
      <c r="BC38" s="1"/>
      <c r="BD38" s="1"/>
      <c r="BE38" s="1"/>
      <c r="BF38" s="1"/>
      <c r="BG38" s="1"/>
    </row>
    <row r="39" spans="1:59" ht="14.25" customHeight="1" x14ac:dyDescent="0.25">
      <c r="A39" s="1"/>
      <c r="B39" s="59"/>
      <c r="C39" s="50" t="s">
        <v>268</v>
      </c>
      <c r="D39" s="50" t="s">
        <v>92</v>
      </c>
      <c r="E39" s="50" t="str">
        <f t="shared" si="0"/>
        <v>-001B</v>
      </c>
      <c r="F39" s="50"/>
      <c r="G39" s="50" t="s">
        <v>88</v>
      </c>
      <c r="H39" s="50" t="s">
        <v>216</v>
      </c>
      <c r="I39" s="50" t="s">
        <v>269</v>
      </c>
      <c r="J39" s="50" t="s">
        <v>270</v>
      </c>
      <c r="K39" s="50" t="s">
        <v>219</v>
      </c>
      <c r="L39" s="50" t="s">
        <v>220</v>
      </c>
      <c r="M39" s="51" t="s">
        <v>221</v>
      </c>
      <c r="N39" s="52"/>
      <c r="O39" s="50" t="s">
        <v>151</v>
      </c>
      <c r="P39" s="50">
        <v>128</v>
      </c>
      <c r="Q39" s="53">
        <v>0</v>
      </c>
      <c r="R39" s="54">
        <f t="shared" si="29"/>
        <v>128</v>
      </c>
      <c r="S39" s="54">
        <v>0.3</v>
      </c>
      <c r="T39" s="54">
        <v>0</v>
      </c>
      <c r="U39" s="54">
        <f t="shared" si="30"/>
        <v>0.3</v>
      </c>
      <c r="V39" s="54">
        <v>64.39</v>
      </c>
      <c r="W39" s="52">
        <f t="shared" si="31"/>
        <v>1.1111111111111112</v>
      </c>
      <c r="X39" s="54">
        <f t="shared" si="32"/>
        <v>214.63333333333335</v>
      </c>
      <c r="Y39" s="50" t="str">
        <f t="shared" si="33"/>
        <v>è in grado</v>
      </c>
      <c r="Z39" s="50" t="str">
        <f t="shared" si="34"/>
        <v>non sottende</v>
      </c>
      <c r="AA39" s="54">
        <f t="shared" si="35"/>
        <v>57.951000000000001</v>
      </c>
      <c r="AB39" s="50" t="str">
        <f t="shared" si="36"/>
        <v>A</v>
      </c>
      <c r="AC39" s="50" t="str">
        <f t="shared" si="3"/>
        <v>SI</v>
      </c>
      <c r="AD39" s="50" t="str">
        <f t="shared" si="37"/>
        <v>Si</v>
      </c>
      <c r="AE39" s="50" t="s">
        <v>147</v>
      </c>
      <c r="AF39" s="55">
        <v>0.73</v>
      </c>
      <c r="AG39" s="55">
        <v>149</v>
      </c>
      <c r="AH39" s="55">
        <v>533</v>
      </c>
      <c r="AI39" s="55" t="str">
        <f t="shared" si="26"/>
        <v xml:space="preserve"> </v>
      </c>
      <c r="AJ39" s="53">
        <v>210.55</v>
      </c>
      <c r="AK39" s="53">
        <f t="shared" si="28"/>
        <v>0.40185229161719305</v>
      </c>
      <c r="AL39" s="53">
        <f t="shared" si="10"/>
        <v>84.61</v>
      </c>
      <c r="AM39" s="50" t="s">
        <v>190</v>
      </c>
      <c r="AN39" s="56" t="s">
        <v>222</v>
      </c>
      <c r="AO39" s="66"/>
      <c r="AP39" s="58" t="s">
        <v>223</v>
      </c>
      <c r="AQ39" s="58" t="s">
        <v>224</v>
      </c>
      <c r="AR39" s="58" t="s">
        <v>225</v>
      </c>
      <c r="AS39" s="58" t="s">
        <v>92</v>
      </c>
      <c r="AT39" s="50"/>
      <c r="AU39" s="1"/>
      <c r="AV39" s="1"/>
      <c r="AW39" s="1"/>
      <c r="AX39" s="1"/>
      <c r="AY39" s="1"/>
      <c r="AZ39" s="1"/>
      <c r="BA39" s="1"/>
      <c r="BB39" s="1"/>
      <c r="BC39" s="1"/>
      <c r="BD39" s="1"/>
      <c r="BE39" s="1"/>
      <c r="BF39" s="1"/>
      <c r="BG39" s="1"/>
    </row>
    <row r="40" spans="1:59" ht="14.25" customHeight="1" x14ac:dyDescent="0.25">
      <c r="A40" s="1"/>
      <c r="B40" s="59"/>
      <c r="C40" s="50" t="s">
        <v>271</v>
      </c>
      <c r="D40" s="50" t="s">
        <v>272</v>
      </c>
      <c r="E40" s="50" t="str">
        <f t="shared" si="0"/>
        <v>PP0200030013001B</v>
      </c>
      <c r="F40" s="50"/>
      <c r="G40" s="50" t="s">
        <v>88</v>
      </c>
      <c r="H40" s="50" t="s">
        <v>273</v>
      </c>
      <c r="I40" s="50" t="s">
        <v>274</v>
      </c>
      <c r="J40" s="50" t="s">
        <v>275</v>
      </c>
      <c r="K40" s="50" t="s">
        <v>219</v>
      </c>
      <c r="L40" s="50" t="s">
        <v>276</v>
      </c>
      <c r="M40" s="50"/>
      <c r="N40" s="52"/>
      <c r="O40" s="50" t="s">
        <v>159</v>
      </c>
      <c r="P40" s="50">
        <v>411</v>
      </c>
      <c r="Q40" s="53">
        <v>0</v>
      </c>
      <c r="R40" s="54">
        <f t="shared" si="29"/>
        <v>411</v>
      </c>
      <c r="S40" s="54">
        <v>0.97</v>
      </c>
      <c r="T40" s="54">
        <v>0</v>
      </c>
      <c r="U40" s="54">
        <f t="shared" si="30"/>
        <v>0.97</v>
      </c>
      <c r="V40" s="54">
        <v>9</v>
      </c>
      <c r="W40" s="52">
        <f t="shared" si="31"/>
        <v>3.5677083333333335</v>
      </c>
      <c r="X40" s="54">
        <f t="shared" si="32"/>
        <v>9.2783505154639183</v>
      </c>
      <c r="Y40" s="50" t="str">
        <f t="shared" si="33"/>
        <v>è in grado</v>
      </c>
      <c r="Z40" s="50" t="str">
        <f t="shared" si="34"/>
        <v>non sottende</v>
      </c>
      <c r="AA40" s="54">
        <f t="shared" si="35"/>
        <v>2.5226277372262773</v>
      </c>
      <c r="AB40" s="50" t="str">
        <f t="shared" si="36"/>
        <v>A</v>
      </c>
      <c r="AC40" s="50" t="str">
        <f t="shared" si="3"/>
        <v>SI</v>
      </c>
      <c r="AD40" s="50" t="str">
        <f t="shared" si="37"/>
        <v>No</v>
      </c>
      <c r="AE40" s="50" t="s">
        <v>147</v>
      </c>
      <c r="AF40" s="55">
        <v>5.62</v>
      </c>
      <c r="AG40" s="55">
        <v>320</v>
      </c>
      <c r="AH40" s="55">
        <v>668</v>
      </c>
      <c r="AI40" s="55" t="str">
        <f t="shared" si="26"/>
        <v xml:space="preserve"> </v>
      </c>
      <c r="AJ40" s="53">
        <v>180.65</v>
      </c>
      <c r="AK40" s="53">
        <f t="shared" si="28"/>
        <v>1.7215610296152781</v>
      </c>
      <c r="AL40" s="53">
        <f t="shared" si="10"/>
        <v>311</v>
      </c>
      <c r="AM40" s="50" t="s">
        <v>190</v>
      </c>
      <c r="AN40" s="56" t="s">
        <v>236</v>
      </c>
      <c r="AO40" s="57">
        <v>46719</v>
      </c>
      <c r="AP40" s="58" t="s">
        <v>246</v>
      </c>
      <c r="AQ40" s="58" t="s">
        <v>238</v>
      </c>
      <c r="AR40" s="58" t="s">
        <v>239</v>
      </c>
      <c r="AS40" s="65"/>
      <c r="AT40" s="50" t="s">
        <v>247</v>
      </c>
      <c r="AU40" s="1"/>
      <c r="AV40" s="1"/>
      <c r="AW40" s="1"/>
      <c r="AX40" s="1"/>
      <c r="AY40" s="1"/>
      <c r="AZ40" s="1"/>
      <c r="BA40" s="1"/>
      <c r="BB40" s="1"/>
      <c r="BC40" s="1"/>
      <c r="BD40" s="1"/>
      <c r="BE40" s="1"/>
      <c r="BF40" s="1"/>
      <c r="BG40" s="1"/>
    </row>
    <row r="41" spans="1:59" ht="14.25" customHeight="1" x14ac:dyDescent="0.25">
      <c r="A41" s="1"/>
      <c r="B41" s="59"/>
      <c r="C41" s="50" t="s">
        <v>277</v>
      </c>
      <c r="D41" s="50" t="s">
        <v>278</v>
      </c>
      <c r="E41" s="50" t="str">
        <f t="shared" si="0"/>
        <v>PP0200030005001B</v>
      </c>
      <c r="F41" s="50"/>
      <c r="G41" s="50" t="s">
        <v>88</v>
      </c>
      <c r="H41" s="50" t="s">
        <v>95</v>
      </c>
      <c r="I41" s="50" t="s">
        <v>279</v>
      </c>
      <c r="J41" s="50" t="s">
        <v>280</v>
      </c>
      <c r="K41" s="50" t="s">
        <v>219</v>
      </c>
      <c r="L41" s="50" t="s">
        <v>245</v>
      </c>
      <c r="M41" s="50"/>
      <c r="N41" s="52"/>
      <c r="O41" s="50" t="s">
        <v>151</v>
      </c>
      <c r="P41" s="50">
        <v>2198</v>
      </c>
      <c r="Q41" s="53">
        <v>65</v>
      </c>
      <c r="R41" s="54">
        <f t="shared" si="29"/>
        <v>2263</v>
      </c>
      <c r="S41" s="54">
        <v>5.17</v>
      </c>
      <c r="T41" s="54">
        <v>3.07</v>
      </c>
      <c r="U41" s="54">
        <f t="shared" si="30"/>
        <v>8.24</v>
      </c>
      <c r="V41" s="54">
        <v>77.3</v>
      </c>
      <c r="W41" s="52">
        <f t="shared" si="31"/>
        <v>21.65</v>
      </c>
      <c r="X41" s="54">
        <f t="shared" si="32"/>
        <v>9.3810679611650478</v>
      </c>
      <c r="Y41" s="50" t="str">
        <f t="shared" si="33"/>
        <v>è in grado</v>
      </c>
      <c r="Z41" s="50" t="str">
        <f t="shared" si="34"/>
        <v>non sottende</v>
      </c>
      <c r="AA41" s="54">
        <f t="shared" si="35"/>
        <v>3.5704387990762125</v>
      </c>
      <c r="AB41" s="50" t="str">
        <f t="shared" si="36"/>
        <v>A</v>
      </c>
      <c r="AC41" s="50" t="str">
        <f t="shared" si="3"/>
        <v>SI</v>
      </c>
      <c r="AD41" s="50" t="str">
        <f t="shared" si="37"/>
        <v>Si</v>
      </c>
      <c r="AE41" s="50" t="s">
        <v>147</v>
      </c>
      <c r="AF41" s="55">
        <v>51.42</v>
      </c>
      <c r="AG41" s="55">
        <v>4357</v>
      </c>
      <c r="AH41" s="55">
        <v>8803</v>
      </c>
      <c r="AI41" s="55" t="str">
        <f t="shared" si="26"/>
        <v xml:space="preserve"> </v>
      </c>
      <c r="AJ41" s="53">
        <v>180.61</v>
      </c>
      <c r="AK41" s="53">
        <f t="shared" si="28"/>
        <v>23.695808648469075</v>
      </c>
      <c r="AL41" s="53">
        <f t="shared" si="10"/>
        <v>4279.7</v>
      </c>
      <c r="AM41" s="50" t="s">
        <v>190</v>
      </c>
      <c r="AN41" s="56" t="s">
        <v>222</v>
      </c>
      <c r="AO41" s="57">
        <v>46719</v>
      </c>
      <c r="AP41" s="58" t="s">
        <v>246</v>
      </c>
      <c r="AQ41" s="58" t="s">
        <v>238</v>
      </c>
      <c r="AR41" s="58" t="s">
        <v>239</v>
      </c>
      <c r="AS41" s="65"/>
      <c r="AT41" s="50" t="s">
        <v>247</v>
      </c>
      <c r="AU41" s="1"/>
      <c r="AV41" s="1"/>
      <c r="AW41" s="1"/>
      <c r="AX41" s="1"/>
      <c r="AY41" s="1"/>
      <c r="AZ41" s="1"/>
      <c r="BA41" s="1"/>
      <c r="BB41" s="1"/>
      <c r="BC41" s="1"/>
      <c r="BD41" s="1"/>
      <c r="BE41" s="1"/>
      <c r="BF41" s="1"/>
      <c r="BG41" s="1"/>
    </row>
    <row r="42" spans="1:59" ht="14.25" customHeight="1" x14ac:dyDescent="0.25">
      <c r="A42" s="1"/>
      <c r="B42" s="59"/>
      <c r="C42" s="50" t="s">
        <v>281</v>
      </c>
      <c r="D42" s="50" t="s">
        <v>282</v>
      </c>
      <c r="E42" s="50" t="str">
        <f t="shared" si="0"/>
        <v>PP0200030007001B</v>
      </c>
      <c r="F42" s="50"/>
      <c r="G42" s="50" t="s">
        <v>88</v>
      </c>
      <c r="H42" s="50" t="s">
        <v>95</v>
      </c>
      <c r="I42" s="50" t="s">
        <v>283</v>
      </c>
      <c r="J42" s="50" t="s">
        <v>284</v>
      </c>
      <c r="K42" s="50" t="s">
        <v>219</v>
      </c>
      <c r="L42" s="50" t="s">
        <v>285</v>
      </c>
      <c r="M42" s="50" t="s">
        <v>286</v>
      </c>
      <c r="N42" s="52"/>
      <c r="O42" s="50" t="s">
        <v>159</v>
      </c>
      <c r="P42" s="50">
        <v>4</v>
      </c>
      <c r="Q42" s="53">
        <v>0</v>
      </c>
      <c r="R42" s="54">
        <f t="shared" si="29"/>
        <v>4</v>
      </c>
      <c r="S42" s="54">
        <v>0.01</v>
      </c>
      <c r="T42" s="54">
        <v>0</v>
      </c>
      <c r="U42" s="54">
        <f t="shared" si="30"/>
        <v>0.01</v>
      </c>
      <c r="V42" s="54">
        <v>14</v>
      </c>
      <c r="W42" s="52">
        <f t="shared" si="31"/>
        <v>3.4722222222222224E-2</v>
      </c>
      <c r="X42" s="54">
        <f t="shared" si="32"/>
        <v>1400</v>
      </c>
      <c r="Y42" s="50" t="str">
        <f t="shared" si="33"/>
        <v>è in grado</v>
      </c>
      <c r="Z42" s="50" t="str">
        <f t="shared" si="34"/>
        <v>non sottende</v>
      </c>
      <c r="AA42" s="54">
        <f t="shared" si="35"/>
        <v>403.2</v>
      </c>
      <c r="AB42" s="50" t="str">
        <f t="shared" si="36"/>
        <v>A</v>
      </c>
      <c r="AC42" s="50" t="str">
        <f t="shared" si="3"/>
        <v>SI</v>
      </c>
      <c r="AD42" s="50" t="str">
        <f t="shared" si="37"/>
        <v>No</v>
      </c>
      <c r="AE42" s="50" t="s">
        <v>147</v>
      </c>
      <c r="AF42" s="55">
        <v>3.01</v>
      </c>
      <c r="AG42" s="55">
        <v>619</v>
      </c>
      <c r="AH42" s="55">
        <v>405</v>
      </c>
      <c r="AI42" s="55" t="str">
        <f t="shared" si="26"/>
        <v>Manufatto limitante</v>
      </c>
      <c r="AJ42" s="53">
        <v>162.43</v>
      </c>
      <c r="AK42" s="53">
        <f t="shared" si="28"/>
        <v>2.407190789878717</v>
      </c>
      <c r="AL42" s="53">
        <f t="shared" si="10"/>
        <v>391</v>
      </c>
      <c r="AM42" s="50" t="s">
        <v>190</v>
      </c>
      <c r="AN42" s="56" t="s">
        <v>236</v>
      </c>
      <c r="AO42" s="57">
        <v>46719</v>
      </c>
      <c r="AP42" s="58" t="s">
        <v>246</v>
      </c>
      <c r="AQ42" s="58" t="s">
        <v>238</v>
      </c>
      <c r="AR42" s="58" t="s">
        <v>239</v>
      </c>
      <c r="AS42" s="65"/>
      <c r="AT42" s="50" t="s">
        <v>247</v>
      </c>
      <c r="AU42" s="1"/>
      <c r="AV42" s="1"/>
      <c r="AW42" s="1"/>
      <c r="AX42" s="1"/>
      <c r="AY42" s="1"/>
      <c r="AZ42" s="1"/>
      <c r="BA42" s="1"/>
      <c r="BB42" s="1"/>
      <c r="BC42" s="1"/>
      <c r="BD42" s="1"/>
      <c r="BE42" s="1"/>
      <c r="BF42" s="1"/>
      <c r="BG42" s="1"/>
    </row>
    <row r="43" spans="1:59" ht="13.5" customHeight="1" x14ac:dyDescent="0.25">
      <c r="A43" s="1"/>
      <c r="B43" s="59"/>
      <c r="C43" s="50" t="s">
        <v>287</v>
      </c>
      <c r="D43" s="50" t="s">
        <v>288</v>
      </c>
      <c r="E43" s="50" t="str">
        <f t="shared" si="0"/>
        <v>PP0200030004001B</v>
      </c>
      <c r="F43" s="50"/>
      <c r="G43" s="50" t="s">
        <v>88</v>
      </c>
      <c r="H43" s="50" t="s">
        <v>216</v>
      </c>
      <c r="I43" s="50" t="s">
        <v>289</v>
      </c>
      <c r="J43" s="50" t="s">
        <v>290</v>
      </c>
      <c r="K43" s="50" t="s">
        <v>219</v>
      </c>
      <c r="L43" s="50" t="s">
        <v>261</v>
      </c>
      <c r="M43" s="50"/>
      <c r="N43" s="52"/>
      <c r="O43" s="50" t="s">
        <v>159</v>
      </c>
      <c r="P43" s="50">
        <v>1564</v>
      </c>
      <c r="Q43" s="53">
        <v>0</v>
      </c>
      <c r="R43" s="54">
        <f t="shared" si="29"/>
        <v>1564</v>
      </c>
      <c r="S43" s="54">
        <v>3.68</v>
      </c>
      <c r="T43" s="54">
        <v>0</v>
      </c>
      <c r="U43" s="54">
        <f t="shared" si="30"/>
        <v>3.68</v>
      </c>
      <c r="V43" s="54">
        <v>40</v>
      </c>
      <c r="W43" s="52">
        <f t="shared" si="31"/>
        <v>13.576388888888889</v>
      </c>
      <c r="X43" s="54">
        <f t="shared" si="32"/>
        <v>10.869565217391305</v>
      </c>
      <c r="Y43" s="50" t="str">
        <f t="shared" si="33"/>
        <v>è in grado</v>
      </c>
      <c r="Z43" s="50" t="str">
        <f t="shared" si="34"/>
        <v>non sottende</v>
      </c>
      <c r="AA43" s="54">
        <f t="shared" si="35"/>
        <v>2.9462915601023019</v>
      </c>
      <c r="AB43" s="50" t="str">
        <f t="shared" si="36"/>
        <v>A</v>
      </c>
      <c r="AC43" s="50" t="str">
        <f t="shared" si="3"/>
        <v>SI</v>
      </c>
      <c r="AD43" s="50" t="str">
        <f t="shared" si="37"/>
        <v>Si</v>
      </c>
      <c r="AE43" s="50" t="s">
        <v>147</v>
      </c>
      <c r="AF43" s="55">
        <v>30.5</v>
      </c>
      <c r="AG43" s="55">
        <v>2940</v>
      </c>
      <c r="AH43" s="55">
        <v>5413</v>
      </c>
      <c r="AI43" s="55" t="str">
        <f t="shared" si="26"/>
        <v xml:space="preserve"> </v>
      </c>
      <c r="AJ43" s="53">
        <v>183.15</v>
      </c>
      <c r="AK43" s="53">
        <f t="shared" si="28"/>
        <v>15.834015834015833</v>
      </c>
      <c r="AL43" s="53">
        <f t="shared" si="10"/>
        <v>2900</v>
      </c>
      <c r="AM43" s="50" t="s">
        <v>190</v>
      </c>
      <c r="AN43" s="56" t="s">
        <v>236</v>
      </c>
      <c r="AO43" s="57">
        <v>46719</v>
      </c>
      <c r="AP43" s="58" t="s">
        <v>246</v>
      </c>
      <c r="AQ43" s="58" t="s">
        <v>238</v>
      </c>
      <c r="AR43" s="58" t="s">
        <v>239</v>
      </c>
      <c r="AS43" s="65"/>
      <c r="AT43" s="50" t="s">
        <v>247</v>
      </c>
      <c r="AU43" s="1"/>
      <c r="AV43" s="1"/>
      <c r="AW43" s="1"/>
      <c r="AX43" s="1"/>
      <c r="AY43" s="1"/>
      <c r="AZ43" s="1"/>
      <c r="BA43" s="1"/>
      <c r="BB43" s="1"/>
      <c r="BC43" s="1"/>
      <c r="BD43" s="1"/>
      <c r="BE43" s="1"/>
      <c r="BF43" s="1"/>
      <c r="BG43" s="1"/>
    </row>
    <row r="44" spans="1:59" ht="14.25" customHeight="1" x14ac:dyDescent="0.25">
      <c r="A44" s="1"/>
      <c r="B44" s="59"/>
      <c r="C44" s="50" t="s">
        <v>291</v>
      </c>
      <c r="D44" s="50" t="s">
        <v>292</v>
      </c>
      <c r="E44" s="50" t="str">
        <f t="shared" si="0"/>
        <v>PP0200030002001B</v>
      </c>
      <c r="F44" s="50"/>
      <c r="G44" s="50" t="s">
        <v>88</v>
      </c>
      <c r="H44" s="50" t="s">
        <v>216</v>
      </c>
      <c r="I44" s="50" t="s">
        <v>293</v>
      </c>
      <c r="J44" s="50" t="s">
        <v>294</v>
      </c>
      <c r="K44" s="50" t="s">
        <v>219</v>
      </c>
      <c r="L44" s="50" t="s">
        <v>295</v>
      </c>
      <c r="M44" s="50"/>
      <c r="N44" s="52"/>
      <c r="O44" s="50" t="s">
        <v>159</v>
      </c>
      <c r="P44" s="50">
        <v>526</v>
      </c>
      <c r="Q44" s="53">
        <v>0</v>
      </c>
      <c r="R44" s="54">
        <f t="shared" si="29"/>
        <v>526</v>
      </c>
      <c r="S44" s="54">
        <v>1.24</v>
      </c>
      <c r="T44" s="54">
        <v>0</v>
      </c>
      <c r="U44" s="54">
        <f t="shared" si="30"/>
        <v>1.24</v>
      </c>
      <c r="V44" s="54">
        <v>15</v>
      </c>
      <c r="W44" s="52">
        <f t="shared" si="31"/>
        <v>4.5659722222222223</v>
      </c>
      <c r="X44" s="54">
        <f t="shared" si="32"/>
        <v>12.096774193548388</v>
      </c>
      <c r="Y44" s="50" t="str">
        <f t="shared" si="33"/>
        <v>è in grado</v>
      </c>
      <c r="Z44" s="50" t="str">
        <f t="shared" si="34"/>
        <v>non sottende</v>
      </c>
      <c r="AA44" s="54">
        <f t="shared" si="35"/>
        <v>3.2851711026615971</v>
      </c>
      <c r="AB44" s="50" t="str">
        <f t="shared" si="36"/>
        <v>A</v>
      </c>
      <c r="AC44" s="50" t="str">
        <f t="shared" si="3"/>
        <v>SI</v>
      </c>
      <c r="AD44" s="50" t="str">
        <f t="shared" si="37"/>
        <v>No</v>
      </c>
      <c r="AE44" s="50" t="s">
        <v>147</v>
      </c>
      <c r="AF44" s="55">
        <v>14.45</v>
      </c>
      <c r="AG44" s="55">
        <v>1425</v>
      </c>
      <c r="AH44" s="55">
        <v>3391</v>
      </c>
      <c r="AI44" s="55" t="str">
        <f t="shared" si="26"/>
        <v xml:space="preserve"> </v>
      </c>
      <c r="AJ44" s="53">
        <v>198.85</v>
      </c>
      <c r="AK44" s="53">
        <f t="shared" si="28"/>
        <v>7.0907719386472214</v>
      </c>
      <c r="AL44" s="53">
        <f t="shared" si="10"/>
        <v>1410</v>
      </c>
      <c r="AM44" s="50" t="s">
        <v>190</v>
      </c>
      <c r="AN44" s="56" t="s">
        <v>236</v>
      </c>
      <c r="AO44" s="57">
        <v>46719</v>
      </c>
      <c r="AP44" s="58" t="s">
        <v>246</v>
      </c>
      <c r="AQ44" s="58" t="s">
        <v>238</v>
      </c>
      <c r="AR44" s="58" t="s">
        <v>239</v>
      </c>
      <c r="AS44" s="65"/>
      <c r="AT44" s="50" t="s">
        <v>247</v>
      </c>
      <c r="AU44" s="1"/>
      <c r="AV44" s="1"/>
      <c r="AW44" s="1"/>
      <c r="AX44" s="1"/>
      <c r="AY44" s="1"/>
      <c r="AZ44" s="1"/>
      <c r="BA44" s="1"/>
      <c r="BB44" s="1"/>
      <c r="BC44" s="1"/>
      <c r="BD44" s="1"/>
      <c r="BE44" s="1"/>
      <c r="BF44" s="1"/>
      <c r="BG44" s="1"/>
    </row>
    <row r="45" spans="1:59" ht="14.25" customHeight="1" x14ac:dyDescent="0.25">
      <c r="A45" s="1"/>
      <c r="B45" s="59"/>
      <c r="C45" s="50" t="s">
        <v>296</v>
      </c>
      <c r="D45" s="50" t="s">
        <v>297</v>
      </c>
      <c r="E45" s="50" t="str">
        <f t="shared" si="0"/>
        <v>PP0200570006001B</v>
      </c>
      <c r="F45" s="50" t="s">
        <v>298</v>
      </c>
      <c r="G45" s="50" t="s">
        <v>193</v>
      </c>
      <c r="H45" s="50" t="s">
        <v>299</v>
      </c>
      <c r="I45" s="50" t="s">
        <v>300</v>
      </c>
      <c r="J45" s="50" t="s">
        <v>301</v>
      </c>
      <c r="K45" s="50" t="s">
        <v>302</v>
      </c>
      <c r="L45" s="50" t="s">
        <v>303</v>
      </c>
      <c r="M45" s="50" t="s">
        <v>286</v>
      </c>
      <c r="N45" s="52"/>
      <c r="O45" s="50" t="s">
        <v>159</v>
      </c>
      <c r="P45" s="50">
        <v>1118</v>
      </c>
      <c r="Q45" s="53">
        <v>2</v>
      </c>
      <c r="R45" s="53">
        <f t="shared" si="29"/>
        <v>1120</v>
      </c>
      <c r="S45" s="54">
        <v>2.63</v>
      </c>
      <c r="T45" s="54">
        <v>0.02</v>
      </c>
      <c r="U45" s="54">
        <f t="shared" si="30"/>
        <v>2.65</v>
      </c>
      <c r="V45" s="54">
        <v>10</v>
      </c>
      <c r="W45" s="52">
        <f t="shared" si="31"/>
        <v>9.7222222222222214</v>
      </c>
      <c r="X45" s="54">
        <f t="shared" si="32"/>
        <v>3.7735849056603774</v>
      </c>
      <c r="Y45" s="50" t="str">
        <f t="shared" si="33"/>
        <v>è in grado</v>
      </c>
      <c r="Z45" s="50" t="str">
        <f t="shared" si="34"/>
        <v>non sottende</v>
      </c>
      <c r="AA45" s="54">
        <f t="shared" si="35"/>
        <v>1.0285714285714287</v>
      </c>
      <c r="AB45" s="50" t="str">
        <f t="shared" si="36"/>
        <v>B</v>
      </c>
      <c r="AC45" s="50" t="str">
        <f t="shared" si="3"/>
        <v>SI</v>
      </c>
      <c r="AD45" s="50" t="str">
        <f t="shared" si="37"/>
        <v>No</v>
      </c>
      <c r="AE45" s="50" t="s">
        <v>304</v>
      </c>
      <c r="AF45" s="55">
        <v>4</v>
      </c>
      <c r="AG45" s="55">
        <v>469</v>
      </c>
      <c r="AH45" s="55">
        <v>722</v>
      </c>
      <c r="AI45" s="55" t="str">
        <f t="shared" si="26"/>
        <v xml:space="preserve"> </v>
      </c>
      <c r="AJ45" s="53">
        <v>221.86</v>
      </c>
      <c r="AK45" s="53">
        <f t="shared" si="28"/>
        <v>2.0688722617867121</v>
      </c>
      <c r="AL45" s="53">
        <f t="shared" si="10"/>
        <v>459</v>
      </c>
      <c r="AM45" s="50" t="s">
        <v>190</v>
      </c>
      <c r="AN45" s="56" t="s">
        <v>236</v>
      </c>
      <c r="AO45" s="67">
        <v>46180</v>
      </c>
      <c r="AP45" s="58" t="s">
        <v>305</v>
      </c>
      <c r="AQ45" s="58" t="s">
        <v>238</v>
      </c>
      <c r="AR45" s="58">
        <v>2044</v>
      </c>
      <c r="AS45" s="58" t="s">
        <v>306</v>
      </c>
      <c r="AT45" s="64"/>
      <c r="AU45" s="1"/>
      <c r="AV45" s="1"/>
      <c r="AW45" s="1"/>
      <c r="AX45" s="1"/>
      <c r="AY45" s="1"/>
      <c r="AZ45" s="1"/>
      <c r="BA45" s="1"/>
      <c r="BB45" s="1"/>
      <c r="BC45" s="1"/>
      <c r="BD45" s="1"/>
      <c r="BE45" s="1"/>
      <c r="BF45" s="1"/>
      <c r="BG45" s="1"/>
    </row>
    <row r="46" spans="1:59" ht="14.25" customHeight="1" x14ac:dyDescent="0.25">
      <c r="A46" s="1"/>
      <c r="B46" s="68"/>
      <c r="C46" s="50" t="s">
        <v>307</v>
      </c>
      <c r="D46" s="50" t="s">
        <v>308</v>
      </c>
      <c r="E46" s="50" t="str">
        <f t="shared" si="0"/>
        <v>PP0200570007001B</v>
      </c>
      <c r="F46" s="50"/>
      <c r="G46" s="50" t="s">
        <v>193</v>
      </c>
      <c r="H46" s="50" t="s">
        <v>309</v>
      </c>
      <c r="I46" s="50" t="s">
        <v>310</v>
      </c>
      <c r="J46" s="50" t="s">
        <v>311</v>
      </c>
      <c r="K46" s="50" t="s">
        <v>302</v>
      </c>
      <c r="L46" s="50" t="s">
        <v>312</v>
      </c>
      <c r="M46" s="50"/>
      <c r="N46" s="52"/>
      <c r="O46" s="50" t="s">
        <v>151</v>
      </c>
      <c r="P46" s="50">
        <v>153</v>
      </c>
      <c r="Q46" s="53">
        <v>0</v>
      </c>
      <c r="R46" s="53">
        <f t="shared" si="29"/>
        <v>153</v>
      </c>
      <c r="S46" s="54">
        <v>0.36</v>
      </c>
      <c r="T46" s="54">
        <v>0</v>
      </c>
      <c r="U46" s="54">
        <f t="shared" si="30"/>
        <v>0.36</v>
      </c>
      <c r="V46" s="54">
        <v>21.12</v>
      </c>
      <c r="W46" s="52">
        <f t="shared" si="31"/>
        <v>1.328125</v>
      </c>
      <c r="X46" s="54">
        <f t="shared" si="32"/>
        <v>58.666666666666671</v>
      </c>
      <c r="Y46" s="50" t="str">
        <f t="shared" si="33"/>
        <v>è in grado</v>
      </c>
      <c r="Z46" s="50" t="str">
        <f t="shared" si="34"/>
        <v>non sottende</v>
      </c>
      <c r="AA46" s="54">
        <f t="shared" si="35"/>
        <v>15.902117647058825</v>
      </c>
      <c r="AB46" s="50" t="str">
        <f t="shared" si="36"/>
        <v>A</v>
      </c>
      <c r="AC46" s="50" t="str">
        <f t="shared" si="3"/>
        <v>SI</v>
      </c>
      <c r="AD46" s="50" t="str">
        <f t="shared" si="37"/>
        <v>Si</v>
      </c>
      <c r="AE46" s="50" t="s">
        <v>147</v>
      </c>
      <c r="AF46" s="55">
        <v>4.29</v>
      </c>
      <c r="AG46" s="55">
        <v>497</v>
      </c>
      <c r="AH46" s="55">
        <v>344</v>
      </c>
      <c r="AI46" s="55" t="str">
        <f t="shared" si="26"/>
        <v>Manufatto limitante</v>
      </c>
      <c r="AJ46" s="53">
        <v>155.76</v>
      </c>
      <c r="AK46" s="53">
        <f t="shared" si="28"/>
        <v>2.0729327170005138</v>
      </c>
      <c r="AL46" s="53">
        <f t="shared" si="10"/>
        <v>322.88</v>
      </c>
      <c r="AM46" s="50" t="s">
        <v>190</v>
      </c>
      <c r="AN46" s="56" t="s">
        <v>222</v>
      </c>
      <c r="AO46" s="67">
        <v>46180</v>
      </c>
      <c r="AP46" s="58" t="s">
        <v>305</v>
      </c>
      <c r="AQ46" s="58" t="s">
        <v>313</v>
      </c>
      <c r="AR46" s="58" t="s">
        <v>239</v>
      </c>
      <c r="AS46" s="58"/>
      <c r="AT46" s="64" t="s">
        <v>314</v>
      </c>
      <c r="AU46" s="1"/>
      <c r="AV46" s="1"/>
      <c r="AW46" s="1"/>
      <c r="AX46" s="1"/>
      <c r="AY46" s="1"/>
      <c r="AZ46" s="1"/>
      <c r="BA46" s="1"/>
      <c r="BB46" s="1"/>
      <c r="BC46" s="1"/>
      <c r="BD46" s="1"/>
      <c r="BE46" s="1"/>
      <c r="BF46" s="1"/>
      <c r="BG46" s="1"/>
    </row>
    <row r="47" spans="1:59" ht="14.25" customHeight="1" x14ac:dyDescent="0.25">
      <c r="A47" s="1"/>
      <c r="B47" s="59"/>
      <c r="C47" s="50" t="s">
        <v>315</v>
      </c>
      <c r="D47" s="50" t="s">
        <v>316</v>
      </c>
      <c r="E47" s="50" t="str">
        <f t="shared" si="0"/>
        <v>PP0200710005001B</v>
      </c>
      <c r="F47" s="50"/>
      <c r="G47" s="50" t="s">
        <v>102</v>
      </c>
      <c r="H47" s="50" t="s">
        <v>317</v>
      </c>
      <c r="I47" s="50" t="s">
        <v>318</v>
      </c>
      <c r="J47" s="50" t="s">
        <v>319</v>
      </c>
      <c r="K47" s="50" t="s">
        <v>320</v>
      </c>
      <c r="L47" s="50" t="s">
        <v>321</v>
      </c>
      <c r="M47" s="50" t="s">
        <v>286</v>
      </c>
      <c r="N47" s="52"/>
      <c r="O47" s="50" t="s">
        <v>159</v>
      </c>
      <c r="P47" s="50">
        <v>66</v>
      </c>
      <c r="Q47" s="53">
        <v>29</v>
      </c>
      <c r="R47" s="54">
        <f t="shared" si="29"/>
        <v>95</v>
      </c>
      <c r="S47" s="54">
        <v>0.155</v>
      </c>
      <c r="T47" s="54">
        <v>3.52</v>
      </c>
      <c r="U47" s="54">
        <f t="shared" si="30"/>
        <v>3.6749999999999998</v>
      </c>
      <c r="V47" s="54">
        <v>9.8000000000000007</v>
      </c>
      <c r="W47" s="52">
        <f t="shared" si="31"/>
        <v>7.5049999999999999</v>
      </c>
      <c r="X47" s="54">
        <f t="shared" si="32"/>
        <v>2.666666666666667</v>
      </c>
      <c r="Y47" s="50" t="str">
        <f t="shared" si="33"/>
        <v>è in grado</v>
      </c>
      <c r="Z47" s="50" t="str">
        <f t="shared" si="34"/>
        <v>non sottende</v>
      </c>
      <c r="AA47" s="54">
        <f t="shared" si="35"/>
        <v>1.3057961359093939</v>
      </c>
      <c r="AB47" s="50" t="str">
        <f t="shared" si="36"/>
        <v>B</v>
      </c>
      <c r="AC47" s="50" t="str">
        <f t="shared" si="3"/>
        <v>SI</v>
      </c>
      <c r="AD47" s="50" t="str">
        <f t="shared" si="37"/>
        <v>No</v>
      </c>
      <c r="AE47" s="50" t="s">
        <v>147</v>
      </c>
      <c r="AF47" s="55">
        <v>21.19</v>
      </c>
      <c r="AG47" s="55">
        <v>3690</v>
      </c>
      <c r="AH47" s="55">
        <v>515</v>
      </c>
      <c r="AI47" s="55" t="str">
        <f t="shared" si="26"/>
        <v>Manufatto limitante</v>
      </c>
      <c r="AJ47" s="53">
        <v>30.93</v>
      </c>
      <c r="AK47" s="53">
        <f t="shared" si="28"/>
        <v>16.333656644034917</v>
      </c>
      <c r="AL47" s="53">
        <f t="shared" si="10"/>
        <v>505.2</v>
      </c>
      <c r="AM47" s="50" t="s">
        <v>146</v>
      </c>
      <c r="AN47" s="56" t="s">
        <v>236</v>
      </c>
      <c r="AO47" s="67">
        <v>47114</v>
      </c>
      <c r="AP47" s="64" t="s">
        <v>322</v>
      </c>
      <c r="AQ47" s="58" t="s">
        <v>238</v>
      </c>
      <c r="AR47" s="58" t="s">
        <v>239</v>
      </c>
      <c r="AS47" s="58"/>
      <c r="AT47" s="64" t="s">
        <v>323</v>
      </c>
      <c r="AU47" s="1"/>
      <c r="AV47" s="1"/>
      <c r="AW47" s="1"/>
      <c r="AX47" s="1"/>
      <c r="AY47" s="1"/>
      <c r="AZ47" s="1"/>
      <c r="BA47" s="1"/>
      <c r="BB47" s="1"/>
      <c r="BC47" s="1"/>
      <c r="BD47" s="1"/>
      <c r="BE47" s="1"/>
      <c r="BF47" s="1"/>
      <c r="BG47" s="1"/>
    </row>
    <row r="48" spans="1:59" ht="14.25" customHeight="1" x14ac:dyDescent="0.25">
      <c r="A48" s="1"/>
      <c r="B48" s="59" t="s">
        <v>99</v>
      </c>
      <c r="C48" s="50" t="s">
        <v>324</v>
      </c>
      <c r="D48" s="50" t="s">
        <v>325</v>
      </c>
      <c r="E48" s="50" t="str">
        <f t="shared" si="0"/>
        <v>PP0200710021001B</v>
      </c>
      <c r="F48" s="50"/>
      <c r="G48" s="50" t="s">
        <v>102</v>
      </c>
      <c r="H48" s="50" t="s">
        <v>326</v>
      </c>
      <c r="I48" s="50" t="s">
        <v>327</v>
      </c>
      <c r="J48" s="50" t="s">
        <v>328</v>
      </c>
      <c r="K48" s="50" t="s">
        <v>106</v>
      </c>
      <c r="L48" s="50" t="s">
        <v>329</v>
      </c>
      <c r="M48" s="50"/>
      <c r="N48" s="52"/>
      <c r="O48" s="50" t="s">
        <v>151</v>
      </c>
      <c r="P48" s="50">
        <v>60</v>
      </c>
      <c r="Q48" s="53">
        <v>0</v>
      </c>
      <c r="R48" s="54">
        <f t="shared" si="29"/>
        <v>60</v>
      </c>
      <c r="S48" s="54">
        <v>0.14099999999999999</v>
      </c>
      <c r="T48" s="54">
        <v>0</v>
      </c>
      <c r="U48" s="54">
        <f t="shared" si="30"/>
        <v>0.14099999999999999</v>
      </c>
      <c r="V48" s="54">
        <v>62.56</v>
      </c>
      <c r="W48" s="52">
        <f t="shared" si="31"/>
        <v>0.52083333333333337</v>
      </c>
      <c r="X48" s="54">
        <f t="shared" si="32"/>
        <v>443.68794326241141</v>
      </c>
      <c r="Y48" s="50" t="str">
        <f t="shared" si="33"/>
        <v>è in grado</v>
      </c>
      <c r="Z48" s="50" t="str">
        <f t="shared" si="34"/>
        <v>non sottende</v>
      </c>
      <c r="AA48" s="54">
        <f t="shared" si="35"/>
        <v>120.1152</v>
      </c>
      <c r="AB48" s="50" t="str">
        <f t="shared" si="36"/>
        <v>A</v>
      </c>
      <c r="AC48" s="50" t="str">
        <f t="shared" si="3"/>
        <v>SI</v>
      </c>
      <c r="AD48" s="50" t="str">
        <f t="shared" si="37"/>
        <v>Si</v>
      </c>
      <c r="AE48" s="50" t="s">
        <v>147</v>
      </c>
      <c r="AF48" s="55">
        <v>1.76</v>
      </c>
      <c r="AG48" s="55">
        <v>180</v>
      </c>
      <c r="AH48" s="55">
        <v>186</v>
      </c>
      <c r="AI48" s="55" t="str">
        <f t="shared" si="26"/>
        <v xml:space="preserve"> </v>
      </c>
      <c r="AJ48" s="53">
        <v>166.31</v>
      </c>
      <c r="AK48" s="53">
        <f t="shared" si="28"/>
        <v>0.70615116348986828</v>
      </c>
      <c r="AL48" s="53">
        <f t="shared" si="10"/>
        <v>117.44</v>
      </c>
      <c r="AM48" s="50" t="s">
        <v>190</v>
      </c>
      <c r="AN48" s="56" t="s">
        <v>222</v>
      </c>
      <c r="AO48" s="57">
        <v>46122</v>
      </c>
      <c r="AP48" s="58" t="s">
        <v>330</v>
      </c>
      <c r="AQ48" s="58" t="s">
        <v>238</v>
      </c>
      <c r="AR48" s="58" t="s">
        <v>239</v>
      </c>
      <c r="AS48" s="64"/>
      <c r="AT48" s="50" t="s">
        <v>331</v>
      </c>
      <c r="AU48" s="69"/>
      <c r="AV48" s="69"/>
      <c r="AW48" s="69"/>
      <c r="AX48" s="69"/>
      <c r="AY48" s="69"/>
      <c r="AZ48" s="69"/>
      <c r="BA48" s="69"/>
      <c r="BB48" s="69"/>
      <c r="BC48" s="69"/>
      <c r="BD48" s="69"/>
      <c r="BE48" s="69"/>
      <c r="BF48" s="1"/>
      <c r="BG48" s="1"/>
    </row>
    <row r="49" spans="1:59" ht="14.25" customHeight="1" x14ac:dyDescent="0.25">
      <c r="A49" s="1"/>
      <c r="B49" s="59"/>
      <c r="C49" s="70" t="s">
        <v>332</v>
      </c>
      <c r="D49" s="50" t="s">
        <v>333</v>
      </c>
      <c r="E49" s="50" t="str">
        <f t="shared" si="0"/>
        <v>PP0200710010001B</v>
      </c>
      <c r="F49" s="71"/>
      <c r="G49" s="70" t="s">
        <v>102</v>
      </c>
      <c r="H49" s="70" t="s">
        <v>334</v>
      </c>
      <c r="I49" s="70" t="s">
        <v>335</v>
      </c>
      <c r="J49" s="70" t="s">
        <v>336</v>
      </c>
      <c r="K49" s="70" t="s">
        <v>320</v>
      </c>
      <c r="L49" s="70" t="s">
        <v>337</v>
      </c>
      <c r="M49" s="50"/>
      <c r="N49" s="72"/>
      <c r="O49" s="70" t="s">
        <v>151</v>
      </c>
      <c r="P49" s="70">
        <v>209</v>
      </c>
      <c r="Q49" s="73">
        <v>0</v>
      </c>
      <c r="R49" s="74">
        <f t="shared" si="29"/>
        <v>209</v>
      </c>
      <c r="S49" s="74">
        <v>0.49</v>
      </c>
      <c r="T49" s="74">
        <v>0</v>
      </c>
      <c r="U49" s="74">
        <f t="shared" si="30"/>
        <v>0.49</v>
      </c>
      <c r="V49" s="74">
        <v>47.84</v>
      </c>
      <c r="W49" s="52">
        <f t="shared" si="31"/>
        <v>1.8142361111111112</v>
      </c>
      <c r="X49" s="74">
        <f t="shared" si="32"/>
        <v>97.632653061224502</v>
      </c>
      <c r="Y49" s="70" t="str">
        <f t="shared" si="33"/>
        <v>è in grado</v>
      </c>
      <c r="Z49" s="70" t="str">
        <f t="shared" si="34"/>
        <v>non sottende</v>
      </c>
      <c r="AA49" s="74">
        <f t="shared" si="35"/>
        <v>26.369224880382777</v>
      </c>
      <c r="AB49" s="70" t="str">
        <f t="shared" si="36"/>
        <v>A</v>
      </c>
      <c r="AC49" s="50" t="str">
        <f t="shared" si="3"/>
        <v>SI</v>
      </c>
      <c r="AD49" s="70" t="str">
        <f t="shared" si="37"/>
        <v>Si</v>
      </c>
      <c r="AE49" s="70" t="s">
        <v>147</v>
      </c>
      <c r="AF49" s="71">
        <v>12.74</v>
      </c>
      <c r="AG49" s="71">
        <v>1033</v>
      </c>
      <c r="AH49" s="71">
        <v>77</v>
      </c>
      <c r="AI49" s="55" t="str">
        <f t="shared" si="26"/>
        <v>Manufatto limitante</v>
      </c>
      <c r="AJ49" s="73">
        <v>5.48</v>
      </c>
      <c r="AK49" s="53">
        <f t="shared" si="28"/>
        <v>5.321167883211678</v>
      </c>
      <c r="AL49" s="53">
        <f t="shared" si="10"/>
        <v>29.159999999999997</v>
      </c>
      <c r="AM49" s="70" t="s">
        <v>146</v>
      </c>
      <c r="AN49" s="56" t="s">
        <v>236</v>
      </c>
      <c r="AO49" s="67">
        <v>47114</v>
      </c>
      <c r="AP49" s="58" t="s">
        <v>322</v>
      </c>
      <c r="AQ49" s="58" t="s">
        <v>238</v>
      </c>
      <c r="AR49" s="58" t="s">
        <v>239</v>
      </c>
      <c r="AS49" s="58"/>
      <c r="AT49" s="64" t="s">
        <v>323</v>
      </c>
      <c r="AU49" s="1"/>
      <c r="AV49" s="1"/>
      <c r="AW49" s="1"/>
      <c r="AX49" s="1"/>
      <c r="AY49" s="1"/>
      <c r="AZ49" s="1"/>
      <c r="BA49" s="1"/>
      <c r="BB49" s="1"/>
      <c r="BC49" s="1"/>
      <c r="BD49" s="1"/>
      <c r="BE49" s="1"/>
      <c r="BF49" s="1"/>
      <c r="BG49" s="1"/>
    </row>
    <row r="50" spans="1:59" ht="14.25" customHeight="1" x14ac:dyDescent="0.25">
      <c r="A50" s="1"/>
      <c r="B50" s="59"/>
      <c r="C50" s="50" t="s">
        <v>338</v>
      </c>
      <c r="D50" s="50" t="s">
        <v>325</v>
      </c>
      <c r="E50" s="50" t="str">
        <f t="shared" si="0"/>
        <v>PP0200710021001B</v>
      </c>
      <c r="F50" s="50"/>
      <c r="G50" s="50" t="s">
        <v>102</v>
      </c>
      <c r="H50" s="50" t="s">
        <v>339</v>
      </c>
      <c r="I50" s="50" t="s">
        <v>110</v>
      </c>
      <c r="J50" s="50" t="s">
        <v>340</v>
      </c>
      <c r="K50" s="50" t="s">
        <v>341</v>
      </c>
      <c r="L50" s="50" t="s">
        <v>342</v>
      </c>
      <c r="M50" s="50"/>
      <c r="N50" s="52"/>
      <c r="O50" s="50" t="s">
        <v>118</v>
      </c>
      <c r="P50" s="50">
        <v>940</v>
      </c>
      <c r="Q50" s="53">
        <v>0</v>
      </c>
      <c r="R50" s="54">
        <f t="shared" si="29"/>
        <v>940</v>
      </c>
      <c r="S50" s="54">
        <v>2.21</v>
      </c>
      <c r="T50" s="54">
        <v>0</v>
      </c>
      <c r="U50" s="54">
        <f t="shared" si="30"/>
        <v>2.21</v>
      </c>
      <c r="V50" s="54">
        <v>16.75</v>
      </c>
      <c r="W50" s="52">
        <f t="shared" si="31"/>
        <v>8.1597222222222214</v>
      </c>
      <c r="X50" s="54">
        <f t="shared" si="32"/>
        <v>7.5791855203619907</v>
      </c>
      <c r="Y50" s="50" t="str">
        <f t="shared" si="33"/>
        <v>è in grado</v>
      </c>
      <c r="Z50" s="50" t="str">
        <f t="shared" si="34"/>
        <v>non sottende</v>
      </c>
      <c r="AA50" s="54">
        <f t="shared" si="35"/>
        <v>2.0527659574468089</v>
      </c>
      <c r="AB50" s="50" t="str">
        <f t="shared" si="36"/>
        <v>A</v>
      </c>
      <c r="AC50" s="50" t="str">
        <f t="shared" si="3"/>
        <v>SI</v>
      </c>
      <c r="AD50" s="50" t="str">
        <f t="shared" si="37"/>
        <v>No</v>
      </c>
      <c r="AE50" s="50" t="s">
        <v>343</v>
      </c>
      <c r="AF50" s="55">
        <v>6.2</v>
      </c>
      <c r="AG50" s="55">
        <v>646</v>
      </c>
      <c r="AH50" s="55">
        <v>28</v>
      </c>
      <c r="AI50" s="55" t="str">
        <f t="shared" si="26"/>
        <v>Manufatto limitante</v>
      </c>
      <c r="AJ50" s="53">
        <v>4.46</v>
      </c>
      <c r="AK50" s="53">
        <f t="shared" si="28"/>
        <v>2.522421524663677</v>
      </c>
      <c r="AL50" s="53">
        <f t="shared" si="10"/>
        <v>11.25</v>
      </c>
      <c r="AM50" s="50" t="s">
        <v>146</v>
      </c>
      <c r="AN50" s="56" t="s">
        <v>222</v>
      </c>
      <c r="AO50" s="57">
        <v>46969</v>
      </c>
      <c r="AP50" s="58" t="s">
        <v>344</v>
      </c>
      <c r="AQ50" s="58" t="s">
        <v>238</v>
      </c>
      <c r="AR50" s="58"/>
      <c r="AS50" s="58" t="s">
        <v>345</v>
      </c>
      <c r="AT50" s="64"/>
      <c r="AU50" s="1"/>
      <c r="AV50" s="1"/>
      <c r="AW50" s="1"/>
      <c r="AX50" s="1"/>
      <c r="AY50" s="1"/>
      <c r="AZ50" s="1"/>
      <c r="BA50" s="1"/>
      <c r="BB50" s="1"/>
      <c r="BC50" s="1"/>
      <c r="BD50" s="1"/>
      <c r="BE50" s="1"/>
      <c r="BF50" s="1"/>
      <c r="BG50" s="1"/>
    </row>
    <row r="51" spans="1:59" ht="14.25" customHeight="1" x14ac:dyDescent="0.25">
      <c r="A51" s="1"/>
      <c r="B51" s="59" t="s">
        <v>99</v>
      </c>
      <c r="C51" s="50" t="s">
        <v>346</v>
      </c>
      <c r="D51" s="50" t="s">
        <v>347</v>
      </c>
      <c r="E51" s="50" t="str">
        <f t="shared" si="0"/>
        <v>PP0200710018001B</v>
      </c>
      <c r="F51" s="50"/>
      <c r="G51" s="50" t="s">
        <v>102</v>
      </c>
      <c r="H51" s="50" t="s">
        <v>103</v>
      </c>
      <c r="I51" s="50" t="s">
        <v>348</v>
      </c>
      <c r="J51" s="50" t="s">
        <v>349</v>
      </c>
      <c r="K51" s="50" t="s">
        <v>106</v>
      </c>
      <c r="L51" s="50" t="s">
        <v>350</v>
      </c>
      <c r="M51" s="51" t="s">
        <v>221</v>
      </c>
      <c r="N51" s="52"/>
      <c r="O51" s="50" t="s">
        <v>151</v>
      </c>
      <c r="P51" s="50">
        <v>11</v>
      </c>
      <c r="Q51" s="53">
        <v>0</v>
      </c>
      <c r="R51" s="54">
        <f t="shared" si="29"/>
        <v>11</v>
      </c>
      <c r="S51" s="54">
        <v>0.03</v>
      </c>
      <c r="T51" s="54">
        <v>0</v>
      </c>
      <c r="U51" s="54">
        <f t="shared" si="30"/>
        <v>0.03</v>
      </c>
      <c r="V51" s="54">
        <v>21.83</v>
      </c>
      <c r="W51" s="52">
        <f t="shared" si="31"/>
        <v>9.5486111111111105E-2</v>
      </c>
      <c r="X51" s="54">
        <f t="shared" si="32"/>
        <v>727.66666666666663</v>
      </c>
      <c r="Y51" s="50" t="str">
        <f t="shared" si="33"/>
        <v>è in grado</v>
      </c>
      <c r="Z51" s="50" t="str">
        <f t="shared" si="34"/>
        <v>non sottende</v>
      </c>
      <c r="AA51" s="54">
        <f t="shared" si="35"/>
        <v>228.61963636363637</v>
      </c>
      <c r="AB51" s="50" t="str">
        <f t="shared" si="36"/>
        <v>A</v>
      </c>
      <c r="AC51" s="50" t="str">
        <f t="shared" si="3"/>
        <v>SI</v>
      </c>
      <c r="AD51" s="50" t="str">
        <f t="shared" si="37"/>
        <v>Si</v>
      </c>
      <c r="AE51" s="50" t="s">
        <v>147</v>
      </c>
      <c r="AF51" s="55">
        <v>0.32</v>
      </c>
      <c r="AG51" s="55">
        <v>46</v>
      </c>
      <c r="AH51" s="55">
        <v>200</v>
      </c>
      <c r="AI51" s="55" t="str">
        <f t="shared" si="26"/>
        <v xml:space="preserve"> </v>
      </c>
      <c r="AJ51" s="53">
        <v>237.79</v>
      </c>
      <c r="AK51" s="53">
        <f t="shared" si="28"/>
        <v>0.10164430800285967</v>
      </c>
      <c r="AL51" s="53">
        <f t="shared" si="10"/>
        <v>24.17</v>
      </c>
      <c r="AM51" s="50" t="s">
        <v>190</v>
      </c>
      <c r="AN51" s="56" t="s">
        <v>222</v>
      </c>
      <c r="AO51" s="66" t="s">
        <v>351</v>
      </c>
      <c r="AP51" s="58" t="s">
        <v>352</v>
      </c>
      <c r="AQ51" s="58" t="s">
        <v>224</v>
      </c>
      <c r="AR51" s="58" t="s">
        <v>225</v>
      </c>
      <c r="AS51" s="58" t="s">
        <v>92</v>
      </c>
      <c r="AT51" s="50"/>
      <c r="AU51" s="1"/>
      <c r="AV51" s="1"/>
      <c r="AW51" s="1"/>
      <c r="AX51" s="1"/>
      <c r="AY51" s="1"/>
      <c r="AZ51" s="1"/>
      <c r="BA51" s="1"/>
      <c r="BB51" s="1"/>
      <c r="BC51" s="1"/>
      <c r="BD51" s="1"/>
      <c r="BE51" s="1"/>
      <c r="BF51" s="1"/>
      <c r="BG51" s="1"/>
    </row>
    <row r="52" spans="1:59" ht="14.25" customHeight="1" x14ac:dyDescent="0.25">
      <c r="A52" s="1"/>
      <c r="B52" s="59" t="s">
        <v>99</v>
      </c>
      <c r="C52" s="50" t="s">
        <v>353</v>
      </c>
      <c r="D52" s="50" t="s">
        <v>354</v>
      </c>
      <c r="E52" s="50" t="str">
        <f t="shared" si="0"/>
        <v>PP0200710022001B</v>
      </c>
      <c r="F52" s="50"/>
      <c r="G52" s="50" t="s">
        <v>102</v>
      </c>
      <c r="H52" s="50" t="s">
        <v>103</v>
      </c>
      <c r="I52" s="50" t="s">
        <v>355</v>
      </c>
      <c r="J52" s="50" t="s">
        <v>356</v>
      </c>
      <c r="K52" s="50" t="s">
        <v>106</v>
      </c>
      <c r="L52" s="50" t="s">
        <v>357</v>
      </c>
      <c r="M52" s="50"/>
      <c r="N52" s="52"/>
      <c r="O52" s="50" t="s">
        <v>151</v>
      </c>
      <c r="P52" s="50">
        <v>19</v>
      </c>
      <c r="Q52" s="53">
        <v>0</v>
      </c>
      <c r="R52" s="54">
        <f t="shared" si="29"/>
        <v>19</v>
      </c>
      <c r="S52" s="54">
        <v>0.05</v>
      </c>
      <c r="T52" s="54">
        <v>0</v>
      </c>
      <c r="U52" s="54">
        <f t="shared" si="30"/>
        <v>0.05</v>
      </c>
      <c r="V52" s="54">
        <v>21.28</v>
      </c>
      <c r="W52" s="52">
        <f t="shared" si="31"/>
        <v>0.16493055555555555</v>
      </c>
      <c r="X52" s="54">
        <f t="shared" si="32"/>
        <v>425.6</v>
      </c>
      <c r="Y52" s="50" t="str">
        <f t="shared" si="33"/>
        <v>è in grado</v>
      </c>
      <c r="Z52" s="50" t="str">
        <f t="shared" si="34"/>
        <v>non sottende</v>
      </c>
      <c r="AA52" s="54">
        <f t="shared" si="35"/>
        <v>129.024</v>
      </c>
      <c r="AB52" s="50" t="str">
        <f t="shared" si="36"/>
        <v>A</v>
      </c>
      <c r="AC52" s="50" t="str">
        <f t="shared" si="3"/>
        <v>SI</v>
      </c>
      <c r="AD52" s="50" t="str">
        <f t="shared" si="37"/>
        <v>Si</v>
      </c>
      <c r="AE52" s="50" t="s">
        <v>147</v>
      </c>
      <c r="AF52" s="55">
        <v>0.46</v>
      </c>
      <c r="AG52" s="55">
        <v>51</v>
      </c>
      <c r="AH52" s="55">
        <v>88</v>
      </c>
      <c r="AI52" s="55" t="str">
        <f t="shared" si="26"/>
        <v xml:space="preserve"> </v>
      </c>
      <c r="AJ52" s="53">
        <v>175.5</v>
      </c>
      <c r="AK52" s="53">
        <f t="shared" si="28"/>
        <v>0.16934472934472933</v>
      </c>
      <c r="AL52" s="53">
        <f t="shared" si="10"/>
        <v>29.72</v>
      </c>
      <c r="AM52" s="50" t="s">
        <v>190</v>
      </c>
      <c r="AN52" s="56" t="s">
        <v>222</v>
      </c>
      <c r="AO52" s="57">
        <v>46122</v>
      </c>
      <c r="AP52" s="58" t="s">
        <v>330</v>
      </c>
      <c r="AQ52" s="58" t="s">
        <v>238</v>
      </c>
      <c r="AR52" s="58" t="s">
        <v>239</v>
      </c>
      <c r="AS52" s="64"/>
      <c r="AT52" s="50" t="s">
        <v>358</v>
      </c>
      <c r="AU52" s="1"/>
      <c r="AV52" s="1"/>
      <c r="AW52" s="1"/>
      <c r="AX52" s="1"/>
      <c r="AY52" s="1"/>
      <c r="AZ52" s="1"/>
      <c r="BA52" s="1"/>
      <c r="BB52" s="1"/>
      <c r="BC52" s="1"/>
      <c r="BD52" s="1"/>
      <c r="BE52" s="1"/>
      <c r="BF52" s="1"/>
      <c r="BG52" s="1"/>
    </row>
    <row r="53" spans="1:59" ht="14.25" customHeight="1" x14ac:dyDescent="0.25">
      <c r="A53" s="1"/>
      <c r="B53" s="59" t="s">
        <v>99</v>
      </c>
      <c r="C53" s="50" t="s">
        <v>359</v>
      </c>
      <c r="D53" s="50" t="s">
        <v>360</v>
      </c>
      <c r="E53" s="50" t="str">
        <f t="shared" si="0"/>
        <v>PP0200710016001B</v>
      </c>
      <c r="F53" s="50"/>
      <c r="G53" s="50" t="s">
        <v>102</v>
      </c>
      <c r="H53" s="50" t="s">
        <v>361</v>
      </c>
      <c r="I53" s="50" t="s">
        <v>362</v>
      </c>
      <c r="J53" s="50" t="s">
        <v>363</v>
      </c>
      <c r="K53" s="50" t="s">
        <v>141</v>
      </c>
      <c r="L53" s="50" t="s">
        <v>364</v>
      </c>
      <c r="M53" s="50"/>
      <c r="N53" s="52"/>
      <c r="O53" s="50" t="s">
        <v>151</v>
      </c>
      <c r="P53" s="50">
        <v>1107</v>
      </c>
      <c r="Q53" s="53">
        <v>0</v>
      </c>
      <c r="R53" s="54">
        <f t="shared" si="29"/>
        <v>1107</v>
      </c>
      <c r="S53" s="54">
        <v>2.6</v>
      </c>
      <c r="T53" s="54">
        <v>0</v>
      </c>
      <c r="U53" s="54">
        <f t="shared" si="30"/>
        <v>2.6</v>
      </c>
      <c r="V53" s="54">
        <v>209.31</v>
      </c>
      <c r="W53" s="52">
        <f t="shared" si="31"/>
        <v>9.609375</v>
      </c>
      <c r="X53" s="54">
        <f t="shared" si="32"/>
        <v>80.503846153846155</v>
      </c>
      <c r="Y53" s="50" t="str">
        <f t="shared" si="33"/>
        <v>è in grado</v>
      </c>
      <c r="Z53" s="50" t="str">
        <f t="shared" si="34"/>
        <v>non sottende</v>
      </c>
      <c r="AA53" s="54">
        <f t="shared" si="35"/>
        <v>21.781853658536587</v>
      </c>
      <c r="AB53" s="50" t="str">
        <f t="shared" si="36"/>
        <v>A</v>
      </c>
      <c r="AC53" s="50" t="str">
        <f t="shared" si="3"/>
        <v>SI</v>
      </c>
      <c r="AD53" s="50" t="str">
        <f t="shared" si="37"/>
        <v>Si</v>
      </c>
      <c r="AE53" s="50" t="s">
        <v>365</v>
      </c>
      <c r="AF53" s="55">
        <v>13.11</v>
      </c>
      <c r="AG53" s="55">
        <v>1202</v>
      </c>
      <c r="AH53" s="55">
        <v>4850</v>
      </c>
      <c r="AI53" s="55" t="str">
        <f t="shared" si="26"/>
        <v xml:space="preserve"> </v>
      </c>
      <c r="AJ53" s="53">
        <v>189.94</v>
      </c>
      <c r="AK53" s="53">
        <f t="shared" si="28"/>
        <v>5.2263346319890491</v>
      </c>
      <c r="AL53" s="53">
        <f t="shared" si="10"/>
        <v>992.69</v>
      </c>
      <c r="AM53" s="50" t="s">
        <v>190</v>
      </c>
      <c r="AN53" s="56" t="s">
        <v>222</v>
      </c>
      <c r="AO53" s="57">
        <v>47217</v>
      </c>
      <c r="AP53" s="58" t="s">
        <v>366</v>
      </c>
      <c r="AQ53" s="58" t="s">
        <v>238</v>
      </c>
      <c r="AR53" s="75">
        <v>52597</v>
      </c>
      <c r="AS53" s="58" t="s">
        <v>367</v>
      </c>
      <c r="AT53" s="50"/>
      <c r="AU53" s="1"/>
      <c r="AV53" s="1"/>
      <c r="AW53" s="1"/>
      <c r="AX53" s="1"/>
      <c r="AY53" s="1"/>
      <c r="AZ53" s="1"/>
      <c r="BA53" s="1"/>
      <c r="BB53" s="1"/>
      <c r="BC53" s="1"/>
      <c r="BD53" s="1"/>
      <c r="BE53" s="1"/>
      <c r="BF53" s="1"/>
      <c r="BG53" s="1"/>
    </row>
    <row r="54" spans="1:59" ht="14.25" customHeight="1" x14ac:dyDescent="0.25">
      <c r="A54" s="1"/>
      <c r="B54" s="59" t="s">
        <v>99</v>
      </c>
      <c r="C54" s="50" t="s">
        <v>368</v>
      </c>
      <c r="D54" s="50" t="s">
        <v>369</v>
      </c>
      <c r="E54" s="50" t="str">
        <f t="shared" si="0"/>
        <v>PP0200710011001B</v>
      </c>
      <c r="F54" s="50"/>
      <c r="G54" s="50" t="s">
        <v>102</v>
      </c>
      <c r="H54" s="50" t="s">
        <v>361</v>
      </c>
      <c r="I54" s="50" t="s">
        <v>370</v>
      </c>
      <c r="J54" s="50" t="s">
        <v>371</v>
      </c>
      <c r="K54" s="50" t="s">
        <v>141</v>
      </c>
      <c r="L54" s="50" t="s">
        <v>364</v>
      </c>
      <c r="M54" s="50"/>
      <c r="N54" s="52"/>
      <c r="O54" s="50" t="s">
        <v>159</v>
      </c>
      <c r="P54" s="50">
        <v>8</v>
      </c>
      <c r="Q54" s="53">
        <v>0</v>
      </c>
      <c r="R54" s="54">
        <f t="shared" si="29"/>
        <v>8</v>
      </c>
      <c r="S54" s="54">
        <v>0.02</v>
      </c>
      <c r="T54" s="54">
        <v>0</v>
      </c>
      <c r="U54" s="54">
        <f t="shared" si="30"/>
        <v>0.02</v>
      </c>
      <c r="V54" s="54">
        <v>45.71</v>
      </c>
      <c r="W54" s="52">
        <f t="shared" si="31"/>
        <v>6.9444444444444448E-2</v>
      </c>
      <c r="X54" s="54">
        <f t="shared" si="32"/>
        <v>2285.5</v>
      </c>
      <c r="Y54" s="50" t="str">
        <f t="shared" si="33"/>
        <v>è in grado</v>
      </c>
      <c r="Z54" s="50" t="str">
        <f t="shared" si="34"/>
        <v>non sottende</v>
      </c>
      <c r="AA54" s="54">
        <f t="shared" si="35"/>
        <v>658.22399999999993</v>
      </c>
      <c r="AB54" s="50" t="str">
        <f t="shared" si="36"/>
        <v>A</v>
      </c>
      <c r="AC54" s="50" t="str">
        <f t="shared" si="3"/>
        <v>SI</v>
      </c>
      <c r="AD54" s="50" t="str">
        <f t="shared" si="37"/>
        <v>Si</v>
      </c>
      <c r="AE54" s="50" t="s">
        <v>147</v>
      </c>
      <c r="AF54" s="55">
        <v>1.27</v>
      </c>
      <c r="AG54" s="55">
        <v>283</v>
      </c>
      <c r="AH54" s="55">
        <v>2160</v>
      </c>
      <c r="AI54" s="55" t="str">
        <f t="shared" si="26"/>
        <v xml:space="preserve"> </v>
      </c>
      <c r="AJ54" s="53">
        <v>271.77</v>
      </c>
      <c r="AK54" s="53">
        <f t="shared" si="28"/>
        <v>0.87312801265776208</v>
      </c>
      <c r="AL54" s="53">
        <f t="shared" si="10"/>
        <v>237.29</v>
      </c>
      <c r="AM54" s="50" t="s">
        <v>190</v>
      </c>
      <c r="AN54" s="56" t="s">
        <v>236</v>
      </c>
      <c r="AO54" s="57">
        <v>47217</v>
      </c>
      <c r="AP54" s="58" t="s">
        <v>372</v>
      </c>
      <c r="AQ54" s="58" t="s">
        <v>238</v>
      </c>
      <c r="AR54" s="75">
        <v>52597</v>
      </c>
      <c r="AS54" s="58" t="s">
        <v>367</v>
      </c>
      <c r="AT54" s="55"/>
      <c r="AU54" s="1"/>
      <c r="AV54" s="1"/>
      <c r="AW54" s="1"/>
      <c r="AX54" s="1"/>
      <c r="AY54" s="1"/>
      <c r="AZ54" s="1"/>
      <c r="BA54" s="1"/>
      <c r="BB54" s="1"/>
      <c r="BC54" s="1"/>
      <c r="BD54" s="1"/>
      <c r="BE54" s="1"/>
      <c r="BF54" s="1"/>
      <c r="BG54" s="1"/>
    </row>
    <row r="55" spans="1:59" ht="14.25" customHeight="1" x14ac:dyDescent="0.25">
      <c r="A55" s="1"/>
      <c r="B55" s="59" t="s">
        <v>99</v>
      </c>
      <c r="C55" s="50" t="s">
        <v>373</v>
      </c>
      <c r="D55" s="50" t="s">
        <v>374</v>
      </c>
      <c r="E55" s="50" t="str">
        <f t="shared" si="0"/>
        <v>PP0200710014001B</v>
      </c>
      <c r="F55" s="50"/>
      <c r="G55" s="50" t="s">
        <v>102</v>
      </c>
      <c r="H55" s="50" t="s">
        <v>361</v>
      </c>
      <c r="I55" s="50" t="s">
        <v>375</v>
      </c>
      <c r="J55" s="50" t="s">
        <v>376</v>
      </c>
      <c r="K55" s="50" t="s">
        <v>141</v>
      </c>
      <c r="L55" s="50" t="s">
        <v>364</v>
      </c>
      <c r="M55" s="50"/>
      <c r="N55" s="52"/>
      <c r="O55" s="50" t="s">
        <v>151</v>
      </c>
      <c r="P55" s="50">
        <v>10013</v>
      </c>
      <c r="Q55" s="53">
        <v>24</v>
      </c>
      <c r="R55" s="54">
        <f t="shared" si="29"/>
        <v>10037</v>
      </c>
      <c r="S55" s="54">
        <v>23.55</v>
      </c>
      <c r="T55" s="54">
        <v>0.38</v>
      </c>
      <c r="U55" s="54">
        <f t="shared" si="30"/>
        <v>23.93</v>
      </c>
      <c r="V55" s="54">
        <v>182.81</v>
      </c>
      <c r="W55" s="52">
        <f t="shared" si="31"/>
        <v>87.126736111111114</v>
      </c>
      <c r="X55" s="54">
        <f t="shared" si="32"/>
        <v>7.6393648140409534</v>
      </c>
      <c r="Y55" s="50" t="str">
        <f t="shared" si="33"/>
        <v>è in grado</v>
      </c>
      <c r="Z55" s="50" t="str">
        <f t="shared" si="34"/>
        <v>sottende</v>
      </c>
      <c r="AA55" s="54">
        <f t="shared" si="35"/>
        <v>2.0982078310252068</v>
      </c>
      <c r="AB55" s="50" t="str">
        <f t="shared" si="36"/>
        <v>B</v>
      </c>
      <c r="AC55" s="50" t="str">
        <f t="shared" si="3"/>
        <v>SI</v>
      </c>
      <c r="AD55" s="50" t="str">
        <f t="shared" si="37"/>
        <v>Si</v>
      </c>
      <c r="AE55" s="50" t="s">
        <v>377</v>
      </c>
      <c r="AF55" s="55">
        <v>107.63</v>
      </c>
      <c r="AG55" s="55">
        <v>8076</v>
      </c>
      <c r="AH55" s="55">
        <v>1663</v>
      </c>
      <c r="AI55" s="55" t="str">
        <f t="shared" si="26"/>
        <v>Manufatto limitante</v>
      </c>
      <c r="AJ55" s="53">
        <v>29.08</v>
      </c>
      <c r="AK55" s="53">
        <f t="shared" si="28"/>
        <v>50.900618982118296</v>
      </c>
      <c r="AL55" s="53">
        <f t="shared" si="10"/>
        <v>1480.19</v>
      </c>
      <c r="AM55" s="50" t="s">
        <v>146</v>
      </c>
      <c r="AN55" s="56" t="s">
        <v>236</v>
      </c>
      <c r="AO55" s="57">
        <v>47217</v>
      </c>
      <c r="AP55" s="58" t="s">
        <v>378</v>
      </c>
      <c r="AQ55" s="58" t="s">
        <v>238</v>
      </c>
      <c r="AR55" s="75">
        <v>52597</v>
      </c>
      <c r="AS55" s="58" t="s">
        <v>367</v>
      </c>
      <c r="AT55" s="55"/>
      <c r="AU55" s="1"/>
      <c r="AV55" s="1"/>
      <c r="AW55" s="1"/>
      <c r="AX55" s="1"/>
      <c r="AY55" s="1"/>
      <c r="AZ55" s="1"/>
      <c r="BA55" s="1"/>
      <c r="BB55" s="1"/>
      <c r="BC55" s="1"/>
      <c r="BD55" s="1"/>
      <c r="BE55" s="1"/>
      <c r="BF55" s="1"/>
      <c r="BG55" s="1"/>
    </row>
    <row r="56" spans="1:59" ht="14.25" customHeight="1" x14ac:dyDescent="0.25">
      <c r="A56" s="1"/>
      <c r="B56" s="59" t="s">
        <v>99</v>
      </c>
      <c r="C56" s="50" t="s">
        <v>379</v>
      </c>
      <c r="D56" s="50" t="s">
        <v>380</v>
      </c>
      <c r="E56" s="50" t="str">
        <f t="shared" si="0"/>
        <v>PP0200710015001B</v>
      </c>
      <c r="F56" s="50"/>
      <c r="G56" s="50" t="s">
        <v>102</v>
      </c>
      <c r="H56" s="50" t="s">
        <v>361</v>
      </c>
      <c r="I56" s="50" t="s">
        <v>381</v>
      </c>
      <c r="J56" s="50" t="s">
        <v>382</v>
      </c>
      <c r="K56" s="50" t="s">
        <v>141</v>
      </c>
      <c r="L56" s="50" t="s">
        <v>364</v>
      </c>
      <c r="M56" s="50"/>
      <c r="N56" s="52"/>
      <c r="O56" s="50" t="s">
        <v>151</v>
      </c>
      <c r="P56" s="50">
        <v>429</v>
      </c>
      <c r="Q56" s="53">
        <v>0</v>
      </c>
      <c r="R56" s="54">
        <f t="shared" si="29"/>
        <v>429</v>
      </c>
      <c r="S56" s="54">
        <v>1.01</v>
      </c>
      <c r="T56" s="54">
        <v>0</v>
      </c>
      <c r="U56" s="54">
        <f t="shared" si="30"/>
        <v>1.01</v>
      </c>
      <c r="V56" s="54">
        <v>609.17999999999995</v>
      </c>
      <c r="W56" s="52">
        <f t="shared" si="31"/>
        <v>3.7239583333333335</v>
      </c>
      <c r="X56" s="54">
        <f t="shared" si="32"/>
        <v>603.14851485148506</v>
      </c>
      <c r="Y56" s="50" t="str">
        <f t="shared" si="33"/>
        <v>è in grado</v>
      </c>
      <c r="Z56" s="50" t="str">
        <f t="shared" si="34"/>
        <v>non sottende</v>
      </c>
      <c r="AA56" s="54">
        <f t="shared" si="35"/>
        <v>163.58399999999997</v>
      </c>
      <c r="AB56" s="50" t="str">
        <f t="shared" si="36"/>
        <v>A</v>
      </c>
      <c r="AC56" s="50" t="str">
        <f t="shared" si="3"/>
        <v>SI</v>
      </c>
      <c r="AD56" s="50" t="str">
        <f t="shared" si="37"/>
        <v>Si</v>
      </c>
      <c r="AE56" s="50" t="s">
        <v>147</v>
      </c>
      <c r="AF56" s="55">
        <v>5.74</v>
      </c>
      <c r="AG56" s="55">
        <v>729</v>
      </c>
      <c r="AH56" s="55">
        <v>1132</v>
      </c>
      <c r="AI56" s="55" t="str">
        <f t="shared" si="26"/>
        <v xml:space="preserve"> </v>
      </c>
      <c r="AJ56" s="53">
        <v>37.86</v>
      </c>
      <c r="AK56" s="53">
        <f t="shared" si="28"/>
        <v>3.164817749603805</v>
      </c>
      <c r="AL56" s="53">
        <f t="shared" si="10"/>
        <v>119.82000000000005</v>
      </c>
      <c r="AM56" s="50" t="s">
        <v>146</v>
      </c>
      <c r="AN56" s="56" t="s">
        <v>222</v>
      </c>
      <c r="AO56" s="57">
        <v>47217</v>
      </c>
      <c r="AP56" s="58" t="s">
        <v>383</v>
      </c>
      <c r="AQ56" s="58" t="s">
        <v>238</v>
      </c>
      <c r="AR56" s="75">
        <v>52597</v>
      </c>
      <c r="AS56" s="58" t="s">
        <v>367</v>
      </c>
      <c r="AT56" s="55"/>
      <c r="AU56" s="1"/>
      <c r="AV56" s="1"/>
      <c r="AW56" s="1"/>
      <c r="AX56" s="1"/>
      <c r="AY56" s="1"/>
      <c r="AZ56" s="1"/>
      <c r="BA56" s="1"/>
      <c r="BB56" s="1"/>
      <c r="BC56" s="1"/>
      <c r="BD56" s="1"/>
      <c r="BE56" s="1"/>
      <c r="BF56" s="1"/>
      <c r="BG56" s="1"/>
    </row>
    <row r="57" spans="1:59" ht="14.25" customHeight="1" x14ac:dyDescent="0.25">
      <c r="A57" s="1"/>
      <c r="B57" s="59" t="s">
        <v>99</v>
      </c>
      <c r="C57" s="50" t="s">
        <v>384</v>
      </c>
      <c r="D57" s="50" t="s">
        <v>385</v>
      </c>
      <c r="E57" s="50" t="str">
        <f t="shared" si="0"/>
        <v>PP0200710012001B</v>
      </c>
      <c r="F57" s="50"/>
      <c r="G57" s="50" t="s">
        <v>102</v>
      </c>
      <c r="H57" s="50" t="s">
        <v>386</v>
      </c>
      <c r="I57" s="50" t="s">
        <v>387</v>
      </c>
      <c r="J57" s="50" t="s">
        <v>388</v>
      </c>
      <c r="K57" s="50" t="s">
        <v>141</v>
      </c>
      <c r="L57" s="50" t="s">
        <v>364</v>
      </c>
      <c r="M57" s="50"/>
      <c r="N57" s="52"/>
      <c r="O57" s="50" t="s">
        <v>151</v>
      </c>
      <c r="P57" s="50">
        <v>125</v>
      </c>
      <c r="Q57" s="53">
        <v>0</v>
      </c>
      <c r="R57" s="54">
        <f t="shared" si="29"/>
        <v>125</v>
      </c>
      <c r="S57" s="54">
        <v>0.28999999999999998</v>
      </c>
      <c r="T57" s="54">
        <v>0</v>
      </c>
      <c r="U57" s="54">
        <f t="shared" si="30"/>
        <v>0.28999999999999998</v>
      </c>
      <c r="V57" s="54">
        <v>51</v>
      </c>
      <c r="W57" s="52">
        <f t="shared" si="31"/>
        <v>1.0850694444444444</v>
      </c>
      <c r="X57" s="54">
        <f t="shared" si="32"/>
        <v>175.86206896551727</v>
      </c>
      <c r="Y57" s="50" t="str">
        <f t="shared" si="33"/>
        <v>è in grado</v>
      </c>
      <c r="Z57" s="50" t="str">
        <f t="shared" si="34"/>
        <v>non sottende</v>
      </c>
      <c r="AA57" s="54">
        <f t="shared" si="35"/>
        <v>47.001600000000003</v>
      </c>
      <c r="AB57" s="50" t="str">
        <f t="shared" si="36"/>
        <v>A</v>
      </c>
      <c r="AC57" s="50" t="str">
        <f t="shared" si="3"/>
        <v>SI</v>
      </c>
      <c r="AD57" s="50" t="str">
        <f t="shared" si="37"/>
        <v>Si</v>
      </c>
      <c r="AE57" s="50" t="s">
        <v>147</v>
      </c>
      <c r="AF57" s="55">
        <v>3.32</v>
      </c>
      <c r="AG57" s="55">
        <v>307</v>
      </c>
      <c r="AH57" s="55">
        <v>1092</v>
      </c>
      <c r="AI57" s="55" t="str">
        <f t="shared" si="26"/>
        <v xml:space="preserve"> </v>
      </c>
      <c r="AJ57" s="53">
        <v>204.73</v>
      </c>
      <c r="AK57" s="53">
        <f t="shared" si="28"/>
        <v>1.2504273921750599</v>
      </c>
      <c r="AL57" s="53">
        <f t="shared" si="10"/>
        <v>256</v>
      </c>
      <c r="AM57" s="50" t="s">
        <v>190</v>
      </c>
      <c r="AN57" s="56" t="s">
        <v>222</v>
      </c>
      <c r="AO57" s="57">
        <v>47217</v>
      </c>
      <c r="AP57" s="58" t="s">
        <v>389</v>
      </c>
      <c r="AQ57" s="58" t="s">
        <v>255</v>
      </c>
      <c r="AR57" s="58" t="s">
        <v>225</v>
      </c>
      <c r="AS57" s="58" t="s">
        <v>92</v>
      </c>
      <c r="AT57" s="50"/>
      <c r="AU57" s="69"/>
      <c r="AV57" s="69"/>
      <c r="AW57" s="69"/>
      <c r="AX57" s="69"/>
      <c r="AY57" s="69"/>
      <c r="AZ57" s="69"/>
      <c r="BA57" s="69"/>
      <c r="BB57" s="69"/>
      <c r="BC57" s="69"/>
      <c r="BD57" s="69"/>
      <c r="BE57" s="69"/>
      <c r="BF57" s="1"/>
      <c r="BG57" s="1"/>
    </row>
    <row r="58" spans="1:59" ht="14.25" customHeight="1" x14ac:dyDescent="0.25">
      <c r="A58" s="1"/>
      <c r="B58" s="59" t="s">
        <v>99</v>
      </c>
      <c r="C58" s="70" t="s">
        <v>390</v>
      </c>
      <c r="D58" s="50" t="s">
        <v>391</v>
      </c>
      <c r="E58" s="50" t="str">
        <f t="shared" si="0"/>
        <v>PP0200710013001B</v>
      </c>
      <c r="F58" s="70"/>
      <c r="G58" s="70" t="s">
        <v>102</v>
      </c>
      <c r="H58" s="70" t="s">
        <v>361</v>
      </c>
      <c r="I58" s="70" t="s">
        <v>392</v>
      </c>
      <c r="J58" s="70" t="s">
        <v>393</v>
      </c>
      <c r="K58" s="70" t="s">
        <v>141</v>
      </c>
      <c r="L58" s="70" t="s">
        <v>394</v>
      </c>
      <c r="M58" s="70"/>
      <c r="N58" s="72"/>
      <c r="O58" s="70" t="s">
        <v>151</v>
      </c>
      <c r="P58" s="70">
        <v>204</v>
      </c>
      <c r="Q58" s="73">
        <v>0</v>
      </c>
      <c r="R58" s="73">
        <f t="shared" si="29"/>
        <v>204</v>
      </c>
      <c r="S58" s="74">
        <v>0.48</v>
      </c>
      <c r="T58" s="74">
        <v>0</v>
      </c>
      <c r="U58" s="74">
        <f t="shared" si="30"/>
        <v>0.48</v>
      </c>
      <c r="V58" s="74">
        <v>97</v>
      </c>
      <c r="W58" s="52">
        <f t="shared" si="31"/>
        <v>1.7708333333333333</v>
      </c>
      <c r="X58" s="74">
        <f t="shared" si="32"/>
        <v>202.08333333333334</v>
      </c>
      <c r="Y58" s="70" t="str">
        <f t="shared" si="33"/>
        <v>è in grado</v>
      </c>
      <c r="Z58" s="70" t="str">
        <f t="shared" si="34"/>
        <v>non sottende</v>
      </c>
      <c r="AA58" s="74">
        <f t="shared" si="35"/>
        <v>54.776470588235298</v>
      </c>
      <c r="AB58" s="70" t="str">
        <f t="shared" si="36"/>
        <v>A</v>
      </c>
      <c r="AC58" s="50" t="str">
        <f t="shared" si="3"/>
        <v>SI</v>
      </c>
      <c r="AD58" s="70" t="str">
        <f t="shared" si="37"/>
        <v>Si</v>
      </c>
      <c r="AE58" s="70" t="s">
        <v>147</v>
      </c>
      <c r="AF58" s="71">
        <v>4.25</v>
      </c>
      <c r="AG58" s="71">
        <v>489</v>
      </c>
      <c r="AH58" s="71">
        <v>3470</v>
      </c>
      <c r="AI58" s="55" t="str">
        <f t="shared" si="26"/>
        <v xml:space="preserve"> </v>
      </c>
      <c r="AJ58" s="73">
        <v>184.54</v>
      </c>
      <c r="AK58" s="53">
        <f t="shared" si="28"/>
        <v>2.1242007152920777</v>
      </c>
      <c r="AL58" s="53">
        <f t="shared" si="10"/>
        <v>392</v>
      </c>
      <c r="AM58" s="70" t="s">
        <v>190</v>
      </c>
      <c r="AN58" s="56" t="s">
        <v>222</v>
      </c>
      <c r="AO58" s="57">
        <v>47217</v>
      </c>
      <c r="AP58" s="58" t="s">
        <v>395</v>
      </c>
      <c r="AQ58" s="58" t="s">
        <v>255</v>
      </c>
      <c r="AR58" s="58" t="s">
        <v>225</v>
      </c>
      <c r="AS58" s="58" t="s">
        <v>92</v>
      </c>
      <c r="AT58" s="50"/>
      <c r="AU58" s="1"/>
      <c r="AV58" s="1"/>
      <c r="AW58" s="1"/>
      <c r="AX58" s="1"/>
      <c r="AY58" s="1"/>
      <c r="AZ58" s="1"/>
      <c r="BA58" s="1"/>
      <c r="BB58" s="1"/>
      <c r="BC58" s="1"/>
      <c r="BD58" s="1"/>
      <c r="BE58" s="1"/>
      <c r="BF58" s="1"/>
      <c r="BG58" s="1"/>
    </row>
    <row r="59" spans="1:59" ht="14.25" customHeight="1" x14ac:dyDescent="0.25">
      <c r="A59" s="1"/>
      <c r="B59" s="19" t="s">
        <v>99</v>
      </c>
      <c r="C59" s="21" t="s">
        <v>396</v>
      </c>
      <c r="D59" s="21" t="s">
        <v>397</v>
      </c>
      <c r="E59" s="21" t="str">
        <f t="shared" si="0"/>
        <v>PP0200710001001B</v>
      </c>
      <c r="F59" s="21" t="s">
        <v>398</v>
      </c>
      <c r="G59" s="21" t="s">
        <v>102</v>
      </c>
      <c r="H59" s="21" t="s">
        <v>339</v>
      </c>
      <c r="I59" s="21" t="s">
        <v>399</v>
      </c>
      <c r="J59" s="21" t="s">
        <v>400</v>
      </c>
      <c r="K59" s="21" t="s">
        <v>341</v>
      </c>
      <c r="L59" s="21" t="s">
        <v>401</v>
      </c>
      <c r="M59" s="76" t="s">
        <v>221</v>
      </c>
      <c r="N59" s="22"/>
      <c r="O59" s="21" t="s">
        <v>151</v>
      </c>
      <c r="P59" s="21">
        <v>25</v>
      </c>
      <c r="Q59" s="24">
        <v>0</v>
      </c>
      <c r="R59" s="23">
        <f t="shared" si="29"/>
        <v>25</v>
      </c>
      <c r="S59" s="23">
        <v>0.06</v>
      </c>
      <c r="T59" s="23">
        <v>0</v>
      </c>
      <c r="U59" s="23">
        <f t="shared" si="30"/>
        <v>0.06</v>
      </c>
      <c r="V59" s="23">
        <v>133.69999999999999</v>
      </c>
      <c r="W59" s="52">
        <f t="shared" si="31"/>
        <v>0.2170138888888889</v>
      </c>
      <c r="X59" s="23">
        <f t="shared" si="32"/>
        <v>2228.333333333333</v>
      </c>
      <c r="Y59" s="21" t="str">
        <f t="shared" si="33"/>
        <v>è in grado</v>
      </c>
      <c r="Z59" s="21" t="str">
        <f t="shared" si="34"/>
        <v>non sottende</v>
      </c>
      <c r="AA59" s="23">
        <f t="shared" si="35"/>
        <v>616.0895999999999</v>
      </c>
      <c r="AB59" s="21" t="str">
        <f t="shared" si="36"/>
        <v>A</v>
      </c>
      <c r="AC59" s="21" t="str">
        <f t="shared" si="3"/>
        <v>SI</v>
      </c>
      <c r="AD59" s="21" t="str">
        <f t="shared" si="37"/>
        <v>Si</v>
      </c>
      <c r="AE59" s="21" t="s">
        <v>147</v>
      </c>
      <c r="AF59" s="41">
        <v>1.56</v>
      </c>
      <c r="AG59" s="41">
        <v>124</v>
      </c>
      <c r="AH59" s="41">
        <v>187</v>
      </c>
      <c r="AI59" s="41" t="str">
        <f t="shared" si="26"/>
        <v xml:space="preserve"> </v>
      </c>
      <c r="AJ59" s="24">
        <v>260.82</v>
      </c>
      <c r="AK59" s="24">
        <f t="shared" si="28"/>
        <v>-3.7190399509240045E-2</v>
      </c>
      <c r="AL59" s="24">
        <f t="shared" si="10"/>
        <v>-9.6999999999999886</v>
      </c>
      <c r="AM59" s="21" t="s">
        <v>190</v>
      </c>
      <c r="AN59" s="56" t="s">
        <v>222</v>
      </c>
      <c r="AO59" s="77">
        <v>46969</v>
      </c>
      <c r="AP59" s="29" t="s">
        <v>344</v>
      </c>
      <c r="AQ59" s="29" t="s">
        <v>224</v>
      </c>
      <c r="AR59" s="29" t="s">
        <v>225</v>
      </c>
      <c r="AS59" s="29" t="s">
        <v>345</v>
      </c>
      <c r="AT59" s="26"/>
      <c r="AU59" s="38"/>
      <c r="AV59" s="38"/>
      <c r="AW59" s="38"/>
      <c r="AX59" s="38"/>
      <c r="AY59" s="38"/>
      <c r="AZ59" s="38"/>
      <c r="BA59" s="38"/>
      <c r="BB59" s="38"/>
      <c r="BC59" s="38"/>
      <c r="BD59" s="38"/>
      <c r="BE59" s="38"/>
      <c r="BF59" s="1"/>
      <c r="BG59" s="1"/>
    </row>
    <row r="60" spans="1:59" ht="14.25" customHeight="1" x14ac:dyDescent="0.25">
      <c r="A60" s="1"/>
      <c r="B60" s="19" t="s">
        <v>99</v>
      </c>
      <c r="C60" s="50" t="s">
        <v>402</v>
      </c>
      <c r="D60" s="50" t="s">
        <v>403</v>
      </c>
      <c r="E60" s="50" t="str">
        <f t="shared" si="0"/>
        <v>PP0200710020001B</v>
      </c>
      <c r="F60" s="50"/>
      <c r="G60" s="50" t="s">
        <v>102</v>
      </c>
      <c r="H60" s="50" t="s">
        <v>103</v>
      </c>
      <c r="I60" s="50" t="s">
        <v>404</v>
      </c>
      <c r="J60" s="50" t="s">
        <v>405</v>
      </c>
      <c r="K60" s="50" t="s">
        <v>106</v>
      </c>
      <c r="L60" s="50" t="s">
        <v>357</v>
      </c>
      <c r="M60" s="50"/>
      <c r="N60" s="52"/>
      <c r="O60" s="50" t="s">
        <v>151</v>
      </c>
      <c r="P60" s="50">
        <v>258</v>
      </c>
      <c r="Q60" s="53">
        <v>0</v>
      </c>
      <c r="R60" s="54">
        <f t="shared" si="29"/>
        <v>258</v>
      </c>
      <c r="S60" s="54">
        <v>0.61</v>
      </c>
      <c r="T60" s="54">
        <v>0</v>
      </c>
      <c r="U60" s="54">
        <f t="shared" si="30"/>
        <v>0.61</v>
      </c>
      <c r="V60" s="54">
        <v>21.75</v>
      </c>
      <c r="W60" s="52">
        <f t="shared" si="31"/>
        <v>2.2395833333333335</v>
      </c>
      <c r="X60" s="54">
        <f t="shared" si="32"/>
        <v>35.655737704918032</v>
      </c>
      <c r="Y60" s="50" t="str">
        <f t="shared" si="33"/>
        <v>è in grado</v>
      </c>
      <c r="Z60" s="50" t="str">
        <f t="shared" si="34"/>
        <v>non sottende</v>
      </c>
      <c r="AA60" s="54">
        <f t="shared" si="35"/>
        <v>9.7116279069767444</v>
      </c>
      <c r="AB60" s="50" t="str">
        <f t="shared" si="36"/>
        <v>A</v>
      </c>
      <c r="AC60" s="50" t="str">
        <f t="shared" si="3"/>
        <v>SI</v>
      </c>
      <c r="AD60" s="50" t="str">
        <f t="shared" si="37"/>
        <v>Si</v>
      </c>
      <c r="AE60" s="50" t="s">
        <v>147</v>
      </c>
      <c r="AF60" s="55">
        <v>8.36</v>
      </c>
      <c r="AG60" s="55">
        <v>729</v>
      </c>
      <c r="AH60" s="55">
        <v>609</v>
      </c>
      <c r="AI60" s="55" t="str">
        <f t="shared" si="26"/>
        <v>Manufatto limitante</v>
      </c>
      <c r="AJ60" s="53">
        <v>168.67</v>
      </c>
      <c r="AK60" s="53">
        <f t="shared" si="28"/>
        <v>3.4816505602656078</v>
      </c>
      <c r="AL60" s="53">
        <f t="shared" si="10"/>
        <v>587.25</v>
      </c>
      <c r="AM60" s="50" t="s">
        <v>190</v>
      </c>
      <c r="AN60" s="56" t="s">
        <v>222</v>
      </c>
      <c r="AO60" s="57">
        <v>46122</v>
      </c>
      <c r="AP60" s="58" t="s">
        <v>330</v>
      </c>
      <c r="AQ60" s="58" t="s">
        <v>238</v>
      </c>
      <c r="AR60" s="58" t="s">
        <v>239</v>
      </c>
      <c r="AS60" s="64"/>
      <c r="AT60" s="50" t="s">
        <v>331</v>
      </c>
      <c r="AU60" s="1"/>
      <c r="AV60" s="1"/>
      <c r="AW60" s="1"/>
      <c r="AX60" s="1"/>
      <c r="AY60" s="1"/>
      <c r="AZ60" s="1"/>
      <c r="BA60" s="1"/>
      <c r="BB60" s="1"/>
      <c r="BC60" s="1"/>
      <c r="BD60" s="1"/>
      <c r="BE60" s="1"/>
      <c r="BF60" s="1"/>
      <c r="BG60" s="1"/>
    </row>
    <row r="61" spans="1:59" ht="14.25" customHeight="1" x14ac:dyDescent="0.25">
      <c r="A61" s="1"/>
      <c r="B61" s="19" t="s">
        <v>99</v>
      </c>
      <c r="C61" s="50" t="s">
        <v>406</v>
      </c>
      <c r="D61" s="50" t="s">
        <v>407</v>
      </c>
      <c r="E61" s="50" t="str">
        <f t="shared" si="0"/>
        <v>PP0200710019001B</v>
      </c>
      <c r="F61" s="55"/>
      <c r="G61" s="50" t="s">
        <v>102</v>
      </c>
      <c r="H61" s="50" t="s">
        <v>103</v>
      </c>
      <c r="I61" s="50" t="s">
        <v>404</v>
      </c>
      <c r="J61" s="50" t="s">
        <v>408</v>
      </c>
      <c r="K61" s="50" t="s">
        <v>106</v>
      </c>
      <c r="L61" s="50" t="s">
        <v>357</v>
      </c>
      <c r="M61" s="50"/>
      <c r="N61" s="52"/>
      <c r="O61" s="50" t="s">
        <v>151</v>
      </c>
      <c r="P61" s="50">
        <v>83</v>
      </c>
      <c r="Q61" s="53">
        <v>0</v>
      </c>
      <c r="R61" s="54">
        <f t="shared" si="29"/>
        <v>83</v>
      </c>
      <c r="S61" s="54">
        <v>0.2</v>
      </c>
      <c r="T61" s="54">
        <v>0</v>
      </c>
      <c r="U61" s="54">
        <f t="shared" si="30"/>
        <v>0.2</v>
      </c>
      <c r="V61" s="54">
        <v>20.65</v>
      </c>
      <c r="W61" s="52">
        <f t="shared" si="31"/>
        <v>0.72048611111111116</v>
      </c>
      <c r="X61" s="54">
        <f t="shared" si="32"/>
        <v>103.24999999999999</v>
      </c>
      <c r="Y61" s="50" t="str">
        <f t="shared" si="33"/>
        <v>è in grado</v>
      </c>
      <c r="Z61" s="50" t="str">
        <f t="shared" si="34"/>
        <v>non sottende</v>
      </c>
      <c r="AA61" s="54">
        <f t="shared" si="35"/>
        <v>28.661204819277103</v>
      </c>
      <c r="AB61" s="50" t="str">
        <f t="shared" si="36"/>
        <v>A</v>
      </c>
      <c r="AC61" s="50" t="str">
        <f t="shared" si="3"/>
        <v>SI</v>
      </c>
      <c r="AD61" s="50" t="str">
        <f t="shared" si="37"/>
        <v>Si</v>
      </c>
      <c r="AE61" s="50" t="s">
        <v>147</v>
      </c>
      <c r="AF61" s="55">
        <v>0.53</v>
      </c>
      <c r="AG61" s="55">
        <v>72</v>
      </c>
      <c r="AH61" s="55">
        <v>284</v>
      </c>
      <c r="AI61" s="55" t="str">
        <f t="shared" si="26"/>
        <v xml:space="preserve"> </v>
      </c>
      <c r="AJ61" s="53">
        <v>201.83</v>
      </c>
      <c r="AK61" s="53">
        <f t="shared" si="28"/>
        <v>0.25442203834910565</v>
      </c>
      <c r="AL61" s="53">
        <f t="shared" si="10"/>
        <v>51.35</v>
      </c>
      <c r="AM61" s="50" t="s">
        <v>190</v>
      </c>
      <c r="AN61" s="56" t="s">
        <v>222</v>
      </c>
      <c r="AO61" s="57">
        <v>46122</v>
      </c>
      <c r="AP61" s="58" t="s">
        <v>330</v>
      </c>
      <c r="AQ61" s="58" t="s">
        <v>238</v>
      </c>
      <c r="AR61" s="58" t="s">
        <v>239</v>
      </c>
      <c r="AS61" s="64"/>
      <c r="AT61" s="50" t="s">
        <v>331</v>
      </c>
      <c r="AU61" s="69"/>
      <c r="AV61" s="69"/>
      <c r="AW61" s="69"/>
      <c r="AX61" s="69"/>
      <c r="AY61" s="69"/>
      <c r="AZ61" s="69"/>
      <c r="BA61" s="69"/>
      <c r="BB61" s="69"/>
      <c r="BC61" s="69"/>
      <c r="BD61" s="69"/>
      <c r="BE61" s="69"/>
      <c r="BF61" s="1"/>
      <c r="BG61" s="1"/>
    </row>
    <row r="62" spans="1:59" ht="14.25" customHeight="1" x14ac:dyDescent="0.25">
      <c r="A62" s="1"/>
      <c r="B62" s="19" t="s">
        <v>99</v>
      </c>
      <c r="C62" s="70" t="s">
        <v>409</v>
      </c>
      <c r="D62" s="50" t="s">
        <v>410</v>
      </c>
      <c r="E62" s="50" t="str">
        <f t="shared" si="0"/>
        <v>PP0200710008001B</v>
      </c>
      <c r="F62" s="70"/>
      <c r="G62" s="70" t="s">
        <v>102</v>
      </c>
      <c r="H62" s="70" t="s">
        <v>411</v>
      </c>
      <c r="I62" s="70" t="s">
        <v>412</v>
      </c>
      <c r="J62" s="70" t="s">
        <v>413</v>
      </c>
      <c r="K62" s="70" t="s">
        <v>320</v>
      </c>
      <c r="L62" s="70" t="s">
        <v>386</v>
      </c>
      <c r="M62" s="70"/>
      <c r="N62" s="72"/>
      <c r="O62" s="70" t="s">
        <v>159</v>
      </c>
      <c r="P62" s="70">
        <v>656</v>
      </c>
      <c r="Q62" s="53">
        <v>0</v>
      </c>
      <c r="R62" s="73">
        <f t="shared" si="29"/>
        <v>656</v>
      </c>
      <c r="S62" s="74">
        <v>1.54</v>
      </c>
      <c r="T62" s="54">
        <v>0</v>
      </c>
      <c r="U62" s="74">
        <f t="shared" si="30"/>
        <v>1.54</v>
      </c>
      <c r="V62" s="74">
        <v>6.55</v>
      </c>
      <c r="W62" s="52">
        <f t="shared" si="31"/>
        <v>5.6944444444444446</v>
      </c>
      <c r="X62" s="74">
        <f t="shared" si="32"/>
        <v>4.2532467532467528</v>
      </c>
      <c r="Y62" s="70" t="str">
        <f t="shared" si="33"/>
        <v>è in grado</v>
      </c>
      <c r="Z62" s="70" t="str">
        <f t="shared" si="34"/>
        <v>non sottende</v>
      </c>
      <c r="AA62" s="74">
        <f t="shared" si="35"/>
        <v>1.1502439024390243</v>
      </c>
      <c r="AB62" s="70" t="str">
        <f t="shared" si="36"/>
        <v>B</v>
      </c>
      <c r="AC62" s="50" t="str">
        <f t="shared" si="3"/>
        <v>SI</v>
      </c>
      <c r="AD62" s="70" t="str">
        <f t="shared" si="37"/>
        <v>No</v>
      </c>
      <c r="AE62" s="70" t="s">
        <v>377</v>
      </c>
      <c r="AF62" s="71">
        <v>13.84</v>
      </c>
      <c r="AG62" s="71">
        <v>999</v>
      </c>
      <c r="AH62" s="71">
        <v>653</v>
      </c>
      <c r="AI62" s="55" t="str">
        <f t="shared" si="26"/>
        <v>Manufatto limitante</v>
      </c>
      <c r="AJ62" s="73">
        <v>123.94</v>
      </c>
      <c r="AK62" s="53">
        <f t="shared" si="28"/>
        <v>5.2158302404389225</v>
      </c>
      <c r="AL62" s="53">
        <f t="shared" si="10"/>
        <v>646.45000000000005</v>
      </c>
      <c r="AM62" s="70" t="s">
        <v>190</v>
      </c>
      <c r="AN62" s="56" t="s">
        <v>222</v>
      </c>
      <c r="AO62" s="67">
        <v>47114</v>
      </c>
      <c r="AP62" s="58" t="s">
        <v>322</v>
      </c>
      <c r="AQ62" s="58" t="s">
        <v>238</v>
      </c>
      <c r="AR62" s="58" t="s">
        <v>239</v>
      </c>
      <c r="AS62" s="58"/>
      <c r="AT62" s="64" t="s">
        <v>323</v>
      </c>
      <c r="AU62" s="1"/>
      <c r="AV62" s="1"/>
      <c r="AW62" s="1"/>
      <c r="AX62" s="1"/>
      <c r="AY62" s="1"/>
      <c r="AZ62" s="1"/>
      <c r="BA62" s="1"/>
      <c r="BB62" s="1"/>
      <c r="BC62" s="1"/>
      <c r="BD62" s="1"/>
      <c r="BE62" s="1"/>
      <c r="BF62" s="1"/>
      <c r="BG62" s="1"/>
    </row>
    <row r="63" spans="1:59" ht="14.25" customHeight="1" x14ac:dyDescent="0.25">
      <c r="A63" s="1"/>
      <c r="B63" s="19" t="s">
        <v>99</v>
      </c>
      <c r="C63" s="50" t="s">
        <v>414</v>
      </c>
      <c r="D63" s="50" t="s">
        <v>415</v>
      </c>
      <c r="E63" s="50" t="str">
        <f t="shared" si="0"/>
        <v>PP0200710002001B</v>
      </c>
      <c r="F63" s="50"/>
      <c r="G63" s="50" t="s">
        <v>102</v>
      </c>
      <c r="H63" s="50" t="s">
        <v>339</v>
      </c>
      <c r="I63" s="50" t="s">
        <v>416</v>
      </c>
      <c r="J63" s="50" t="s">
        <v>417</v>
      </c>
      <c r="K63" s="50" t="s">
        <v>341</v>
      </c>
      <c r="L63" s="50" t="s">
        <v>342</v>
      </c>
      <c r="M63" s="50"/>
      <c r="N63" s="52"/>
      <c r="O63" s="50" t="s">
        <v>151</v>
      </c>
      <c r="P63" s="50">
        <v>656</v>
      </c>
      <c r="Q63" s="53">
        <v>0</v>
      </c>
      <c r="R63" s="54">
        <f t="shared" si="29"/>
        <v>656</v>
      </c>
      <c r="S63" s="54">
        <v>1.54</v>
      </c>
      <c r="T63" s="54">
        <v>0</v>
      </c>
      <c r="U63" s="54">
        <f t="shared" si="30"/>
        <v>1.54</v>
      </c>
      <c r="V63" s="54">
        <v>109.75</v>
      </c>
      <c r="W63" s="52">
        <f t="shared" si="31"/>
        <v>5.6944444444444446</v>
      </c>
      <c r="X63" s="54">
        <f t="shared" si="32"/>
        <v>71.266233766233768</v>
      </c>
      <c r="Y63" s="50" t="str">
        <f t="shared" si="33"/>
        <v>è in grado</v>
      </c>
      <c r="Z63" s="50" t="str">
        <f t="shared" si="34"/>
        <v>non sottende</v>
      </c>
      <c r="AA63" s="54">
        <f t="shared" si="35"/>
        <v>19.273170731707317</v>
      </c>
      <c r="AB63" s="50" t="str">
        <f t="shared" si="36"/>
        <v>A</v>
      </c>
      <c r="AC63" s="50" t="str">
        <f t="shared" si="3"/>
        <v>SI</v>
      </c>
      <c r="AD63" s="50" t="str">
        <f t="shared" si="37"/>
        <v>Si</v>
      </c>
      <c r="AE63" s="50" t="s">
        <v>147</v>
      </c>
      <c r="AF63" s="55">
        <v>24.54</v>
      </c>
      <c r="AG63" s="55">
        <v>1871</v>
      </c>
      <c r="AH63" s="55">
        <v>1736</v>
      </c>
      <c r="AI63" s="55" t="str">
        <f t="shared" si="26"/>
        <v>Manufatto limitante</v>
      </c>
      <c r="AJ63" s="53">
        <v>140.27000000000001</v>
      </c>
      <c r="AK63" s="53">
        <f t="shared" si="28"/>
        <v>11.59371212661296</v>
      </c>
      <c r="AL63" s="53">
        <f t="shared" si="10"/>
        <v>1626.25</v>
      </c>
      <c r="AM63" s="50" t="s">
        <v>190</v>
      </c>
      <c r="AN63" s="56" t="s">
        <v>222</v>
      </c>
      <c r="AO63" s="57">
        <v>46969</v>
      </c>
      <c r="AP63" s="58" t="s">
        <v>344</v>
      </c>
      <c r="AQ63" s="58" t="s">
        <v>238</v>
      </c>
      <c r="AR63" s="58"/>
      <c r="AS63" s="58" t="s">
        <v>345</v>
      </c>
      <c r="AT63" s="64"/>
      <c r="AU63" s="1"/>
      <c r="AV63" s="1"/>
      <c r="AW63" s="1"/>
      <c r="AX63" s="1"/>
      <c r="AY63" s="1"/>
      <c r="AZ63" s="1"/>
      <c r="BA63" s="1"/>
      <c r="BB63" s="1"/>
      <c r="BC63" s="1"/>
      <c r="BD63" s="1"/>
      <c r="BE63" s="1"/>
      <c r="BF63" s="1"/>
      <c r="BG63" s="1"/>
    </row>
    <row r="64" spans="1:59" ht="14.25" customHeight="1" x14ac:dyDescent="0.25">
      <c r="A64" s="1"/>
      <c r="B64" s="19" t="s">
        <v>99</v>
      </c>
      <c r="C64" s="50" t="s">
        <v>418</v>
      </c>
      <c r="D64" s="50" t="s">
        <v>419</v>
      </c>
      <c r="E64" s="50" t="str">
        <f t="shared" si="0"/>
        <v>PP0200710017001B</v>
      </c>
      <c r="F64" s="50"/>
      <c r="G64" s="50" t="s">
        <v>102</v>
      </c>
      <c r="H64" s="50" t="s">
        <v>103</v>
      </c>
      <c r="I64" s="50" t="s">
        <v>327</v>
      </c>
      <c r="J64" s="50" t="s">
        <v>420</v>
      </c>
      <c r="K64" s="50" t="s">
        <v>106</v>
      </c>
      <c r="L64" s="50" t="s">
        <v>357</v>
      </c>
      <c r="M64" s="50"/>
      <c r="N64" s="52"/>
      <c r="O64" s="50" t="s">
        <v>159</v>
      </c>
      <c r="P64" s="50">
        <v>68</v>
      </c>
      <c r="Q64" s="53">
        <v>0</v>
      </c>
      <c r="R64" s="54">
        <f t="shared" si="29"/>
        <v>68</v>
      </c>
      <c r="S64" s="54">
        <v>0.16</v>
      </c>
      <c r="T64" s="54">
        <v>0</v>
      </c>
      <c r="U64" s="54">
        <f t="shared" si="30"/>
        <v>0.16</v>
      </c>
      <c r="V64" s="54">
        <v>12.85</v>
      </c>
      <c r="W64" s="52">
        <f t="shared" si="31"/>
        <v>0.59027777777777779</v>
      </c>
      <c r="X64" s="54">
        <f t="shared" si="32"/>
        <v>80.3125</v>
      </c>
      <c r="Y64" s="50" t="str">
        <f t="shared" si="33"/>
        <v>è in grado</v>
      </c>
      <c r="Z64" s="50" t="str">
        <f t="shared" si="34"/>
        <v>non sottende</v>
      </c>
      <c r="AA64" s="54">
        <f t="shared" si="35"/>
        <v>21.769411764705882</v>
      </c>
      <c r="AB64" s="50" t="str">
        <f t="shared" si="36"/>
        <v>A</v>
      </c>
      <c r="AC64" s="50" t="str">
        <f t="shared" si="3"/>
        <v>SI</v>
      </c>
      <c r="AD64" s="50" t="str">
        <f t="shared" si="37"/>
        <v>No</v>
      </c>
      <c r="AE64" s="50" t="s">
        <v>147</v>
      </c>
      <c r="AF64" s="55">
        <v>1.73</v>
      </c>
      <c r="AG64" s="55">
        <v>181</v>
      </c>
      <c r="AH64" s="55">
        <v>150</v>
      </c>
      <c r="AI64" s="55" t="str">
        <f t="shared" si="26"/>
        <v>Manufatto limitante</v>
      </c>
      <c r="AJ64" s="53">
        <v>175.66</v>
      </c>
      <c r="AK64" s="53">
        <f t="shared" si="28"/>
        <v>0.78076966867812825</v>
      </c>
      <c r="AL64" s="53">
        <f t="shared" si="10"/>
        <v>137.15</v>
      </c>
      <c r="AM64" s="50" t="s">
        <v>190</v>
      </c>
      <c r="AN64" s="56" t="s">
        <v>222</v>
      </c>
      <c r="AO64" s="57">
        <v>46122</v>
      </c>
      <c r="AP64" s="58" t="s">
        <v>330</v>
      </c>
      <c r="AQ64" s="58" t="s">
        <v>238</v>
      </c>
      <c r="AR64" s="58" t="s">
        <v>239</v>
      </c>
      <c r="AS64" s="64"/>
      <c r="AT64" s="50" t="s">
        <v>331</v>
      </c>
      <c r="AU64" s="1"/>
      <c r="AV64" s="1"/>
      <c r="AW64" s="1"/>
      <c r="AX64" s="1"/>
      <c r="AY64" s="1"/>
      <c r="AZ64" s="1"/>
      <c r="BA64" s="1"/>
      <c r="BB64" s="1"/>
      <c r="BC64" s="1"/>
      <c r="BD64" s="1"/>
      <c r="BE64" s="1"/>
      <c r="BF64" s="1"/>
      <c r="BG64" s="1"/>
    </row>
    <row r="65" spans="1:59" ht="14.25" customHeight="1" x14ac:dyDescent="0.25">
      <c r="A65" s="1"/>
      <c r="B65" s="19" t="s">
        <v>99</v>
      </c>
      <c r="C65" s="50" t="s">
        <v>421</v>
      </c>
      <c r="D65" s="50" t="s">
        <v>422</v>
      </c>
      <c r="E65" s="50" t="str">
        <f t="shared" si="0"/>
        <v>PP0200710003001B</v>
      </c>
      <c r="F65" s="50"/>
      <c r="G65" s="50" t="s">
        <v>102</v>
      </c>
      <c r="H65" s="50" t="s">
        <v>339</v>
      </c>
      <c r="I65" s="50" t="s">
        <v>416</v>
      </c>
      <c r="J65" s="50" t="s">
        <v>423</v>
      </c>
      <c r="K65" s="50" t="s">
        <v>341</v>
      </c>
      <c r="L65" s="50" t="s">
        <v>401</v>
      </c>
      <c r="M65" s="51" t="s">
        <v>221</v>
      </c>
      <c r="N65" s="52"/>
      <c r="O65" s="50" t="s">
        <v>151</v>
      </c>
      <c r="P65" s="50">
        <v>6</v>
      </c>
      <c r="Q65" s="53">
        <v>0</v>
      </c>
      <c r="R65" s="54">
        <f t="shared" si="29"/>
        <v>6</v>
      </c>
      <c r="S65" s="54">
        <v>0.01</v>
      </c>
      <c r="T65" s="54">
        <v>0</v>
      </c>
      <c r="U65" s="54">
        <f t="shared" si="30"/>
        <v>0.01</v>
      </c>
      <c r="V65" s="54">
        <v>121.17</v>
      </c>
      <c r="W65" s="52">
        <f t="shared" si="31"/>
        <v>5.2083333333333336E-2</v>
      </c>
      <c r="X65" s="54">
        <f t="shared" si="32"/>
        <v>12117</v>
      </c>
      <c r="Y65" s="50" t="str">
        <f t="shared" si="33"/>
        <v>è in grado</v>
      </c>
      <c r="Z65" s="50" t="str">
        <f t="shared" si="34"/>
        <v>non sottende</v>
      </c>
      <c r="AA65" s="54">
        <f t="shared" si="35"/>
        <v>2326.4639999999999</v>
      </c>
      <c r="AB65" s="50" t="str">
        <f t="shared" si="36"/>
        <v>A</v>
      </c>
      <c r="AC65" s="50" t="str">
        <f t="shared" si="3"/>
        <v>SI</v>
      </c>
      <c r="AD65" s="50" t="str">
        <f t="shared" si="37"/>
        <v>Si</v>
      </c>
      <c r="AE65" s="50" t="s">
        <v>147</v>
      </c>
      <c r="AF65" s="55">
        <v>0.51</v>
      </c>
      <c r="AG65" s="55">
        <v>58</v>
      </c>
      <c r="AH65" s="55">
        <v>58</v>
      </c>
      <c r="AI65" s="55" t="str">
        <f t="shared" si="26"/>
        <v xml:space="preserve"> </v>
      </c>
      <c r="AJ65" s="53">
        <v>0</v>
      </c>
      <c r="AK65" s="53">
        <v>0.2</v>
      </c>
      <c r="AL65" s="53">
        <f t="shared" si="10"/>
        <v>-63.17</v>
      </c>
      <c r="AM65" s="50" t="s">
        <v>146</v>
      </c>
      <c r="AN65" s="56" t="s">
        <v>222</v>
      </c>
      <c r="AO65" s="57">
        <v>46969</v>
      </c>
      <c r="AP65" s="58" t="s">
        <v>344</v>
      </c>
      <c r="AQ65" s="58" t="s">
        <v>224</v>
      </c>
      <c r="AR65" s="58" t="s">
        <v>225</v>
      </c>
      <c r="AS65" s="58" t="s">
        <v>345</v>
      </c>
      <c r="AT65" s="64"/>
      <c r="AU65" s="1"/>
      <c r="AV65" s="1"/>
      <c r="AW65" s="1"/>
      <c r="AX65" s="1"/>
      <c r="AY65" s="1"/>
      <c r="AZ65" s="1"/>
      <c r="BA65" s="1"/>
      <c r="BB65" s="1"/>
      <c r="BC65" s="1"/>
      <c r="BD65" s="1"/>
      <c r="BE65" s="1"/>
      <c r="BF65" s="1"/>
      <c r="BG65" s="1"/>
    </row>
    <row r="66" spans="1:59" ht="14.25" customHeight="1" x14ac:dyDescent="0.25">
      <c r="A66" s="1"/>
      <c r="B66" s="19" t="s">
        <v>99</v>
      </c>
      <c r="C66" s="50" t="s">
        <v>424</v>
      </c>
      <c r="D66" s="50" t="s">
        <v>425</v>
      </c>
      <c r="E66" s="50" t="str">
        <f t="shared" si="0"/>
        <v>PP0200710006001B</v>
      </c>
      <c r="F66" s="50"/>
      <c r="G66" s="50" t="s">
        <v>102</v>
      </c>
      <c r="H66" s="50" t="s">
        <v>317</v>
      </c>
      <c r="I66" s="50" t="s">
        <v>426</v>
      </c>
      <c r="J66" s="50" t="s">
        <v>427</v>
      </c>
      <c r="K66" s="50" t="s">
        <v>320</v>
      </c>
      <c r="L66" s="50" t="s">
        <v>428</v>
      </c>
      <c r="M66" s="50" t="s">
        <v>286</v>
      </c>
      <c r="N66" s="52"/>
      <c r="O66" s="50" t="s">
        <v>118</v>
      </c>
      <c r="P66" s="50">
        <v>1637</v>
      </c>
      <c r="Q66" s="53">
        <v>103</v>
      </c>
      <c r="R66" s="54">
        <f t="shared" si="29"/>
        <v>1740</v>
      </c>
      <c r="S66" s="54">
        <v>3.85</v>
      </c>
      <c r="T66" s="54">
        <v>6.22</v>
      </c>
      <c r="U66" s="54">
        <f t="shared" si="30"/>
        <v>10.07</v>
      </c>
      <c r="V66" s="54">
        <v>29</v>
      </c>
      <c r="W66" s="52">
        <f t="shared" si="31"/>
        <v>23.990000000000002</v>
      </c>
      <c r="X66" s="54">
        <f t="shared" si="32"/>
        <v>2.8798411122144985</v>
      </c>
      <c r="Y66" s="50" t="str">
        <f t="shared" si="33"/>
        <v>è in grado</v>
      </c>
      <c r="Z66" s="50" t="str">
        <f t="shared" si="34"/>
        <v>non sottende</v>
      </c>
      <c r="AA66" s="54">
        <f t="shared" si="35"/>
        <v>1.208837015423093</v>
      </c>
      <c r="AB66" s="50" t="str">
        <f t="shared" si="36"/>
        <v>B</v>
      </c>
      <c r="AC66" s="50" t="str">
        <f t="shared" si="3"/>
        <v>SI</v>
      </c>
      <c r="AD66" s="50" t="str">
        <f t="shared" si="37"/>
        <v>Si</v>
      </c>
      <c r="AE66" s="50" t="s">
        <v>343</v>
      </c>
      <c r="AF66" s="55">
        <v>73.7</v>
      </c>
      <c r="AG66" s="55">
        <v>5097</v>
      </c>
      <c r="AH66" s="55">
        <v>972</v>
      </c>
      <c r="AI66" s="55" t="str">
        <f t="shared" si="26"/>
        <v>Manufatto limitante</v>
      </c>
      <c r="AJ66" s="53">
        <v>23.86</v>
      </c>
      <c r="AK66" s="53">
        <f t="shared" ref="AK66:AK128" si="38">((MIN(AG66:AH66))-V66)/AJ66</f>
        <v>39.522212908633698</v>
      </c>
      <c r="AL66" s="53">
        <f t="shared" si="10"/>
        <v>943</v>
      </c>
      <c r="AM66" s="50" t="s">
        <v>146</v>
      </c>
      <c r="AN66" s="56" t="s">
        <v>236</v>
      </c>
      <c r="AO66" s="67">
        <v>47114</v>
      </c>
      <c r="AP66" s="58" t="s">
        <v>322</v>
      </c>
      <c r="AQ66" s="58" t="s">
        <v>238</v>
      </c>
      <c r="AR66" s="58" t="s">
        <v>239</v>
      </c>
      <c r="AS66" s="58"/>
      <c r="AT66" s="64" t="s">
        <v>323</v>
      </c>
      <c r="AU66" s="1"/>
      <c r="AV66" s="1"/>
      <c r="AW66" s="1"/>
      <c r="AX66" s="1"/>
      <c r="AY66" s="1"/>
      <c r="AZ66" s="1"/>
      <c r="BA66" s="1"/>
      <c r="BB66" s="1"/>
      <c r="BC66" s="1"/>
      <c r="BD66" s="1"/>
      <c r="BE66" s="1"/>
      <c r="BF66" s="1"/>
      <c r="BG66" s="1"/>
    </row>
    <row r="67" spans="1:59" ht="14.25" customHeight="1" x14ac:dyDescent="0.25">
      <c r="A67" s="1"/>
      <c r="B67" s="19" t="s">
        <v>99</v>
      </c>
      <c r="C67" s="50" t="s">
        <v>429</v>
      </c>
      <c r="D67" s="50" t="s">
        <v>430</v>
      </c>
      <c r="E67" s="50" t="str">
        <f t="shared" si="0"/>
        <v>PP0200710004001B</v>
      </c>
      <c r="F67" s="50" t="s">
        <v>431</v>
      </c>
      <c r="G67" s="50" t="s">
        <v>102</v>
      </c>
      <c r="H67" s="50" t="s">
        <v>317</v>
      </c>
      <c r="I67" s="50" t="s">
        <v>432</v>
      </c>
      <c r="J67" s="50" t="s">
        <v>433</v>
      </c>
      <c r="K67" s="50" t="s">
        <v>320</v>
      </c>
      <c r="L67" s="50" t="s">
        <v>434</v>
      </c>
      <c r="M67" s="51" t="s">
        <v>221</v>
      </c>
      <c r="N67" s="52"/>
      <c r="O67" s="50" t="s">
        <v>151</v>
      </c>
      <c r="P67" s="50">
        <v>201</v>
      </c>
      <c r="Q67" s="53">
        <v>1</v>
      </c>
      <c r="R67" s="54">
        <f t="shared" si="29"/>
        <v>202</v>
      </c>
      <c r="S67" s="54">
        <v>0.47</v>
      </c>
      <c r="T67" s="54">
        <v>0.01</v>
      </c>
      <c r="U67" s="54">
        <f t="shared" si="30"/>
        <v>0.48</v>
      </c>
      <c r="V67" s="54">
        <v>45.4</v>
      </c>
      <c r="W67" s="52">
        <f t="shared" si="31"/>
        <v>1.7534722222222223</v>
      </c>
      <c r="X67" s="54">
        <f t="shared" si="32"/>
        <v>94.583333333333329</v>
      </c>
      <c r="Y67" s="50" t="str">
        <f t="shared" si="33"/>
        <v>è in grado</v>
      </c>
      <c r="Z67" s="50" t="str">
        <f t="shared" si="34"/>
        <v>non sottende</v>
      </c>
      <c r="AA67" s="54">
        <f t="shared" si="35"/>
        <v>25.89148514851485</v>
      </c>
      <c r="AB67" s="50" t="str">
        <f t="shared" si="36"/>
        <v>A</v>
      </c>
      <c r="AC67" s="50" t="str">
        <f t="shared" si="3"/>
        <v>SI</v>
      </c>
      <c r="AD67" s="50" t="str">
        <f t="shared" si="37"/>
        <v>Si</v>
      </c>
      <c r="AE67" s="50" t="s">
        <v>147</v>
      </c>
      <c r="AF67" s="55">
        <v>9.24</v>
      </c>
      <c r="AG67" s="55">
        <v>1024</v>
      </c>
      <c r="AH67" s="55">
        <v>1260</v>
      </c>
      <c r="AI67" s="55" t="str">
        <f t="shared" si="26"/>
        <v xml:space="preserve"> </v>
      </c>
      <c r="AJ67" s="53">
        <v>220.03</v>
      </c>
      <c r="AK67" s="53">
        <f t="shared" si="38"/>
        <v>4.4475753306367318</v>
      </c>
      <c r="AL67" s="53">
        <f t="shared" si="10"/>
        <v>978.6</v>
      </c>
      <c r="AM67" s="50" t="s">
        <v>190</v>
      </c>
      <c r="AN67" s="56" t="s">
        <v>222</v>
      </c>
      <c r="AO67" s="67">
        <v>47114</v>
      </c>
      <c r="AP67" s="58" t="s">
        <v>322</v>
      </c>
      <c r="AQ67" s="58" t="s">
        <v>255</v>
      </c>
      <c r="AR67" s="58" t="s">
        <v>239</v>
      </c>
      <c r="AS67" s="58"/>
      <c r="AT67" s="64" t="s">
        <v>323</v>
      </c>
      <c r="AU67" s="1"/>
      <c r="AV67" s="1"/>
      <c r="AW67" s="1"/>
      <c r="AX67" s="1"/>
      <c r="AY67" s="1"/>
      <c r="AZ67" s="1"/>
      <c r="BA67" s="1"/>
      <c r="BB67" s="1"/>
      <c r="BC67" s="1"/>
      <c r="BD67" s="1"/>
      <c r="BE67" s="1"/>
      <c r="BF67" s="1"/>
      <c r="BG67" s="1"/>
    </row>
    <row r="68" spans="1:59" ht="14.25" customHeight="1" x14ac:dyDescent="0.25">
      <c r="A68" s="1"/>
      <c r="B68" s="19" t="s">
        <v>99</v>
      </c>
      <c r="C68" s="50" t="s">
        <v>435</v>
      </c>
      <c r="D68" s="50" t="s">
        <v>436</v>
      </c>
      <c r="E68" s="50" t="str">
        <f t="shared" si="0"/>
        <v>PP0200710007001B</v>
      </c>
      <c r="F68" s="50"/>
      <c r="G68" s="50" t="s">
        <v>102</v>
      </c>
      <c r="H68" s="50" t="s">
        <v>317</v>
      </c>
      <c r="I68" s="50" t="s">
        <v>437</v>
      </c>
      <c r="J68" s="50" t="s">
        <v>438</v>
      </c>
      <c r="K68" s="50" t="s">
        <v>320</v>
      </c>
      <c r="L68" s="50" t="s">
        <v>439</v>
      </c>
      <c r="M68" s="50"/>
      <c r="N68" s="52"/>
      <c r="O68" s="50" t="s">
        <v>151</v>
      </c>
      <c r="P68" s="50">
        <v>33</v>
      </c>
      <c r="Q68" s="53">
        <v>0</v>
      </c>
      <c r="R68" s="54">
        <f t="shared" si="29"/>
        <v>33</v>
      </c>
      <c r="S68" s="54">
        <v>0.08</v>
      </c>
      <c r="T68" s="54">
        <v>0</v>
      </c>
      <c r="U68" s="54">
        <f t="shared" si="30"/>
        <v>0.08</v>
      </c>
      <c r="V68" s="54">
        <v>20.84</v>
      </c>
      <c r="W68" s="52">
        <f t="shared" si="31"/>
        <v>0.28645833333333331</v>
      </c>
      <c r="X68" s="54">
        <f t="shared" si="32"/>
        <v>260.5</v>
      </c>
      <c r="Y68" s="50" t="str">
        <f t="shared" si="33"/>
        <v>è in grado</v>
      </c>
      <c r="Z68" s="50" t="str">
        <f t="shared" si="34"/>
        <v>non sottende</v>
      </c>
      <c r="AA68" s="54">
        <f t="shared" si="35"/>
        <v>72.75054545454546</v>
      </c>
      <c r="AB68" s="50" t="str">
        <f t="shared" si="36"/>
        <v>A</v>
      </c>
      <c r="AC68" s="50" t="str">
        <f t="shared" si="3"/>
        <v>SI</v>
      </c>
      <c r="AD68" s="50" t="str">
        <f t="shared" si="37"/>
        <v>Si</v>
      </c>
      <c r="AE68" s="50" t="s">
        <v>147</v>
      </c>
      <c r="AF68" s="55">
        <v>7.74</v>
      </c>
      <c r="AG68" s="55">
        <v>1172</v>
      </c>
      <c r="AH68" s="55">
        <v>366</v>
      </c>
      <c r="AI68" s="55" t="str">
        <f t="shared" si="26"/>
        <v>Manufatto limitante</v>
      </c>
      <c r="AJ68" s="53">
        <v>56.66</v>
      </c>
      <c r="AK68" s="53">
        <f t="shared" si="38"/>
        <v>6.0917755030003535</v>
      </c>
      <c r="AL68" s="53">
        <f t="shared" si="10"/>
        <v>345.16</v>
      </c>
      <c r="AM68" s="50" t="s">
        <v>190</v>
      </c>
      <c r="AN68" s="56" t="s">
        <v>236</v>
      </c>
      <c r="AO68" s="67">
        <v>47114</v>
      </c>
      <c r="AP68" s="58" t="s">
        <v>322</v>
      </c>
      <c r="AQ68" s="58" t="s">
        <v>238</v>
      </c>
      <c r="AR68" s="58" t="s">
        <v>239</v>
      </c>
      <c r="AS68" s="58"/>
      <c r="AT68" s="64" t="s">
        <v>323</v>
      </c>
      <c r="AU68" s="1"/>
      <c r="AV68" s="1"/>
      <c r="AW68" s="1"/>
      <c r="AX68" s="1"/>
      <c r="AY68" s="1"/>
      <c r="AZ68" s="1"/>
      <c r="BA68" s="1"/>
      <c r="BB68" s="1"/>
      <c r="BC68" s="1"/>
      <c r="BD68" s="1"/>
      <c r="BE68" s="1"/>
      <c r="BF68" s="1"/>
      <c r="BG68" s="1"/>
    </row>
    <row r="69" spans="1:59" ht="14.25" customHeight="1" x14ac:dyDescent="0.25">
      <c r="A69" s="1"/>
      <c r="B69" s="19" t="s">
        <v>99</v>
      </c>
      <c r="C69" s="50" t="s">
        <v>440</v>
      </c>
      <c r="D69" s="50" t="s">
        <v>441</v>
      </c>
      <c r="E69" s="50" t="str">
        <f t="shared" si="0"/>
        <v>PP0200070001001B</v>
      </c>
      <c r="F69" s="50"/>
      <c r="G69" s="50" t="s">
        <v>115</v>
      </c>
      <c r="H69" s="50" t="s">
        <v>95</v>
      </c>
      <c r="I69" s="50" t="s">
        <v>442</v>
      </c>
      <c r="J69" s="50" t="s">
        <v>443</v>
      </c>
      <c r="K69" s="50" t="s">
        <v>117</v>
      </c>
      <c r="L69" s="50" t="s">
        <v>444</v>
      </c>
      <c r="M69" s="50"/>
      <c r="N69" s="52"/>
      <c r="O69" s="50" t="s">
        <v>151</v>
      </c>
      <c r="P69" s="50">
        <v>2143</v>
      </c>
      <c r="Q69" s="53">
        <v>14</v>
      </c>
      <c r="R69" s="54">
        <f t="shared" si="29"/>
        <v>2157</v>
      </c>
      <c r="S69" s="54">
        <v>5.04</v>
      </c>
      <c r="T69" s="54">
        <v>0.12</v>
      </c>
      <c r="U69" s="54">
        <f t="shared" si="30"/>
        <v>5.16</v>
      </c>
      <c r="V69" s="54">
        <v>20.16</v>
      </c>
      <c r="W69" s="52">
        <f t="shared" si="31"/>
        <v>18.723958333333332</v>
      </c>
      <c r="X69" s="54">
        <f t="shared" si="32"/>
        <v>3.9069767441860463</v>
      </c>
      <c r="Y69" s="50" t="str">
        <f t="shared" si="33"/>
        <v>è in grado</v>
      </c>
      <c r="Z69" s="50" t="str">
        <f t="shared" si="34"/>
        <v>non sottende</v>
      </c>
      <c r="AA69" s="54">
        <f t="shared" si="35"/>
        <v>1.0766954102920725</v>
      </c>
      <c r="AB69" s="50" t="str">
        <f t="shared" si="36"/>
        <v>B</v>
      </c>
      <c r="AC69" s="50" t="str">
        <f t="shared" si="3"/>
        <v>SI</v>
      </c>
      <c r="AD69" s="50" t="str">
        <f t="shared" si="37"/>
        <v>Si</v>
      </c>
      <c r="AE69" s="50" t="s">
        <v>377</v>
      </c>
      <c r="AF69" s="55">
        <v>0</v>
      </c>
      <c r="AG69" s="55">
        <v>80</v>
      </c>
      <c r="AH69" s="55">
        <v>99</v>
      </c>
      <c r="AI69" s="55" t="str">
        <f t="shared" si="26"/>
        <v xml:space="preserve"> </v>
      </c>
      <c r="AJ69" s="53">
        <v>0</v>
      </c>
      <c r="AK69" s="53" t="e">
        <f t="shared" si="38"/>
        <v>#DIV/0!</v>
      </c>
      <c r="AL69" s="53">
        <f t="shared" si="10"/>
        <v>59.84</v>
      </c>
      <c r="AM69" s="50" t="s">
        <v>146</v>
      </c>
      <c r="AN69" s="56" t="s">
        <v>222</v>
      </c>
      <c r="AO69" s="67">
        <v>46147</v>
      </c>
      <c r="AP69" s="58" t="s">
        <v>119</v>
      </c>
      <c r="AQ69" s="58" t="s">
        <v>445</v>
      </c>
      <c r="AR69" s="75">
        <v>51501</v>
      </c>
      <c r="AS69" s="58" t="s">
        <v>446</v>
      </c>
      <c r="AT69" s="64"/>
      <c r="AU69" s="1"/>
      <c r="AV69" s="1"/>
      <c r="AW69" s="1"/>
      <c r="AX69" s="1"/>
      <c r="AY69" s="1"/>
      <c r="AZ69" s="1"/>
      <c r="BA69" s="1"/>
      <c r="BB69" s="1"/>
      <c r="BC69" s="1"/>
      <c r="BD69" s="1"/>
      <c r="BE69" s="1"/>
      <c r="BF69" s="1"/>
      <c r="BG69" s="1"/>
    </row>
    <row r="70" spans="1:59" ht="14.25" customHeight="1" x14ac:dyDescent="0.25">
      <c r="A70" s="1"/>
      <c r="B70" s="19" t="s">
        <v>99</v>
      </c>
      <c r="C70" s="50" t="s">
        <v>447</v>
      </c>
      <c r="D70" s="50" t="s">
        <v>448</v>
      </c>
      <c r="E70" s="50" t="str">
        <f t="shared" si="0"/>
        <v>PP0200070006001B</v>
      </c>
      <c r="F70" s="50"/>
      <c r="G70" s="50" t="s">
        <v>115</v>
      </c>
      <c r="H70" s="50" t="s">
        <v>95</v>
      </c>
      <c r="I70" s="50" t="s">
        <v>442</v>
      </c>
      <c r="J70" s="50" t="s">
        <v>449</v>
      </c>
      <c r="K70" s="50" t="s">
        <v>117</v>
      </c>
      <c r="L70" s="50" t="s">
        <v>444</v>
      </c>
      <c r="M70" s="50"/>
      <c r="N70" s="52"/>
      <c r="O70" s="50" t="s">
        <v>151</v>
      </c>
      <c r="P70" s="50">
        <v>153</v>
      </c>
      <c r="Q70" s="53">
        <v>0</v>
      </c>
      <c r="R70" s="54">
        <f t="shared" si="29"/>
        <v>153</v>
      </c>
      <c r="S70" s="54">
        <v>0.36</v>
      </c>
      <c r="T70" s="54">
        <v>0</v>
      </c>
      <c r="U70" s="54">
        <f t="shared" si="30"/>
        <v>0.36</v>
      </c>
      <c r="V70" s="54">
        <v>20.16</v>
      </c>
      <c r="W70" s="52">
        <f t="shared" si="31"/>
        <v>1.328125</v>
      </c>
      <c r="X70" s="54">
        <f t="shared" si="32"/>
        <v>56</v>
      </c>
      <c r="Y70" s="50" t="str">
        <f t="shared" si="33"/>
        <v>è in grado</v>
      </c>
      <c r="Z70" s="50" t="str">
        <f t="shared" si="34"/>
        <v>non sottende</v>
      </c>
      <c r="AA70" s="54">
        <f t="shared" si="35"/>
        <v>15.179294117647059</v>
      </c>
      <c r="AB70" s="50" t="str">
        <f t="shared" si="36"/>
        <v>A</v>
      </c>
      <c r="AC70" s="50" t="str">
        <f t="shared" si="3"/>
        <v>SI</v>
      </c>
      <c r="AD70" s="50" t="str">
        <f t="shared" si="37"/>
        <v>Si</v>
      </c>
      <c r="AE70" s="50" t="s">
        <v>147</v>
      </c>
      <c r="AF70" s="55">
        <v>3.47</v>
      </c>
      <c r="AG70" s="55">
        <v>457</v>
      </c>
      <c r="AH70" s="55">
        <v>535</v>
      </c>
      <c r="AI70" s="55" t="str">
        <f t="shared" si="26"/>
        <v xml:space="preserve"> </v>
      </c>
      <c r="AJ70" s="53">
        <v>211.78</v>
      </c>
      <c r="AK70" s="53">
        <f t="shared" si="38"/>
        <v>2.0627065823023893</v>
      </c>
      <c r="AL70" s="53">
        <f t="shared" si="10"/>
        <v>436.84</v>
      </c>
      <c r="AM70" s="50" t="s">
        <v>190</v>
      </c>
      <c r="AN70" s="56" t="s">
        <v>222</v>
      </c>
      <c r="AO70" s="67">
        <v>46147</v>
      </c>
      <c r="AP70" s="58" t="s">
        <v>119</v>
      </c>
      <c r="AQ70" s="58" t="s">
        <v>445</v>
      </c>
      <c r="AR70" s="75">
        <v>51501</v>
      </c>
      <c r="AS70" s="58" t="s">
        <v>446</v>
      </c>
      <c r="AT70" s="64"/>
      <c r="AU70" s="1"/>
      <c r="AV70" s="1"/>
      <c r="AW70" s="1"/>
      <c r="AX70" s="1"/>
      <c r="AY70" s="1"/>
      <c r="AZ70" s="1"/>
      <c r="BA70" s="1"/>
      <c r="BB70" s="1"/>
      <c r="BC70" s="1"/>
      <c r="BD70" s="1"/>
      <c r="BE70" s="1"/>
      <c r="BF70" s="1"/>
      <c r="BG70" s="1"/>
    </row>
    <row r="71" spans="1:59" ht="14.25" customHeight="1" x14ac:dyDescent="0.25">
      <c r="A71" s="1"/>
      <c r="B71" s="19" t="s">
        <v>99</v>
      </c>
      <c r="C71" s="50" t="s">
        <v>450</v>
      </c>
      <c r="D71" s="50" t="s">
        <v>451</v>
      </c>
      <c r="E71" s="50" t="str">
        <f t="shared" si="0"/>
        <v>PP0200070008001B</v>
      </c>
      <c r="F71" s="50"/>
      <c r="G71" s="50" t="s">
        <v>115</v>
      </c>
      <c r="H71" s="50" t="s">
        <v>95</v>
      </c>
      <c r="I71" s="50" t="s">
        <v>452</v>
      </c>
      <c r="J71" s="50" t="s">
        <v>453</v>
      </c>
      <c r="K71" s="50" t="s">
        <v>117</v>
      </c>
      <c r="L71" s="50" t="s">
        <v>454</v>
      </c>
      <c r="M71" s="50"/>
      <c r="N71" s="52"/>
      <c r="O71" s="50" t="s">
        <v>151</v>
      </c>
      <c r="P71" s="50">
        <v>1222</v>
      </c>
      <c r="Q71" s="53">
        <v>14</v>
      </c>
      <c r="R71" s="54">
        <f t="shared" si="29"/>
        <v>1236</v>
      </c>
      <c r="S71" s="54">
        <v>2.87</v>
      </c>
      <c r="T71" s="54">
        <v>0.09</v>
      </c>
      <c r="U71" s="54">
        <f t="shared" si="30"/>
        <v>2.96</v>
      </c>
      <c r="V71" s="54">
        <v>629.85</v>
      </c>
      <c r="W71" s="52">
        <f t="shared" si="31"/>
        <v>10.729166666666666</v>
      </c>
      <c r="X71" s="54">
        <f t="shared" si="32"/>
        <v>212.78716216216216</v>
      </c>
      <c r="Y71" s="50" t="str">
        <f t="shared" si="33"/>
        <v>è in grado</v>
      </c>
      <c r="Z71" s="50" t="str">
        <f t="shared" si="34"/>
        <v>non sottende</v>
      </c>
      <c r="AA71" s="54">
        <f t="shared" si="35"/>
        <v>58.704466019417481</v>
      </c>
      <c r="AB71" s="50" t="str">
        <f t="shared" si="36"/>
        <v>A</v>
      </c>
      <c r="AC71" s="50" t="str">
        <f t="shared" si="3"/>
        <v>SI</v>
      </c>
      <c r="AD71" s="50" t="str">
        <f t="shared" si="37"/>
        <v>Si</v>
      </c>
      <c r="AE71" s="50" t="s">
        <v>147</v>
      </c>
      <c r="AF71" s="55">
        <v>40.93</v>
      </c>
      <c r="AG71" s="55">
        <v>3478</v>
      </c>
      <c r="AH71" s="55">
        <v>1136</v>
      </c>
      <c r="AI71" s="55" t="str">
        <f t="shared" si="26"/>
        <v>Manufatto limitante</v>
      </c>
      <c r="AJ71" s="53">
        <v>22.26</v>
      </c>
      <c r="AK71" s="53">
        <f t="shared" si="38"/>
        <v>22.738095238095237</v>
      </c>
      <c r="AL71" s="53">
        <f t="shared" si="10"/>
        <v>506.15</v>
      </c>
      <c r="AM71" s="50" t="s">
        <v>147</v>
      </c>
      <c r="AN71" s="56" t="s">
        <v>222</v>
      </c>
      <c r="AO71" s="67">
        <v>46147</v>
      </c>
      <c r="AP71" s="58" t="s">
        <v>119</v>
      </c>
      <c r="AQ71" s="58" t="s">
        <v>445</v>
      </c>
      <c r="AR71" s="58" t="s">
        <v>225</v>
      </c>
      <c r="AS71" s="58" t="s">
        <v>455</v>
      </c>
      <c r="AT71" s="58" t="s">
        <v>456</v>
      </c>
      <c r="AU71" s="1"/>
      <c r="AV71" s="1"/>
      <c r="AW71" s="1"/>
      <c r="AX71" s="1"/>
      <c r="AY71" s="1"/>
      <c r="AZ71" s="1"/>
      <c r="BA71" s="1"/>
      <c r="BB71" s="1"/>
      <c r="BC71" s="1"/>
      <c r="BD71" s="1"/>
      <c r="BE71" s="1"/>
      <c r="BF71" s="1"/>
      <c r="BG71" s="1"/>
    </row>
    <row r="72" spans="1:59" ht="14.25" customHeight="1" x14ac:dyDescent="0.25">
      <c r="A72" s="1"/>
      <c r="B72" s="19" t="s">
        <v>99</v>
      </c>
      <c r="C72" s="50" t="s">
        <v>457</v>
      </c>
      <c r="D72" s="50" t="s">
        <v>458</v>
      </c>
      <c r="E72" s="50" t="str">
        <f t="shared" si="0"/>
        <v>PP0200070002001B</v>
      </c>
      <c r="F72" s="50"/>
      <c r="G72" s="50" t="s">
        <v>115</v>
      </c>
      <c r="H72" s="50" t="s">
        <v>95</v>
      </c>
      <c r="I72" s="50" t="s">
        <v>442</v>
      </c>
      <c r="J72" s="50" t="s">
        <v>459</v>
      </c>
      <c r="K72" s="50" t="s">
        <v>117</v>
      </c>
      <c r="L72" s="50" t="s">
        <v>454</v>
      </c>
      <c r="M72" s="50"/>
      <c r="N72" s="52"/>
      <c r="O72" s="50" t="s">
        <v>151</v>
      </c>
      <c r="P72" s="50">
        <v>1782</v>
      </c>
      <c r="Q72" s="53">
        <v>14</v>
      </c>
      <c r="R72" s="54">
        <f t="shared" si="29"/>
        <v>1796</v>
      </c>
      <c r="S72" s="54">
        <v>4.1900000000000004</v>
      </c>
      <c r="T72" s="54">
        <v>0.09</v>
      </c>
      <c r="U72" s="54">
        <f t="shared" si="30"/>
        <v>4.28</v>
      </c>
      <c r="V72" s="54">
        <v>39.700000000000003</v>
      </c>
      <c r="W72" s="52">
        <f t="shared" si="31"/>
        <v>15.590277777777779</v>
      </c>
      <c r="X72" s="54">
        <f t="shared" si="32"/>
        <v>9.2757009345794401</v>
      </c>
      <c r="Y72" s="50" t="str">
        <f t="shared" si="33"/>
        <v>è in grado</v>
      </c>
      <c r="Z72" s="50" t="str">
        <f t="shared" si="34"/>
        <v>non sottende</v>
      </c>
      <c r="AA72" s="54">
        <f t="shared" si="35"/>
        <v>2.5464587973273942</v>
      </c>
      <c r="AB72" s="50" t="str">
        <f t="shared" si="36"/>
        <v>A</v>
      </c>
      <c r="AC72" s="50" t="str">
        <f t="shared" si="3"/>
        <v>SI</v>
      </c>
      <c r="AD72" s="50" t="str">
        <f t="shared" si="37"/>
        <v>Si</v>
      </c>
      <c r="AE72" s="50" t="s">
        <v>147</v>
      </c>
      <c r="AF72" s="55">
        <v>15.04</v>
      </c>
      <c r="AG72" s="55">
        <v>1932</v>
      </c>
      <c r="AH72" s="55">
        <v>2307</v>
      </c>
      <c r="AI72" s="55" t="str">
        <f t="shared" si="26"/>
        <v xml:space="preserve"> </v>
      </c>
      <c r="AJ72" s="53">
        <v>222.8</v>
      </c>
      <c r="AK72" s="53">
        <f t="shared" si="38"/>
        <v>8.4932675044883297</v>
      </c>
      <c r="AL72" s="53">
        <f t="shared" si="10"/>
        <v>1892.3</v>
      </c>
      <c r="AM72" s="50" t="s">
        <v>190</v>
      </c>
      <c r="AN72" s="56" t="s">
        <v>236</v>
      </c>
      <c r="AO72" s="67">
        <v>46147</v>
      </c>
      <c r="AP72" s="58" t="s">
        <v>119</v>
      </c>
      <c r="AQ72" s="58" t="s">
        <v>445</v>
      </c>
      <c r="AR72" s="58" t="s">
        <v>225</v>
      </c>
      <c r="AS72" s="58" t="s">
        <v>455</v>
      </c>
      <c r="AT72" s="58" t="s">
        <v>456</v>
      </c>
      <c r="AU72" s="1"/>
      <c r="AV72" s="1"/>
      <c r="AW72" s="1"/>
      <c r="AX72" s="1"/>
      <c r="AY72" s="1"/>
      <c r="AZ72" s="1"/>
      <c r="BA72" s="1"/>
      <c r="BB72" s="1"/>
      <c r="BC72" s="1"/>
      <c r="BD72" s="1"/>
      <c r="BE72" s="1"/>
      <c r="BF72" s="1"/>
      <c r="BG72" s="1"/>
    </row>
    <row r="73" spans="1:59" ht="14.25" customHeight="1" x14ac:dyDescent="0.25">
      <c r="A73" s="1"/>
      <c r="B73" s="19" t="s">
        <v>99</v>
      </c>
      <c r="C73" s="50" t="s">
        <v>460</v>
      </c>
      <c r="D73" s="50" t="s">
        <v>461</v>
      </c>
      <c r="E73" s="50" t="str">
        <f t="shared" si="0"/>
        <v>PP0200070005001B</v>
      </c>
      <c r="F73" s="50"/>
      <c r="G73" s="50" t="s">
        <v>115</v>
      </c>
      <c r="H73" s="50" t="s">
        <v>95</v>
      </c>
      <c r="I73" s="50" t="s">
        <v>442</v>
      </c>
      <c r="J73" s="50" t="s">
        <v>462</v>
      </c>
      <c r="K73" s="50" t="s">
        <v>117</v>
      </c>
      <c r="L73" s="50" t="s">
        <v>463</v>
      </c>
      <c r="M73" s="50"/>
      <c r="N73" s="52"/>
      <c r="O73" s="50" t="s">
        <v>151</v>
      </c>
      <c r="P73" s="50">
        <v>117</v>
      </c>
      <c r="Q73" s="53">
        <v>0</v>
      </c>
      <c r="R73" s="54">
        <f t="shared" si="29"/>
        <v>117</v>
      </c>
      <c r="S73" s="54">
        <v>0.28000000000000003</v>
      </c>
      <c r="T73" s="54">
        <v>0</v>
      </c>
      <c r="U73" s="54">
        <f t="shared" si="30"/>
        <v>0.28000000000000003</v>
      </c>
      <c r="V73" s="54">
        <v>56.46</v>
      </c>
      <c r="W73" s="52">
        <f t="shared" si="31"/>
        <v>1.015625</v>
      </c>
      <c r="X73" s="54">
        <f t="shared" si="32"/>
        <v>201.64285714285714</v>
      </c>
      <c r="Y73" s="50" t="str">
        <f t="shared" si="33"/>
        <v>è in grado</v>
      </c>
      <c r="Z73" s="50" t="str">
        <f t="shared" si="34"/>
        <v>non sottende</v>
      </c>
      <c r="AA73" s="54">
        <f t="shared" si="35"/>
        <v>55.591384615384619</v>
      </c>
      <c r="AB73" s="50" t="str">
        <f t="shared" si="36"/>
        <v>A</v>
      </c>
      <c r="AC73" s="50" t="str">
        <f t="shared" si="3"/>
        <v>SI</v>
      </c>
      <c r="AD73" s="50" t="str">
        <f t="shared" si="37"/>
        <v>Si</v>
      </c>
      <c r="AE73" s="50" t="s">
        <v>147</v>
      </c>
      <c r="AF73" s="55">
        <v>5.98</v>
      </c>
      <c r="AG73" s="55">
        <v>486</v>
      </c>
      <c r="AH73" s="55">
        <v>360</v>
      </c>
      <c r="AI73" s="55" t="str">
        <f t="shared" si="26"/>
        <v>Manufatto limitante</v>
      </c>
      <c r="AJ73" s="53">
        <v>133.88</v>
      </c>
      <c r="AK73" s="53">
        <f t="shared" si="38"/>
        <v>2.2672542575440695</v>
      </c>
      <c r="AL73" s="53">
        <f t="shared" si="10"/>
        <v>303.54000000000002</v>
      </c>
      <c r="AM73" s="50" t="s">
        <v>190</v>
      </c>
      <c r="AN73" s="56" t="s">
        <v>222</v>
      </c>
      <c r="AO73" s="67">
        <v>46147</v>
      </c>
      <c r="AP73" s="58" t="s">
        <v>119</v>
      </c>
      <c r="AQ73" s="58" t="s">
        <v>445</v>
      </c>
      <c r="AR73" s="75">
        <v>51501</v>
      </c>
      <c r="AS73" s="58" t="s">
        <v>446</v>
      </c>
      <c r="AT73" s="64"/>
      <c r="AU73" s="1"/>
      <c r="AV73" s="1"/>
      <c r="AW73" s="1"/>
      <c r="AX73" s="1"/>
      <c r="AY73" s="1"/>
      <c r="AZ73" s="1"/>
      <c r="BA73" s="1"/>
      <c r="BB73" s="1"/>
      <c r="BC73" s="1"/>
      <c r="BD73" s="1"/>
      <c r="BE73" s="1"/>
      <c r="BF73" s="1"/>
      <c r="BG73" s="1"/>
    </row>
    <row r="74" spans="1:59" ht="14.25" customHeight="1" x14ac:dyDescent="0.25">
      <c r="A74" s="1"/>
      <c r="B74" s="19" t="s">
        <v>99</v>
      </c>
      <c r="C74" s="50" t="s">
        <v>464</v>
      </c>
      <c r="D74" s="50" t="s">
        <v>465</v>
      </c>
      <c r="E74" s="50" t="str">
        <f t="shared" si="0"/>
        <v>PP0200070004001B</v>
      </c>
      <c r="F74" s="50"/>
      <c r="G74" s="50" t="s">
        <v>115</v>
      </c>
      <c r="H74" s="50" t="s">
        <v>95</v>
      </c>
      <c r="I74" s="50" t="s">
        <v>466</v>
      </c>
      <c r="J74" s="50" t="s">
        <v>467</v>
      </c>
      <c r="K74" s="50" t="s">
        <v>117</v>
      </c>
      <c r="L74" s="50" t="s">
        <v>444</v>
      </c>
      <c r="M74" s="50"/>
      <c r="N74" s="52"/>
      <c r="O74" s="50" t="s">
        <v>151</v>
      </c>
      <c r="P74" s="50">
        <v>86</v>
      </c>
      <c r="Q74" s="53">
        <v>9</v>
      </c>
      <c r="R74" s="54">
        <f t="shared" si="29"/>
        <v>95</v>
      </c>
      <c r="S74" s="54">
        <v>0.2</v>
      </c>
      <c r="T74" s="54">
        <v>7.0000000000000007E-2</v>
      </c>
      <c r="U74" s="54">
        <f t="shared" si="30"/>
        <v>0.27</v>
      </c>
      <c r="V74" s="54">
        <v>33.54</v>
      </c>
      <c r="W74" s="52">
        <f t="shared" si="31"/>
        <v>0.82465277777777779</v>
      </c>
      <c r="X74" s="54">
        <f t="shared" si="32"/>
        <v>124.22222222222221</v>
      </c>
      <c r="Y74" s="50" t="str">
        <f t="shared" si="33"/>
        <v>è in grado</v>
      </c>
      <c r="Z74" s="50" t="str">
        <f t="shared" si="34"/>
        <v>non sottende</v>
      </c>
      <c r="AA74" s="54">
        <f t="shared" si="35"/>
        <v>40.671663157894734</v>
      </c>
      <c r="AB74" s="50" t="str">
        <f t="shared" si="36"/>
        <v>A</v>
      </c>
      <c r="AC74" s="50" t="str">
        <f t="shared" si="3"/>
        <v>SI</v>
      </c>
      <c r="AD74" s="50" t="str">
        <f t="shared" si="37"/>
        <v>Si</v>
      </c>
      <c r="AE74" s="50" t="s">
        <v>147</v>
      </c>
      <c r="AF74" s="55">
        <v>13.19</v>
      </c>
      <c r="AG74" s="55">
        <v>1970</v>
      </c>
      <c r="AH74" s="55">
        <v>1321</v>
      </c>
      <c r="AI74" s="55" t="str">
        <f t="shared" si="26"/>
        <v>Manufatto limitante</v>
      </c>
      <c r="AJ74" s="53">
        <v>125.15</v>
      </c>
      <c r="AK74" s="53">
        <f t="shared" si="38"/>
        <v>10.287335197762685</v>
      </c>
      <c r="AL74" s="53">
        <f t="shared" si="10"/>
        <v>1287.46</v>
      </c>
      <c r="AM74" s="50" t="s">
        <v>190</v>
      </c>
      <c r="AN74" s="56" t="s">
        <v>222</v>
      </c>
      <c r="AO74" s="67">
        <v>46147</v>
      </c>
      <c r="AP74" s="58" t="s">
        <v>119</v>
      </c>
      <c r="AQ74" s="58" t="s">
        <v>445</v>
      </c>
      <c r="AR74" s="75">
        <v>51501</v>
      </c>
      <c r="AS74" s="58" t="s">
        <v>446</v>
      </c>
      <c r="AT74" s="64"/>
      <c r="AU74" s="1"/>
      <c r="AV74" s="1"/>
      <c r="AW74" s="1"/>
      <c r="AX74" s="1"/>
      <c r="AY74" s="1"/>
      <c r="AZ74" s="1"/>
      <c r="BA74" s="1"/>
      <c r="BB74" s="1"/>
      <c r="BC74" s="1"/>
      <c r="BD74" s="1"/>
      <c r="BE74" s="1"/>
      <c r="BF74" s="1"/>
      <c r="BG74" s="1"/>
    </row>
    <row r="75" spans="1:59" ht="14.25" customHeight="1" x14ac:dyDescent="0.25">
      <c r="A75" s="1"/>
      <c r="B75" s="19" t="s">
        <v>99</v>
      </c>
      <c r="C75" s="59" t="s">
        <v>468</v>
      </c>
      <c r="D75" s="50" t="s">
        <v>469</v>
      </c>
      <c r="E75" s="50" t="str">
        <f t="shared" si="0"/>
        <v>PP0200070003001B</v>
      </c>
      <c r="F75" s="50" t="s">
        <v>470</v>
      </c>
      <c r="G75" s="50" t="s">
        <v>115</v>
      </c>
      <c r="H75" s="50" t="s">
        <v>95</v>
      </c>
      <c r="I75" s="50" t="s">
        <v>471</v>
      </c>
      <c r="J75" s="50" t="s">
        <v>472</v>
      </c>
      <c r="K75" s="50" t="s">
        <v>117</v>
      </c>
      <c r="L75" s="50" t="s">
        <v>473</v>
      </c>
      <c r="M75" s="50"/>
      <c r="N75" s="52"/>
      <c r="O75" s="50" t="s">
        <v>151</v>
      </c>
      <c r="P75" s="50">
        <v>75</v>
      </c>
      <c r="Q75" s="53">
        <v>4</v>
      </c>
      <c r="R75" s="54">
        <f t="shared" si="29"/>
        <v>79</v>
      </c>
      <c r="S75" s="54">
        <v>0.18</v>
      </c>
      <c r="T75" s="54">
        <v>0.04</v>
      </c>
      <c r="U75" s="54">
        <f t="shared" si="30"/>
        <v>0.22</v>
      </c>
      <c r="V75" s="54">
        <v>21.3</v>
      </c>
      <c r="W75" s="52">
        <f t="shared" si="31"/>
        <v>0.68576388888888884</v>
      </c>
      <c r="X75" s="54">
        <f t="shared" si="32"/>
        <v>96.818181818181827</v>
      </c>
      <c r="Y75" s="50" t="str">
        <f t="shared" si="33"/>
        <v>è in grado</v>
      </c>
      <c r="Z75" s="50" t="str">
        <f t="shared" si="34"/>
        <v>non sottende</v>
      </c>
      <c r="AA75" s="54">
        <f t="shared" si="35"/>
        <v>31.060253164556965</v>
      </c>
      <c r="AB75" s="50" t="str">
        <f t="shared" si="36"/>
        <v>A</v>
      </c>
      <c r="AC75" s="50" t="str">
        <f t="shared" si="3"/>
        <v>SI</v>
      </c>
      <c r="AD75" s="50" t="str">
        <f t="shared" si="37"/>
        <v>Si</v>
      </c>
      <c r="AE75" s="50" t="s">
        <v>147</v>
      </c>
      <c r="AF75" s="55">
        <v>7.88</v>
      </c>
      <c r="AG75" s="55">
        <v>1287</v>
      </c>
      <c r="AH75" s="55">
        <v>477</v>
      </c>
      <c r="AI75" s="55" t="str">
        <f t="shared" si="26"/>
        <v>Manufatto limitante</v>
      </c>
      <c r="AJ75" s="53">
        <v>86.05</v>
      </c>
      <c r="AK75" s="53">
        <f t="shared" si="38"/>
        <v>5.2957582800697267</v>
      </c>
      <c r="AL75" s="53">
        <f t="shared" si="10"/>
        <v>455.7</v>
      </c>
      <c r="AM75" s="50" t="s">
        <v>190</v>
      </c>
      <c r="AN75" s="56" t="s">
        <v>222</v>
      </c>
      <c r="AO75" s="67">
        <v>46147</v>
      </c>
      <c r="AP75" s="58" t="s">
        <v>119</v>
      </c>
      <c r="AQ75" s="58" t="s">
        <v>445</v>
      </c>
      <c r="AR75" s="75">
        <v>51501</v>
      </c>
      <c r="AS75" s="58" t="s">
        <v>446</v>
      </c>
      <c r="AT75" s="64"/>
      <c r="AU75" s="1"/>
      <c r="AV75" s="1"/>
      <c r="AW75" s="1"/>
      <c r="AX75" s="1"/>
      <c r="AY75" s="1"/>
      <c r="AZ75" s="1"/>
      <c r="BA75" s="1"/>
      <c r="BB75" s="1"/>
      <c r="BC75" s="1"/>
      <c r="BD75" s="1"/>
      <c r="BE75" s="1"/>
      <c r="BF75" s="1"/>
      <c r="BG75" s="1"/>
    </row>
    <row r="76" spans="1:59" ht="14.25" customHeight="1" x14ac:dyDescent="0.25">
      <c r="A76" s="1"/>
      <c r="B76" s="19" t="s">
        <v>99</v>
      </c>
      <c r="C76" s="50" t="s">
        <v>474</v>
      </c>
      <c r="D76" s="50" t="s">
        <v>475</v>
      </c>
      <c r="E76" s="50" t="str">
        <f t="shared" si="0"/>
        <v>PP0200070007001B</v>
      </c>
      <c r="F76" s="50"/>
      <c r="G76" s="50" t="s">
        <v>115</v>
      </c>
      <c r="H76" s="50" t="s">
        <v>95</v>
      </c>
      <c r="I76" s="50" t="s">
        <v>471</v>
      </c>
      <c r="J76" s="50" t="s">
        <v>476</v>
      </c>
      <c r="K76" s="50" t="s">
        <v>117</v>
      </c>
      <c r="L76" s="50" t="s">
        <v>444</v>
      </c>
      <c r="M76" s="50"/>
      <c r="N76" s="52"/>
      <c r="O76" s="50" t="s">
        <v>151</v>
      </c>
      <c r="P76" s="50">
        <v>1982</v>
      </c>
      <c r="Q76" s="53">
        <v>1</v>
      </c>
      <c r="R76" s="53">
        <f t="shared" si="29"/>
        <v>1983</v>
      </c>
      <c r="S76" s="54">
        <v>4.66</v>
      </c>
      <c r="T76" s="54">
        <v>0.01</v>
      </c>
      <c r="U76" s="54">
        <f t="shared" si="30"/>
        <v>4.67</v>
      </c>
      <c r="V76" s="54">
        <v>34.090000000000003</v>
      </c>
      <c r="W76" s="52">
        <f t="shared" si="31"/>
        <v>17.213541666666668</v>
      </c>
      <c r="X76" s="54">
        <f t="shared" si="32"/>
        <v>7.2997858672376879</v>
      </c>
      <c r="Y76" s="50" t="str">
        <f t="shared" si="33"/>
        <v>è in grado</v>
      </c>
      <c r="Z76" s="50" t="str">
        <f t="shared" si="34"/>
        <v>non sottende</v>
      </c>
      <c r="AA76" s="54">
        <f t="shared" si="35"/>
        <v>1.9804175491679274</v>
      </c>
      <c r="AB76" s="50" t="str">
        <f t="shared" si="36"/>
        <v>B</v>
      </c>
      <c r="AC76" s="50" t="str">
        <f t="shared" si="3"/>
        <v>SI</v>
      </c>
      <c r="AD76" s="50" t="str">
        <f t="shared" si="37"/>
        <v>Si</v>
      </c>
      <c r="AE76" s="50" t="s">
        <v>377</v>
      </c>
      <c r="AF76" s="55">
        <v>46.59</v>
      </c>
      <c r="AG76" s="55">
        <v>4199</v>
      </c>
      <c r="AH76" s="55">
        <v>1900</v>
      </c>
      <c r="AI76" s="55" t="str">
        <f t="shared" si="26"/>
        <v>Manufatto limitante</v>
      </c>
      <c r="AJ76" s="53">
        <v>74.61</v>
      </c>
      <c r="AK76" s="53">
        <f t="shared" si="38"/>
        <v>25.00884599919582</v>
      </c>
      <c r="AL76" s="53">
        <f t="shared" si="10"/>
        <v>1865.91</v>
      </c>
      <c r="AM76" s="50" t="s">
        <v>190</v>
      </c>
      <c r="AN76" s="56" t="s">
        <v>222</v>
      </c>
      <c r="AO76" s="67">
        <v>46147</v>
      </c>
      <c r="AP76" s="58" t="s">
        <v>119</v>
      </c>
      <c r="AQ76" s="58" t="s">
        <v>445</v>
      </c>
      <c r="AR76" s="75">
        <v>51501</v>
      </c>
      <c r="AS76" s="58" t="s">
        <v>446</v>
      </c>
      <c r="AT76" s="64"/>
      <c r="AU76" s="1"/>
      <c r="AV76" s="1"/>
      <c r="AW76" s="1"/>
      <c r="AX76" s="1"/>
      <c r="AY76" s="1"/>
      <c r="AZ76" s="1"/>
      <c r="BA76" s="1"/>
      <c r="BB76" s="1"/>
      <c r="BC76" s="1"/>
      <c r="BD76" s="1"/>
      <c r="BE76" s="1"/>
      <c r="BF76" s="1"/>
      <c r="BG76" s="1"/>
    </row>
    <row r="77" spans="1:59" ht="14.25" customHeight="1" x14ac:dyDescent="0.25">
      <c r="A77" s="1"/>
      <c r="B77" s="19" t="s">
        <v>99</v>
      </c>
      <c r="C77" s="50" t="s">
        <v>477</v>
      </c>
      <c r="D77" s="50" t="s">
        <v>478</v>
      </c>
      <c r="E77" s="50" t="str">
        <f t="shared" si="0"/>
        <v>PP020000009001B</v>
      </c>
      <c r="F77" s="50"/>
      <c r="G77" s="50" t="s">
        <v>479</v>
      </c>
      <c r="H77" s="50" t="s">
        <v>95</v>
      </c>
      <c r="I77" s="50" t="s">
        <v>480</v>
      </c>
      <c r="J77" s="50" t="s">
        <v>481</v>
      </c>
      <c r="K77" s="50" t="s">
        <v>482</v>
      </c>
      <c r="L77" s="50" t="s">
        <v>483</v>
      </c>
      <c r="M77" s="50"/>
      <c r="N77" s="52"/>
      <c r="O77" s="50" t="s">
        <v>118</v>
      </c>
      <c r="P77" s="50">
        <v>1155</v>
      </c>
      <c r="Q77" s="53">
        <v>2</v>
      </c>
      <c r="R77" s="53">
        <f t="shared" si="29"/>
        <v>1157</v>
      </c>
      <c r="S77" s="54">
        <v>2.72</v>
      </c>
      <c r="T77" s="54">
        <v>0.11</v>
      </c>
      <c r="U77" s="54">
        <f t="shared" si="30"/>
        <v>2.83</v>
      </c>
      <c r="V77" s="54">
        <v>11.35</v>
      </c>
      <c r="W77" s="52">
        <f t="shared" si="31"/>
        <v>10.043402777777779</v>
      </c>
      <c r="X77" s="54">
        <f t="shared" si="32"/>
        <v>4.010600706713781</v>
      </c>
      <c r="Y77" s="50" t="str">
        <f t="shared" si="33"/>
        <v>è in grado</v>
      </c>
      <c r="Z77" s="50" t="str">
        <f t="shared" si="34"/>
        <v>non sottende</v>
      </c>
      <c r="AA77" s="54">
        <f t="shared" si="35"/>
        <v>1.1300950734658599</v>
      </c>
      <c r="AB77" s="50" t="str">
        <f t="shared" si="36"/>
        <v>B</v>
      </c>
      <c r="AC77" s="50" t="str">
        <f t="shared" si="3"/>
        <v>SI</v>
      </c>
      <c r="AD77" s="50" t="str">
        <f t="shared" si="37"/>
        <v>No</v>
      </c>
      <c r="AE77" s="50" t="s">
        <v>343</v>
      </c>
      <c r="AF77" s="55">
        <v>9.08</v>
      </c>
      <c r="AG77" s="55">
        <v>988</v>
      </c>
      <c r="AH77" s="55">
        <v>230</v>
      </c>
      <c r="AI77" s="55" t="str">
        <f t="shared" si="26"/>
        <v>Manufatto limitante</v>
      </c>
      <c r="AJ77" s="53">
        <v>52.75</v>
      </c>
      <c r="AK77" s="53">
        <f t="shared" si="38"/>
        <v>4.1450236966824647</v>
      </c>
      <c r="AL77" s="53">
        <f t="shared" si="10"/>
        <v>218.65</v>
      </c>
      <c r="AM77" s="50" t="s">
        <v>190</v>
      </c>
      <c r="AN77" s="56" t="s">
        <v>236</v>
      </c>
      <c r="AO77" s="66">
        <v>2029</v>
      </c>
      <c r="AP77" s="58" t="s">
        <v>484</v>
      </c>
      <c r="AQ77" s="58" t="s">
        <v>445</v>
      </c>
      <c r="AR77" s="75">
        <v>51866</v>
      </c>
      <c r="AS77" s="58" t="s">
        <v>485</v>
      </c>
      <c r="AT77" s="58"/>
      <c r="AU77" s="1"/>
      <c r="AV77" s="1"/>
      <c r="AW77" s="1"/>
      <c r="AX77" s="1"/>
      <c r="AY77" s="1"/>
      <c r="AZ77" s="1"/>
      <c r="BA77" s="1"/>
      <c r="BB77" s="1"/>
      <c r="BC77" s="1"/>
      <c r="BD77" s="1"/>
      <c r="BE77" s="1"/>
      <c r="BF77" s="1"/>
      <c r="BG77" s="1"/>
    </row>
    <row r="78" spans="1:59" ht="14.25" customHeight="1" x14ac:dyDescent="0.25">
      <c r="A78" s="1"/>
      <c r="B78" s="19"/>
      <c r="C78" s="21" t="s">
        <v>486</v>
      </c>
      <c r="D78" s="21" t="s">
        <v>487</v>
      </c>
      <c r="E78" s="21" t="str">
        <f t="shared" si="0"/>
        <v>PP020000003001B</v>
      </c>
      <c r="F78" s="21"/>
      <c r="G78" s="21" t="s">
        <v>479</v>
      </c>
      <c r="H78" s="21" t="s">
        <v>95</v>
      </c>
      <c r="I78" s="21" t="s">
        <v>274</v>
      </c>
      <c r="J78" s="21" t="s">
        <v>488</v>
      </c>
      <c r="K78" s="21" t="s">
        <v>482</v>
      </c>
      <c r="L78" s="21" t="s">
        <v>489</v>
      </c>
      <c r="M78" s="21"/>
      <c r="N78" s="22"/>
      <c r="O78" s="21" t="s">
        <v>159</v>
      </c>
      <c r="P78" s="21">
        <v>44</v>
      </c>
      <c r="Q78" s="24">
        <v>2</v>
      </c>
      <c r="R78" s="24">
        <f t="shared" si="29"/>
        <v>46</v>
      </c>
      <c r="S78" s="23">
        <v>0.1</v>
      </c>
      <c r="T78" s="23">
        <v>0.11</v>
      </c>
      <c r="U78" s="23">
        <f t="shared" si="30"/>
        <v>0.21000000000000002</v>
      </c>
      <c r="V78" s="23">
        <v>3.9</v>
      </c>
      <c r="W78" s="52">
        <f t="shared" si="31"/>
        <v>0.52</v>
      </c>
      <c r="X78" s="23">
        <f t="shared" si="32"/>
        <v>18.571428571428569</v>
      </c>
      <c r="Y78" s="21" t="str">
        <f t="shared" si="33"/>
        <v>è in grado</v>
      </c>
      <c r="Z78" s="21" t="str">
        <f t="shared" si="34"/>
        <v>non sottende</v>
      </c>
      <c r="AA78" s="23">
        <f t="shared" si="35"/>
        <v>7.5</v>
      </c>
      <c r="AB78" s="21" t="str">
        <f t="shared" si="36"/>
        <v>A</v>
      </c>
      <c r="AC78" s="21" t="str">
        <f t="shared" si="3"/>
        <v>SI</v>
      </c>
      <c r="AD78" s="21" t="str">
        <f t="shared" si="37"/>
        <v>No</v>
      </c>
      <c r="AE78" s="21" t="s">
        <v>490</v>
      </c>
      <c r="AF78" s="41">
        <v>8.26</v>
      </c>
      <c r="AG78" s="41">
        <v>1557</v>
      </c>
      <c r="AH78" s="41">
        <v>83</v>
      </c>
      <c r="AI78" s="41" t="str">
        <f t="shared" si="26"/>
        <v>Manufatto limitante</v>
      </c>
      <c r="AJ78" s="24">
        <v>12.01</v>
      </c>
      <c r="AK78" s="24">
        <f t="shared" si="38"/>
        <v>6.5861781848459611</v>
      </c>
      <c r="AL78" s="24">
        <f t="shared" si="10"/>
        <v>79.099999999999994</v>
      </c>
      <c r="AM78" s="21" t="s">
        <v>490</v>
      </c>
      <c r="AN78" s="56" t="s">
        <v>236</v>
      </c>
      <c r="AO78" s="28">
        <v>2029</v>
      </c>
      <c r="AP78" s="29" t="s">
        <v>484</v>
      </c>
      <c r="AQ78" s="29" t="s">
        <v>445</v>
      </c>
      <c r="AR78" s="78">
        <v>51866</v>
      </c>
      <c r="AS78" s="29" t="s">
        <v>485</v>
      </c>
      <c r="AT78" s="29"/>
      <c r="AU78" s="38"/>
      <c r="AV78" s="38"/>
      <c r="AW78" s="38"/>
      <c r="AX78" s="38"/>
      <c r="AY78" s="38"/>
      <c r="AZ78" s="38"/>
      <c r="BA78" s="38"/>
      <c r="BB78" s="38"/>
      <c r="BC78" s="38"/>
      <c r="BD78" s="38"/>
      <c r="BE78" s="38"/>
      <c r="BF78" s="1"/>
      <c r="BG78" s="1"/>
    </row>
    <row r="79" spans="1:59" ht="14.25" customHeight="1" x14ac:dyDescent="0.25">
      <c r="A79" s="1"/>
      <c r="B79" s="19"/>
      <c r="C79" s="21" t="s">
        <v>491</v>
      </c>
      <c r="D79" s="21" t="s">
        <v>492</v>
      </c>
      <c r="E79" s="21" t="str">
        <f t="shared" si="0"/>
        <v>PP020000004001B</v>
      </c>
      <c r="F79" s="21"/>
      <c r="G79" s="21" t="s">
        <v>479</v>
      </c>
      <c r="H79" s="21" t="s">
        <v>95</v>
      </c>
      <c r="I79" s="21" t="s">
        <v>274</v>
      </c>
      <c r="J79" s="21" t="s">
        <v>493</v>
      </c>
      <c r="K79" s="21" t="s">
        <v>482</v>
      </c>
      <c r="L79" s="21" t="s">
        <v>494</v>
      </c>
      <c r="M79" s="21"/>
      <c r="N79" s="22"/>
      <c r="O79" s="21" t="s">
        <v>151</v>
      </c>
      <c r="P79" s="21">
        <v>15</v>
      </c>
      <c r="Q79" s="24">
        <v>2</v>
      </c>
      <c r="R79" s="24">
        <f t="shared" si="29"/>
        <v>17</v>
      </c>
      <c r="S79" s="23">
        <v>0.04</v>
      </c>
      <c r="T79" s="23">
        <v>0.11</v>
      </c>
      <c r="U79" s="23">
        <f t="shared" si="30"/>
        <v>0.15</v>
      </c>
      <c r="V79" s="23">
        <v>31.29</v>
      </c>
      <c r="W79" s="52">
        <f t="shared" si="31"/>
        <v>0.33999999999999997</v>
      </c>
      <c r="X79" s="23">
        <f t="shared" si="32"/>
        <v>208.6</v>
      </c>
      <c r="Y79" s="21" t="str">
        <f t="shared" si="33"/>
        <v>è in grado</v>
      </c>
      <c r="Z79" s="21" t="str">
        <f t="shared" si="34"/>
        <v>non sottende</v>
      </c>
      <c r="AA79" s="23">
        <f t="shared" si="35"/>
        <v>92.029411764705884</v>
      </c>
      <c r="AB79" s="21" t="str">
        <f t="shared" si="36"/>
        <v>A</v>
      </c>
      <c r="AC79" s="21" t="str">
        <f t="shared" si="3"/>
        <v>SI</v>
      </c>
      <c r="AD79" s="21" t="str">
        <f t="shared" si="37"/>
        <v>Si</v>
      </c>
      <c r="AE79" s="21" t="s">
        <v>490</v>
      </c>
      <c r="AF79" s="41">
        <v>2.36</v>
      </c>
      <c r="AG79" s="41">
        <v>458</v>
      </c>
      <c r="AH79" s="41">
        <v>212</v>
      </c>
      <c r="AI79" s="41" t="str">
        <f t="shared" si="26"/>
        <v>Manufatto limitante</v>
      </c>
      <c r="AJ79" s="24">
        <v>95.72</v>
      </c>
      <c r="AK79" s="24">
        <f t="shared" si="38"/>
        <v>1.8879022147931468</v>
      </c>
      <c r="AL79" s="24">
        <f t="shared" si="10"/>
        <v>180.71</v>
      </c>
      <c r="AM79" s="21" t="s">
        <v>190</v>
      </c>
      <c r="AN79" s="56" t="s">
        <v>236</v>
      </c>
      <c r="AO79" s="28">
        <v>2029</v>
      </c>
      <c r="AP79" s="29" t="s">
        <v>484</v>
      </c>
      <c r="AQ79" s="29" t="s">
        <v>445</v>
      </c>
      <c r="AR79" s="78">
        <v>51866</v>
      </c>
      <c r="AS79" s="29" t="s">
        <v>485</v>
      </c>
      <c r="AT79" s="29"/>
      <c r="AU79" s="43"/>
      <c r="AV79" s="43"/>
      <c r="AW79" s="43"/>
      <c r="AX79" s="43"/>
      <c r="AY79" s="43"/>
      <c r="AZ79" s="43"/>
      <c r="BA79" s="43"/>
      <c r="BB79" s="43"/>
      <c r="BC79" s="43"/>
      <c r="BD79" s="43"/>
      <c r="BE79" s="43"/>
      <c r="BF79" s="1"/>
      <c r="BG79" s="1"/>
    </row>
    <row r="80" spans="1:59" ht="14.25" customHeight="1" x14ac:dyDescent="0.25">
      <c r="A80" s="1"/>
      <c r="B80" s="79"/>
      <c r="C80" s="31" t="s">
        <v>495</v>
      </c>
      <c r="D80" s="21" t="s">
        <v>496</v>
      </c>
      <c r="E80" s="21" t="str">
        <f t="shared" si="0"/>
        <v>PP020000005001B</v>
      </c>
      <c r="F80" s="31"/>
      <c r="G80" s="31" t="s">
        <v>479</v>
      </c>
      <c r="H80" s="31" t="s">
        <v>95</v>
      </c>
      <c r="I80" s="31" t="s">
        <v>274</v>
      </c>
      <c r="J80" s="31" t="s">
        <v>497</v>
      </c>
      <c r="K80" s="31" t="s">
        <v>482</v>
      </c>
      <c r="L80" s="31" t="s">
        <v>489</v>
      </c>
      <c r="M80" s="31"/>
      <c r="N80" s="32"/>
      <c r="O80" s="31" t="s">
        <v>159</v>
      </c>
      <c r="P80" s="31">
        <v>55</v>
      </c>
      <c r="Q80" s="33">
        <v>2</v>
      </c>
      <c r="R80" s="33">
        <f t="shared" si="29"/>
        <v>57</v>
      </c>
      <c r="S80" s="34">
        <v>0.13</v>
      </c>
      <c r="T80" s="34">
        <v>0.11</v>
      </c>
      <c r="U80" s="34">
        <f t="shared" si="30"/>
        <v>0.24</v>
      </c>
      <c r="V80" s="34">
        <v>3.9</v>
      </c>
      <c r="W80" s="52">
        <f t="shared" si="31"/>
        <v>0.61</v>
      </c>
      <c r="X80" s="34">
        <f t="shared" si="32"/>
        <v>16.25</v>
      </c>
      <c r="Y80" s="31" t="str">
        <f t="shared" si="33"/>
        <v>è in grado</v>
      </c>
      <c r="Z80" s="31" t="str">
        <f t="shared" si="34"/>
        <v>non sottende</v>
      </c>
      <c r="AA80" s="34">
        <f t="shared" si="35"/>
        <v>6.3934426229508201</v>
      </c>
      <c r="AB80" s="31" t="str">
        <f t="shared" si="36"/>
        <v>A</v>
      </c>
      <c r="AC80" s="21" t="str">
        <f t="shared" si="3"/>
        <v>SI</v>
      </c>
      <c r="AD80" s="31" t="str">
        <f t="shared" si="37"/>
        <v>No</v>
      </c>
      <c r="AE80" s="31" t="s">
        <v>490</v>
      </c>
      <c r="AF80" s="80">
        <v>0</v>
      </c>
      <c r="AG80" s="80">
        <v>4</v>
      </c>
      <c r="AH80" s="80">
        <v>111</v>
      </c>
      <c r="AI80" s="41" t="str">
        <f t="shared" si="26"/>
        <v xml:space="preserve"> </v>
      </c>
      <c r="AJ80" s="33">
        <v>12.03</v>
      </c>
      <c r="AK80" s="24">
        <f t="shared" si="38"/>
        <v>8.3125519534497164E-3</v>
      </c>
      <c r="AL80" s="24">
        <f t="shared" si="10"/>
        <v>0.10000000000000009</v>
      </c>
      <c r="AM80" s="31" t="s">
        <v>490</v>
      </c>
      <c r="AN80" s="56" t="s">
        <v>222</v>
      </c>
      <c r="AO80" s="28">
        <v>2029</v>
      </c>
      <c r="AP80" s="29" t="s">
        <v>484</v>
      </c>
      <c r="AQ80" s="29" t="s">
        <v>445</v>
      </c>
      <c r="AR80" s="78">
        <v>51866</v>
      </c>
      <c r="AS80" s="29" t="s">
        <v>485</v>
      </c>
      <c r="AT80" s="29"/>
      <c r="AU80" s="38"/>
      <c r="AV80" s="38"/>
      <c r="AW80" s="38"/>
      <c r="AX80" s="38"/>
      <c r="AY80" s="38"/>
      <c r="AZ80" s="38"/>
      <c r="BA80" s="38"/>
      <c r="BB80" s="38"/>
      <c r="BC80" s="38"/>
      <c r="BD80" s="38"/>
      <c r="BE80" s="38"/>
      <c r="BF80" s="1"/>
      <c r="BG80" s="1"/>
    </row>
    <row r="81" spans="1:59" ht="14.25" customHeight="1" x14ac:dyDescent="0.25">
      <c r="A81" s="1"/>
      <c r="B81" s="19"/>
      <c r="C81" s="21" t="s">
        <v>498</v>
      </c>
      <c r="D81" s="21" t="s">
        <v>499</v>
      </c>
      <c r="E81" s="21" t="str">
        <f t="shared" si="0"/>
        <v>PP020000002001B</v>
      </c>
      <c r="F81" s="21"/>
      <c r="G81" s="21" t="s">
        <v>479</v>
      </c>
      <c r="H81" s="21" t="s">
        <v>95</v>
      </c>
      <c r="I81" s="21" t="s">
        <v>500</v>
      </c>
      <c r="J81" s="21" t="s">
        <v>501</v>
      </c>
      <c r="K81" s="21" t="s">
        <v>482</v>
      </c>
      <c r="L81" s="21" t="s">
        <v>483</v>
      </c>
      <c r="M81" s="21"/>
      <c r="N81" s="22"/>
      <c r="O81" s="21" t="s">
        <v>151</v>
      </c>
      <c r="P81" s="21">
        <v>61</v>
      </c>
      <c r="Q81" s="24">
        <v>0</v>
      </c>
      <c r="R81" s="24">
        <f t="shared" si="29"/>
        <v>61</v>
      </c>
      <c r="S81" s="23">
        <v>0.16</v>
      </c>
      <c r="T81" s="23">
        <v>0</v>
      </c>
      <c r="U81" s="23">
        <f t="shared" si="30"/>
        <v>0.16</v>
      </c>
      <c r="V81" s="23">
        <v>40.08</v>
      </c>
      <c r="W81" s="52">
        <f t="shared" si="31"/>
        <v>0.52951388888888884</v>
      </c>
      <c r="X81" s="23">
        <f t="shared" si="32"/>
        <v>250.49999999999997</v>
      </c>
      <c r="Y81" s="21" t="str">
        <f t="shared" si="33"/>
        <v>è in grado</v>
      </c>
      <c r="Z81" s="21" t="str">
        <f t="shared" si="34"/>
        <v>non sottende</v>
      </c>
      <c r="AA81" s="23">
        <f t="shared" si="35"/>
        <v>75.692065573770492</v>
      </c>
      <c r="AB81" s="21" t="str">
        <f t="shared" si="36"/>
        <v>A</v>
      </c>
      <c r="AC81" s="21" t="str">
        <f t="shared" si="3"/>
        <v>SI</v>
      </c>
      <c r="AD81" s="21" t="str">
        <f t="shared" si="37"/>
        <v>Si</v>
      </c>
      <c r="AE81" s="21" t="s">
        <v>490</v>
      </c>
      <c r="AF81" s="41">
        <v>1.59</v>
      </c>
      <c r="AG81" s="41">
        <v>148</v>
      </c>
      <c r="AH81" s="41">
        <v>187</v>
      </c>
      <c r="AI81" s="41" t="str">
        <f t="shared" si="26"/>
        <v xml:space="preserve"> </v>
      </c>
      <c r="AJ81" s="24">
        <v>161.84</v>
      </c>
      <c r="AK81" s="24">
        <f t="shared" si="38"/>
        <v>0.66683143845773607</v>
      </c>
      <c r="AL81" s="24">
        <f t="shared" si="10"/>
        <v>107.92</v>
      </c>
      <c r="AM81" s="21" t="s">
        <v>190</v>
      </c>
      <c r="AN81" s="56" t="s">
        <v>222</v>
      </c>
      <c r="AO81" s="28">
        <v>2029</v>
      </c>
      <c r="AP81" s="29" t="s">
        <v>484</v>
      </c>
      <c r="AQ81" s="29" t="s">
        <v>445</v>
      </c>
      <c r="AR81" s="78">
        <v>51866</v>
      </c>
      <c r="AS81" s="29" t="s">
        <v>485</v>
      </c>
      <c r="AT81" s="29"/>
      <c r="AU81" s="38"/>
      <c r="AV81" s="38"/>
      <c r="AW81" s="38"/>
      <c r="AX81" s="38"/>
      <c r="AY81" s="38"/>
      <c r="AZ81" s="38"/>
      <c r="BA81" s="38"/>
      <c r="BB81" s="38"/>
      <c r="BC81" s="38"/>
      <c r="BD81" s="38"/>
      <c r="BE81" s="38"/>
      <c r="BF81" s="1"/>
      <c r="BG81" s="1"/>
    </row>
    <row r="82" spans="1:59" ht="14.25" customHeight="1" x14ac:dyDescent="0.25">
      <c r="A82" s="1"/>
      <c r="B82" s="19"/>
      <c r="C82" s="21" t="s">
        <v>502</v>
      </c>
      <c r="D82" s="21" t="s">
        <v>503</v>
      </c>
      <c r="E82" s="21" t="str">
        <f t="shared" si="0"/>
        <v>PP020000008001B</v>
      </c>
      <c r="F82" s="21"/>
      <c r="G82" s="21" t="s">
        <v>479</v>
      </c>
      <c r="H82" s="21" t="s">
        <v>95</v>
      </c>
      <c r="I82" s="21" t="s">
        <v>500</v>
      </c>
      <c r="J82" s="21" t="s">
        <v>504</v>
      </c>
      <c r="K82" s="21" t="s">
        <v>482</v>
      </c>
      <c r="L82" s="21" t="s">
        <v>483</v>
      </c>
      <c r="M82" s="21"/>
      <c r="N82" s="22"/>
      <c r="O82" s="21" t="s">
        <v>151</v>
      </c>
      <c r="P82" s="21">
        <v>19</v>
      </c>
      <c r="Q82" s="24">
        <v>0</v>
      </c>
      <c r="R82" s="23">
        <f t="shared" si="29"/>
        <v>19</v>
      </c>
      <c r="S82" s="23">
        <v>0.05</v>
      </c>
      <c r="T82" s="23">
        <v>0</v>
      </c>
      <c r="U82" s="23">
        <f t="shared" si="30"/>
        <v>0.05</v>
      </c>
      <c r="V82" s="23">
        <v>21.4</v>
      </c>
      <c r="W82" s="52">
        <f t="shared" si="31"/>
        <v>0.16493055555555555</v>
      </c>
      <c r="X82" s="23">
        <f t="shared" si="32"/>
        <v>427.99999999999994</v>
      </c>
      <c r="Y82" s="21" t="str">
        <f t="shared" si="33"/>
        <v>è in grado</v>
      </c>
      <c r="Z82" s="21" t="str">
        <f t="shared" si="34"/>
        <v>non sottende</v>
      </c>
      <c r="AA82" s="23">
        <f t="shared" si="35"/>
        <v>129.75157894736842</v>
      </c>
      <c r="AB82" s="21" t="str">
        <f t="shared" si="36"/>
        <v>A</v>
      </c>
      <c r="AC82" s="21" t="str">
        <f t="shared" si="3"/>
        <v>SI</v>
      </c>
      <c r="AD82" s="21" t="str">
        <f t="shared" si="37"/>
        <v>Si</v>
      </c>
      <c r="AE82" s="21" t="s">
        <v>490</v>
      </c>
      <c r="AF82" s="41">
        <v>1.01</v>
      </c>
      <c r="AG82" s="41">
        <v>59</v>
      </c>
      <c r="AH82" s="41">
        <v>371</v>
      </c>
      <c r="AI82" s="41" t="str">
        <f t="shared" si="26"/>
        <v xml:space="preserve"> </v>
      </c>
      <c r="AJ82" s="24">
        <v>181.52</v>
      </c>
      <c r="AK82" s="24">
        <f t="shared" si="38"/>
        <v>0.20713970912296165</v>
      </c>
      <c r="AL82" s="24">
        <f t="shared" si="10"/>
        <v>37.6</v>
      </c>
      <c r="AM82" s="21" t="s">
        <v>190</v>
      </c>
      <c r="AN82" s="56" t="s">
        <v>222</v>
      </c>
      <c r="AO82" s="28">
        <v>2029</v>
      </c>
      <c r="AP82" s="29" t="s">
        <v>484</v>
      </c>
      <c r="AQ82" s="29" t="s">
        <v>445</v>
      </c>
      <c r="AR82" s="78">
        <v>51866</v>
      </c>
      <c r="AS82" s="29" t="s">
        <v>485</v>
      </c>
      <c r="AT82" s="29"/>
      <c r="AU82" s="38"/>
      <c r="AV82" s="38"/>
      <c r="AW82" s="38"/>
      <c r="AX82" s="38"/>
      <c r="AY82" s="38"/>
      <c r="AZ82" s="38"/>
      <c r="BA82" s="38"/>
      <c r="BB82" s="38"/>
      <c r="BC82" s="38"/>
      <c r="BD82" s="38"/>
      <c r="BE82" s="38"/>
      <c r="BF82" s="1"/>
      <c r="BG82" s="1"/>
    </row>
    <row r="83" spans="1:59" ht="14.25" customHeight="1" x14ac:dyDescent="0.25">
      <c r="A83" s="1"/>
      <c r="B83" s="19"/>
      <c r="C83" s="21" t="s">
        <v>505</v>
      </c>
      <c r="D83" s="21" t="s">
        <v>506</v>
      </c>
      <c r="E83" s="21" t="str">
        <f t="shared" si="0"/>
        <v>PP020000001001B</v>
      </c>
      <c r="F83" s="21"/>
      <c r="G83" s="21" t="s">
        <v>479</v>
      </c>
      <c r="H83" s="21" t="s">
        <v>95</v>
      </c>
      <c r="I83" s="21" t="s">
        <v>507</v>
      </c>
      <c r="J83" s="21" t="s">
        <v>508</v>
      </c>
      <c r="K83" s="21" t="s">
        <v>482</v>
      </c>
      <c r="L83" s="21" t="s">
        <v>509</v>
      </c>
      <c r="M83" s="21"/>
      <c r="N83" s="22"/>
      <c r="O83" s="21" t="s">
        <v>159</v>
      </c>
      <c r="P83" s="21">
        <v>391</v>
      </c>
      <c r="Q83" s="24">
        <v>0</v>
      </c>
      <c r="R83" s="24">
        <f t="shared" si="29"/>
        <v>391</v>
      </c>
      <c r="S83" s="23">
        <v>0.92</v>
      </c>
      <c r="T83" s="23">
        <v>0</v>
      </c>
      <c r="U83" s="23">
        <f t="shared" si="30"/>
        <v>0.92</v>
      </c>
      <c r="V83" s="23">
        <v>16.850000000000001</v>
      </c>
      <c r="W83" s="52">
        <f t="shared" si="31"/>
        <v>3.3940972222222223</v>
      </c>
      <c r="X83" s="23">
        <f t="shared" si="32"/>
        <v>18.315217391304348</v>
      </c>
      <c r="Y83" s="21" t="str">
        <f t="shared" si="33"/>
        <v>è in grado</v>
      </c>
      <c r="Z83" s="21" t="str">
        <f t="shared" si="34"/>
        <v>non sottende</v>
      </c>
      <c r="AA83" s="23">
        <f t="shared" si="35"/>
        <v>4.9645012787723788</v>
      </c>
      <c r="AB83" s="21" t="str">
        <f t="shared" si="36"/>
        <v>A</v>
      </c>
      <c r="AC83" s="21" t="str">
        <f t="shared" si="3"/>
        <v>SI</v>
      </c>
      <c r="AD83" s="21" t="str">
        <f t="shared" si="37"/>
        <v>No</v>
      </c>
      <c r="AE83" s="21" t="s">
        <v>490</v>
      </c>
      <c r="AF83" s="41">
        <v>13.4</v>
      </c>
      <c r="AG83" s="41">
        <v>1195</v>
      </c>
      <c r="AH83" s="41">
        <v>391</v>
      </c>
      <c r="AI83" s="41" t="str">
        <f t="shared" si="26"/>
        <v>Manufatto limitante</v>
      </c>
      <c r="AJ83" s="24">
        <v>57.83</v>
      </c>
      <c r="AK83" s="24">
        <f t="shared" si="38"/>
        <v>6.4698253501642746</v>
      </c>
      <c r="AL83" s="24">
        <f t="shared" si="10"/>
        <v>374.15</v>
      </c>
      <c r="AM83" s="21" t="s">
        <v>190</v>
      </c>
      <c r="AN83" s="56" t="s">
        <v>236</v>
      </c>
      <c r="AO83" s="28">
        <v>2029</v>
      </c>
      <c r="AP83" s="29" t="s">
        <v>484</v>
      </c>
      <c r="AQ83" s="29" t="s">
        <v>445</v>
      </c>
      <c r="AR83" s="29" t="s">
        <v>92</v>
      </c>
      <c r="AS83" s="29" t="s">
        <v>225</v>
      </c>
      <c r="AT83" s="29"/>
      <c r="AU83" s="38"/>
      <c r="AV83" s="38"/>
      <c r="AW83" s="38"/>
      <c r="AX83" s="38"/>
      <c r="AY83" s="38"/>
      <c r="AZ83" s="38"/>
      <c r="BA83" s="38"/>
      <c r="BB83" s="38"/>
      <c r="BC83" s="38"/>
      <c r="BD83" s="38"/>
      <c r="BE83" s="38"/>
      <c r="BF83" s="1"/>
      <c r="BG83" s="1"/>
    </row>
    <row r="84" spans="1:59" ht="14.25" customHeight="1" x14ac:dyDescent="0.25">
      <c r="A84" s="1"/>
      <c r="B84" s="19"/>
      <c r="C84" s="21" t="s">
        <v>510</v>
      </c>
      <c r="D84" s="21" t="s">
        <v>511</v>
      </c>
      <c r="E84" s="21" t="str">
        <f t="shared" si="0"/>
        <v>PP020000007001B</v>
      </c>
      <c r="F84" s="21"/>
      <c r="G84" s="21" t="s">
        <v>479</v>
      </c>
      <c r="H84" s="21" t="s">
        <v>95</v>
      </c>
      <c r="I84" s="21" t="s">
        <v>512</v>
      </c>
      <c r="J84" s="21" t="s">
        <v>513</v>
      </c>
      <c r="K84" s="21" t="s">
        <v>482</v>
      </c>
      <c r="L84" s="21" t="s">
        <v>509</v>
      </c>
      <c r="M84" s="21"/>
      <c r="N84" s="22"/>
      <c r="O84" s="21" t="s">
        <v>151</v>
      </c>
      <c r="P84" s="21">
        <v>877</v>
      </c>
      <c r="Q84" s="24">
        <v>2</v>
      </c>
      <c r="R84" s="24">
        <f t="shared" si="29"/>
        <v>879</v>
      </c>
      <c r="S84" s="23">
        <v>2.06</v>
      </c>
      <c r="T84" s="23">
        <v>0.11</v>
      </c>
      <c r="U84" s="23">
        <f t="shared" si="30"/>
        <v>2.17</v>
      </c>
      <c r="V84" s="23">
        <v>118.41</v>
      </c>
      <c r="W84" s="52">
        <f t="shared" si="31"/>
        <v>7.630208333333333</v>
      </c>
      <c r="X84" s="23">
        <f t="shared" si="32"/>
        <v>54.566820276497694</v>
      </c>
      <c r="Y84" s="21" t="str">
        <f t="shared" si="33"/>
        <v>è in grado</v>
      </c>
      <c r="Z84" s="21" t="str">
        <f t="shared" si="34"/>
        <v>non sottende</v>
      </c>
      <c r="AA84" s="23">
        <f t="shared" si="35"/>
        <v>15.518580204778157</v>
      </c>
      <c r="AB84" s="21" t="str">
        <f t="shared" si="36"/>
        <v>A</v>
      </c>
      <c r="AC84" s="21" t="str">
        <f t="shared" si="3"/>
        <v>SI</v>
      </c>
      <c r="AD84" s="21" t="str">
        <f t="shared" si="37"/>
        <v>Si</v>
      </c>
      <c r="AE84" s="21" t="s">
        <v>490</v>
      </c>
      <c r="AF84" s="41">
        <v>7.56</v>
      </c>
      <c r="AG84" s="41">
        <v>1169</v>
      </c>
      <c r="AH84" s="41">
        <v>700</v>
      </c>
      <c r="AI84" s="41" t="str">
        <f t="shared" si="26"/>
        <v>Manufatto limitante</v>
      </c>
      <c r="AJ84" s="24">
        <v>147.71</v>
      </c>
      <c r="AK84" s="24">
        <f t="shared" si="38"/>
        <v>3.9373772933450679</v>
      </c>
      <c r="AL84" s="24">
        <f t="shared" si="10"/>
        <v>581.59</v>
      </c>
      <c r="AM84" s="21" t="s">
        <v>190</v>
      </c>
      <c r="AN84" s="56" t="s">
        <v>222</v>
      </c>
      <c r="AO84" s="28">
        <v>2029</v>
      </c>
      <c r="AP84" s="29" t="s">
        <v>484</v>
      </c>
      <c r="AQ84" s="29" t="s">
        <v>255</v>
      </c>
      <c r="AR84" s="78">
        <v>51866</v>
      </c>
      <c r="AS84" s="29" t="s">
        <v>485</v>
      </c>
      <c r="AT84" s="29"/>
      <c r="AU84" s="38"/>
      <c r="AV84" s="38"/>
      <c r="AW84" s="38"/>
      <c r="AX84" s="38"/>
      <c r="AY84" s="38"/>
      <c r="AZ84" s="38"/>
      <c r="BA84" s="38"/>
      <c r="BB84" s="38"/>
      <c r="BC84" s="38"/>
      <c r="BD84" s="38"/>
      <c r="BE84" s="38"/>
      <c r="BF84" s="1"/>
      <c r="BG84" s="1"/>
    </row>
    <row r="85" spans="1:59" ht="14.25" customHeight="1" x14ac:dyDescent="0.25">
      <c r="A85" s="1"/>
      <c r="B85" s="19"/>
      <c r="C85" s="21" t="s">
        <v>514</v>
      </c>
      <c r="D85" s="21" t="s">
        <v>515</v>
      </c>
      <c r="E85" s="21" t="str">
        <f t="shared" si="0"/>
        <v>PP020000006001B</v>
      </c>
      <c r="F85" s="21"/>
      <c r="G85" s="21" t="s">
        <v>479</v>
      </c>
      <c r="H85" s="21" t="s">
        <v>95</v>
      </c>
      <c r="I85" s="21" t="s">
        <v>516</v>
      </c>
      <c r="J85" s="21" t="s">
        <v>517</v>
      </c>
      <c r="K85" s="21" t="s">
        <v>482</v>
      </c>
      <c r="L85" s="21" t="s">
        <v>518</v>
      </c>
      <c r="M85" s="21"/>
      <c r="N85" s="22"/>
      <c r="O85" s="21" t="s">
        <v>151</v>
      </c>
      <c r="P85" s="21">
        <v>293</v>
      </c>
      <c r="Q85" s="24">
        <v>0</v>
      </c>
      <c r="R85" s="24">
        <f t="shared" si="29"/>
        <v>293</v>
      </c>
      <c r="S85" s="23">
        <v>0.69</v>
      </c>
      <c r="T85" s="23">
        <v>0</v>
      </c>
      <c r="U85" s="23">
        <f t="shared" si="30"/>
        <v>0.69</v>
      </c>
      <c r="V85" s="23">
        <v>232.73</v>
      </c>
      <c r="W85" s="52">
        <f t="shared" si="31"/>
        <v>2.5434027777777777</v>
      </c>
      <c r="X85" s="23">
        <f t="shared" si="32"/>
        <v>337.28985507246375</v>
      </c>
      <c r="Y85" s="21" t="str">
        <f t="shared" si="33"/>
        <v>è in grado</v>
      </c>
      <c r="Z85" s="21" t="str">
        <f t="shared" si="34"/>
        <v>non sottende</v>
      </c>
      <c r="AA85" s="23">
        <f t="shared" si="35"/>
        <v>91.503399317406149</v>
      </c>
      <c r="AB85" s="21" t="str">
        <f t="shared" si="36"/>
        <v>A</v>
      </c>
      <c r="AC85" s="21" t="str">
        <f t="shared" si="3"/>
        <v>SI</v>
      </c>
      <c r="AD85" s="21" t="str">
        <f t="shared" si="37"/>
        <v>Si</v>
      </c>
      <c r="AE85" s="21" t="s">
        <v>490</v>
      </c>
      <c r="AF85" s="41">
        <v>8.2799999999999994</v>
      </c>
      <c r="AG85" s="41">
        <v>1028</v>
      </c>
      <c r="AH85" s="41">
        <v>515</v>
      </c>
      <c r="AI85" s="41" t="str">
        <f t="shared" si="26"/>
        <v>Manufatto limitante</v>
      </c>
      <c r="AJ85" s="24">
        <v>58.9</v>
      </c>
      <c r="AK85" s="24">
        <f t="shared" si="38"/>
        <v>4.792359932088285</v>
      </c>
      <c r="AL85" s="24">
        <f t="shared" si="10"/>
        <v>282.27</v>
      </c>
      <c r="AM85" s="21" t="s">
        <v>190</v>
      </c>
      <c r="AN85" s="56" t="s">
        <v>222</v>
      </c>
      <c r="AO85" s="28">
        <v>2029</v>
      </c>
      <c r="AP85" s="29" t="s">
        <v>484</v>
      </c>
      <c r="AQ85" s="29" t="s">
        <v>445</v>
      </c>
      <c r="AR85" s="78">
        <v>51866</v>
      </c>
      <c r="AS85" s="29" t="s">
        <v>519</v>
      </c>
      <c r="AT85" s="29"/>
      <c r="AU85" s="43"/>
      <c r="AV85" s="43"/>
      <c r="AW85" s="43"/>
      <c r="AX85" s="43"/>
      <c r="AY85" s="43"/>
      <c r="AZ85" s="43"/>
      <c r="BA85" s="43"/>
      <c r="BB85" s="43"/>
      <c r="BC85" s="43"/>
      <c r="BD85" s="43"/>
      <c r="BE85" s="43"/>
      <c r="BF85" s="1"/>
      <c r="BG85" s="1"/>
    </row>
    <row r="86" spans="1:59" ht="14.25" customHeight="1" x14ac:dyDescent="0.25">
      <c r="A86" s="1"/>
      <c r="B86" s="79"/>
      <c r="C86" s="31" t="s">
        <v>520</v>
      </c>
      <c r="D86" s="21" t="s">
        <v>521</v>
      </c>
      <c r="E86" s="21" t="str">
        <f t="shared" si="0"/>
        <v>PP0200730006001B</v>
      </c>
      <c r="F86" s="80"/>
      <c r="G86" s="31" t="s">
        <v>121</v>
      </c>
      <c r="H86" s="31" t="s">
        <v>95</v>
      </c>
      <c r="I86" s="31" t="s">
        <v>522</v>
      </c>
      <c r="J86" s="31" t="s">
        <v>523</v>
      </c>
      <c r="K86" s="31" t="s">
        <v>121</v>
      </c>
      <c r="L86" s="31" t="s">
        <v>524</v>
      </c>
      <c r="M86" s="31"/>
      <c r="N86" s="32"/>
      <c r="O86" s="31" t="s">
        <v>151</v>
      </c>
      <c r="P86" s="31">
        <v>433</v>
      </c>
      <c r="Q86" s="33">
        <v>0</v>
      </c>
      <c r="R86" s="33">
        <f t="shared" si="29"/>
        <v>433</v>
      </c>
      <c r="S86" s="34">
        <v>1.02</v>
      </c>
      <c r="T86" s="34">
        <v>0</v>
      </c>
      <c r="U86" s="34">
        <f t="shared" si="30"/>
        <v>1.02</v>
      </c>
      <c r="V86" s="34">
        <v>308.55</v>
      </c>
      <c r="W86" s="52">
        <f t="shared" si="31"/>
        <v>3.7586805555555554</v>
      </c>
      <c r="X86" s="34">
        <f t="shared" si="32"/>
        <v>302.5</v>
      </c>
      <c r="Y86" s="31" t="str">
        <f t="shared" si="33"/>
        <v>è in grado</v>
      </c>
      <c r="Z86" s="31" t="str">
        <f t="shared" si="34"/>
        <v>non sottende</v>
      </c>
      <c r="AA86" s="34">
        <f t="shared" si="35"/>
        <v>82.089976905311786</v>
      </c>
      <c r="AB86" s="31" t="str">
        <f t="shared" si="36"/>
        <v>A</v>
      </c>
      <c r="AC86" s="21" t="str">
        <f t="shared" si="3"/>
        <v>SI</v>
      </c>
      <c r="AD86" s="31" t="str">
        <f t="shared" si="37"/>
        <v>Si</v>
      </c>
      <c r="AE86" s="31" t="s">
        <v>490</v>
      </c>
      <c r="AF86" s="80">
        <v>19.2</v>
      </c>
      <c r="AG86" s="80">
        <v>1837</v>
      </c>
      <c r="AH86" s="80">
        <v>551</v>
      </c>
      <c r="AI86" s="41" t="str">
        <f t="shared" si="26"/>
        <v>Manufatto limitante</v>
      </c>
      <c r="AJ86" s="33">
        <v>27.94</v>
      </c>
      <c r="AK86" s="24">
        <f t="shared" si="38"/>
        <v>8.6775232641374362</v>
      </c>
      <c r="AL86" s="24">
        <f t="shared" si="10"/>
        <v>242.45</v>
      </c>
      <c r="AM86" s="31" t="s">
        <v>525</v>
      </c>
      <c r="AN86" s="56" t="s">
        <v>222</v>
      </c>
      <c r="AO86" s="46">
        <v>47056</v>
      </c>
      <c r="AP86" s="29" t="s">
        <v>526</v>
      </c>
      <c r="AQ86" s="29" t="s">
        <v>255</v>
      </c>
      <c r="AR86" s="29"/>
      <c r="AS86" s="29"/>
      <c r="AT86" s="21"/>
      <c r="AU86" s="38"/>
      <c r="AV86" s="38"/>
      <c r="AW86" s="38"/>
      <c r="AX86" s="38"/>
      <c r="AY86" s="38"/>
      <c r="AZ86" s="38"/>
      <c r="BA86" s="38"/>
      <c r="BB86" s="38"/>
      <c r="BC86" s="38"/>
      <c r="BD86" s="38"/>
      <c r="BE86" s="38"/>
      <c r="BF86" s="1"/>
      <c r="BG86" s="1"/>
    </row>
    <row r="87" spans="1:59" ht="14.25" customHeight="1" x14ac:dyDescent="0.25">
      <c r="A87" s="1"/>
      <c r="B87" s="19"/>
      <c r="C87" s="21" t="s">
        <v>527</v>
      </c>
      <c r="D87" s="21" t="s">
        <v>528</v>
      </c>
      <c r="E87" s="21" t="str">
        <f t="shared" si="0"/>
        <v>PP0200730008001B</v>
      </c>
      <c r="F87" s="41" t="s">
        <v>529</v>
      </c>
      <c r="G87" s="21" t="s">
        <v>121</v>
      </c>
      <c r="H87" s="21" t="s">
        <v>95</v>
      </c>
      <c r="I87" s="21" t="s">
        <v>530</v>
      </c>
      <c r="J87" s="21" t="s">
        <v>531</v>
      </c>
      <c r="K87" s="21" t="s">
        <v>121</v>
      </c>
      <c r="L87" s="21" t="s">
        <v>524</v>
      </c>
      <c r="M87" s="21"/>
      <c r="N87" s="22"/>
      <c r="O87" s="21" t="s">
        <v>151</v>
      </c>
      <c r="P87" s="21">
        <v>443</v>
      </c>
      <c r="Q87" s="24">
        <v>0</v>
      </c>
      <c r="R87" s="24">
        <f t="shared" si="29"/>
        <v>443</v>
      </c>
      <c r="S87" s="23">
        <v>1.04</v>
      </c>
      <c r="T87" s="23">
        <v>0</v>
      </c>
      <c r="U87" s="23">
        <f t="shared" si="30"/>
        <v>1.04</v>
      </c>
      <c r="V87" s="23">
        <v>138.30000000000001</v>
      </c>
      <c r="W87" s="52">
        <f t="shared" si="31"/>
        <v>3.8454861111111112</v>
      </c>
      <c r="X87" s="23">
        <f t="shared" si="32"/>
        <v>132.98076923076923</v>
      </c>
      <c r="Y87" s="21" t="str">
        <f t="shared" si="33"/>
        <v>è in grado</v>
      </c>
      <c r="Z87" s="21" t="str">
        <f t="shared" si="34"/>
        <v>non sottende</v>
      </c>
      <c r="AA87" s="23">
        <f t="shared" si="35"/>
        <v>35.964243792325057</v>
      </c>
      <c r="AB87" s="21" t="str">
        <f t="shared" si="36"/>
        <v>A</v>
      </c>
      <c r="AC87" s="21" t="str">
        <f t="shared" si="3"/>
        <v>SI</v>
      </c>
      <c r="AD87" s="21" t="str">
        <f t="shared" si="37"/>
        <v>Si</v>
      </c>
      <c r="AE87" s="21" t="s">
        <v>490</v>
      </c>
      <c r="AF87" s="41">
        <v>0.2</v>
      </c>
      <c r="AG87" s="41">
        <v>328</v>
      </c>
      <c r="AH87" s="41">
        <v>551</v>
      </c>
      <c r="AI87" s="41" t="str">
        <f t="shared" si="26"/>
        <v xml:space="preserve"> </v>
      </c>
      <c r="AJ87" s="24">
        <v>1900</v>
      </c>
      <c r="AK87" s="24">
        <f t="shared" si="38"/>
        <v>9.9842105263157885E-2</v>
      </c>
      <c r="AL87" s="24">
        <f t="shared" si="10"/>
        <v>189.7</v>
      </c>
      <c r="AM87" s="21" t="s">
        <v>190</v>
      </c>
      <c r="AN87" s="56" t="s">
        <v>532</v>
      </c>
      <c r="AO87" s="47">
        <v>47056</v>
      </c>
      <c r="AP87" s="29" t="s">
        <v>526</v>
      </c>
      <c r="AQ87" s="29" t="s">
        <v>255</v>
      </c>
      <c r="AR87" s="29"/>
      <c r="AS87" s="29"/>
      <c r="AT87" s="21"/>
      <c r="AU87" s="38"/>
      <c r="AV87" s="38"/>
      <c r="AW87" s="38"/>
      <c r="AX87" s="38"/>
      <c r="AY87" s="38"/>
      <c r="AZ87" s="38"/>
      <c r="BA87" s="38"/>
      <c r="BB87" s="38"/>
      <c r="BC87" s="38"/>
      <c r="BD87" s="38"/>
      <c r="BE87" s="38"/>
      <c r="BF87" s="1"/>
      <c r="BG87" s="1"/>
    </row>
    <row r="88" spans="1:59" ht="14.25" customHeight="1" x14ac:dyDescent="0.25">
      <c r="A88" s="1"/>
      <c r="B88" s="19"/>
      <c r="C88" s="21" t="s">
        <v>533</v>
      </c>
      <c r="D88" s="21" t="s">
        <v>534</v>
      </c>
      <c r="E88" s="21" t="str">
        <f t="shared" si="0"/>
        <v>PP0200730005001B</v>
      </c>
      <c r="F88" s="21"/>
      <c r="G88" s="21" t="s">
        <v>121</v>
      </c>
      <c r="H88" s="21" t="s">
        <v>535</v>
      </c>
      <c r="I88" s="21" t="s">
        <v>536</v>
      </c>
      <c r="J88" s="21" t="s">
        <v>537</v>
      </c>
      <c r="K88" s="21" t="s">
        <v>121</v>
      </c>
      <c r="L88" s="21" t="s">
        <v>538</v>
      </c>
      <c r="M88" s="21"/>
      <c r="N88" s="22"/>
      <c r="O88" s="21" t="s">
        <v>159</v>
      </c>
      <c r="P88" s="21">
        <v>33</v>
      </c>
      <c r="Q88" s="24">
        <v>0</v>
      </c>
      <c r="R88" s="24">
        <f t="shared" si="29"/>
        <v>33</v>
      </c>
      <c r="S88" s="23">
        <v>0.08</v>
      </c>
      <c r="T88" s="23">
        <v>0</v>
      </c>
      <c r="U88" s="23">
        <f t="shared" si="30"/>
        <v>0.08</v>
      </c>
      <c r="V88" s="23">
        <v>5.8</v>
      </c>
      <c r="W88" s="52">
        <f t="shared" si="31"/>
        <v>0.28645833333333331</v>
      </c>
      <c r="X88" s="23">
        <f t="shared" si="32"/>
        <v>72.5</v>
      </c>
      <c r="Y88" s="21" t="str">
        <f t="shared" si="33"/>
        <v>è in grado</v>
      </c>
      <c r="Z88" s="21" t="str">
        <f t="shared" si="34"/>
        <v>non sottende</v>
      </c>
      <c r="AA88" s="23">
        <f t="shared" si="35"/>
        <v>20.247272727272726</v>
      </c>
      <c r="AB88" s="21" t="str">
        <f t="shared" si="36"/>
        <v>A</v>
      </c>
      <c r="AC88" s="21" t="str">
        <f t="shared" si="3"/>
        <v>SI</v>
      </c>
      <c r="AD88" s="21" t="str">
        <f t="shared" si="37"/>
        <v>No</v>
      </c>
      <c r="AE88" s="21" t="s">
        <v>490</v>
      </c>
      <c r="AF88" s="41">
        <v>4.3</v>
      </c>
      <c r="AG88" s="41">
        <v>386</v>
      </c>
      <c r="AH88" s="41">
        <v>549</v>
      </c>
      <c r="AI88" s="41" t="str">
        <f t="shared" si="26"/>
        <v xml:space="preserve"> </v>
      </c>
      <c r="AJ88" s="24">
        <v>210.45</v>
      </c>
      <c r="AK88" s="24">
        <f t="shared" si="38"/>
        <v>1.8066048942741744</v>
      </c>
      <c r="AL88" s="24">
        <f t="shared" si="10"/>
        <v>380.2</v>
      </c>
      <c r="AM88" s="21" t="s">
        <v>190</v>
      </c>
      <c r="AN88" s="56" t="s">
        <v>236</v>
      </c>
      <c r="AO88" s="47">
        <v>47056</v>
      </c>
      <c r="AP88" s="29" t="s">
        <v>526</v>
      </c>
      <c r="AQ88" s="29" t="s">
        <v>255</v>
      </c>
      <c r="AR88" s="29"/>
      <c r="AS88" s="29"/>
      <c r="AT88" s="21"/>
      <c r="AU88" s="43"/>
      <c r="AV88" s="43"/>
      <c r="AW88" s="43"/>
      <c r="AX88" s="43"/>
      <c r="AY88" s="43"/>
      <c r="AZ88" s="43"/>
      <c r="BA88" s="43"/>
      <c r="BB88" s="43"/>
      <c r="BC88" s="43"/>
      <c r="BD88" s="43"/>
      <c r="BE88" s="43"/>
      <c r="BF88" s="1"/>
      <c r="BG88" s="1"/>
    </row>
    <row r="89" spans="1:59" ht="14.25" customHeight="1" x14ac:dyDescent="0.25">
      <c r="A89" s="1"/>
      <c r="B89" s="79"/>
      <c r="C89" s="31" t="s">
        <v>539</v>
      </c>
      <c r="D89" s="21"/>
      <c r="E89" s="21" t="str">
        <f t="shared" si="0"/>
        <v>001B</v>
      </c>
      <c r="F89" s="31"/>
      <c r="G89" s="31" t="s">
        <v>121</v>
      </c>
      <c r="H89" s="31" t="s">
        <v>95</v>
      </c>
      <c r="I89" s="31" t="s">
        <v>540</v>
      </c>
      <c r="J89" s="31" t="s">
        <v>541</v>
      </c>
      <c r="K89" s="31" t="s">
        <v>121</v>
      </c>
      <c r="L89" s="21" t="s">
        <v>542</v>
      </c>
      <c r="M89" s="31"/>
      <c r="N89" s="22"/>
      <c r="O89" s="21" t="s">
        <v>151</v>
      </c>
      <c r="P89" s="31">
        <v>1048</v>
      </c>
      <c r="Q89" s="33">
        <v>0</v>
      </c>
      <c r="R89" s="33">
        <f t="shared" si="29"/>
        <v>1048</v>
      </c>
      <c r="S89" s="34">
        <v>2.46</v>
      </c>
      <c r="T89" s="34">
        <v>0</v>
      </c>
      <c r="U89" s="34">
        <f t="shared" si="30"/>
        <v>2.46</v>
      </c>
      <c r="V89" s="34">
        <v>124.51</v>
      </c>
      <c r="W89" s="52">
        <f t="shared" si="31"/>
        <v>9.0972222222222214</v>
      </c>
      <c r="X89" s="34">
        <f t="shared" si="32"/>
        <v>50.613821138211385</v>
      </c>
      <c r="Y89" s="31" t="str">
        <f t="shared" si="33"/>
        <v>è in grado</v>
      </c>
      <c r="Z89" s="31" t="str">
        <f t="shared" si="34"/>
        <v>non sottende</v>
      </c>
      <c r="AA89" s="34">
        <f t="shared" si="35"/>
        <v>13.686595419847331</v>
      </c>
      <c r="AB89" s="31" t="str">
        <f t="shared" si="36"/>
        <v>A</v>
      </c>
      <c r="AC89" s="21" t="str">
        <f t="shared" si="3"/>
        <v>SI</v>
      </c>
      <c r="AD89" s="31" t="str">
        <f t="shared" si="37"/>
        <v>Si</v>
      </c>
      <c r="AE89" s="31" t="s">
        <v>490</v>
      </c>
      <c r="AF89" s="80">
        <v>35</v>
      </c>
      <c r="AG89" s="80">
        <v>2342</v>
      </c>
      <c r="AH89" s="80">
        <v>4997</v>
      </c>
      <c r="AI89" s="41" t="str">
        <f t="shared" si="26"/>
        <v xml:space="preserve"> </v>
      </c>
      <c r="AJ89" s="33">
        <v>150.02000000000001</v>
      </c>
      <c r="AK89" s="24">
        <f t="shared" si="38"/>
        <v>14.781295827223035</v>
      </c>
      <c r="AL89" s="24">
        <f t="shared" si="10"/>
        <v>2217.4899999999998</v>
      </c>
      <c r="AM89" s="31" t="s">
        <v>190</v>
      </c>
      <c r="AN89" s="56" t="s">
        <v>236</v>
      </c>
      <c r="AO89" s="46">
        <v>47056</v>
      </c>
      <c r="AP89" s="36" t="s">
        <v>526</v>
      </c>
      <c r="AQ89" s="29" t="s">
        <v>543</v>
      </c>
      <c r="AR89" s="36" t="s">
        <v>544</v>
      </c>
      <c r="AS89" s="29"/>
      <c r="AT89" s="21" t="s">
        <v>545</v>
      </c>
      <c r="AU89" s="38"/>
      <c r="AV89" s="38"/>
      <c r="AW89" s="38"/>
      <c r="AX89" s="38"/>
      <c r="AY89" s="38"/>
      <c r="AZ89" s="38"/>
      <c r="BA89" s="38"/>
      <c r="BB89" s="38"/>
      <c r="BC89" s="38"/>
      <c r="BD89" s="38"/>
      <c r="BE89" s="38"/>
      <c r="BF89" s="1"/>
      <c r="BG89" s="1"/>
    </row>
    <row r="90" spans="1:59" ht="14.25" customHeight="1" x14ac:dyDescent="0.25">
      <c r="A90" s="1"/>
      <c r="B90" s="19"/>
      <c r="C90" s="21" t="s">
        <v>546</v>
      </c>
      <c r="D90" s="21"/>
      <c r="E90" s="21" t="str">
        <f t="shared" si="0"/>
        <v>001B</v>
      </c>
      <c r="F90" s="21"/>
      <c r="G90" s="21" t="s">
        <v>121</v>
      </c>
      <c r="H90" s="21" t="s">
        <v>95</v>
      </c>
      <c r="I90" s="21" t="s">
        <v>547</v>
      </c>
      <c r="J90" s="21" t="s">
        <v>548</v>
      </c>
      <c r="K90" s="21" t="s">
        <v>121</v>
      </c>
      <c r="L90" s="21" t="s">
        <v>549</v>
      </c>
      <c r="M90" s="21"/>
      <c r="N90" s="22"/>
      <c r="O90" s="21" t="s">
        <v>151</v>
      </c>
      <c r="P90" s="21">
        <v>97</v>
      </c>
      <c r="Q90" s="24">
        <v>0</v>
      </c>
      <c r="R90" s="24">
        <f t="shared" si="29"/>
        <v>97</v>
      </c>
      <c r="S90" s="23">
        <v>0.23</v>
      </c>
      <c r="T90" s="23">
        <v>0</v>
      </c>
      <c r="U90" s="23">
        <f t="shared" si="30"/>
        <v>0.23</v>
      </c>
      <c r="V90" s="23">
        <v>49.7</v>
      </c>
      <c r="W90" s="52">
        <f t="shared" si="31"/>
        <v>0.84201388888888884</v>
      </c>
      <c r="X90" s="23">
        <f t="shared" si="32"/>
        <v>216.08695652173913</v>
      </c>
      <c r="Y90" s="21" t="str">
        <f t="shared" si="33"/>
        <v>è in grado</v>
      </c>
      <c r="Z90" s="21" t="str">
        <f t="shared" si="34"/>
        <v>non sottende</v>
      </c>
      <c r="AA90" s="23">
        <f t="shared" si="35"/>
        <v>59.025154639175263</v>
      </c>
      <c r="AB90" s="21" t="str">
        <f t="shared" si="36"/>
        <v>A</v>
      </c>
      <c r="AC90" s="21" t="str">
        <f t="shared" si="3"/>
        <v>SI</v>
      </c>
      <c r="AD90" s="21" t="str">
        <f t="shared" si="37"/>
        <v>Si</v>
      </c>
      <c r="AE90" s="21" t="s">
        <v>490</v>
      </c>
      <c r="AF90" s="41">
        <v>6.8</v>
      </c>
      <c r="AG90" s="41">
        <v>1433</v>
      </c>
      <c r="AH90" s="41">
        <v>550</v>
      </c>
      <c r="AI90" s="41" t="str">
        <f t="shared" si="26"/>
        <v>Manufatto limitante</v>
      </c>
      <c r="AJ90" s="24">
        <v>89</v>
      </c>
      <c r="AK90" s="24">
        <f t="shared" si="38"/>
        <v>5.6213483146067418</v>
      </c>
      <c r="AL90" s="24">
        <f t="shared" si="10"/>
        <v>500.3</v>
      </c>
      <c r="AM90" s="21" t="s">
        <v>190</v>
      </c>
      <c r="AN90" s="56" t="s">
        <v>236</v>
      </c>
      <c r="AO90" s="47">
        <v>47056</v>
      </c>
      <c r="AP90" s="29" t="s">
        <v>526</v>
      </c>
      <c r="AQ90" s="29" t="s">
        <v>255</v>
      </c>
      <c r="AR90" s="29" t="s">
        <v>225</v>
      </c>
      <c r="AS90" s="29" t="s">
        <v>92</v>
      </c>
      <c r="AT90" s="21"/>
      <c r="AU90" s="38"/>
      <c r="AV90" s="38"/>
      <c r="AW90" s="38"/>
      <c r="AX90" s="38"/>
      <c r="AY90" s="38"/>
      <c r="AZ90" s="38"/>
      <c r="BA90" s="38"/>
      <c r="BB90" s="38"/>
      <c r="BC90" s="38"/>
      <c r="BD90" s="38"/>
      <c r="BE90" s="38"/>
      <c r="BF90" s="1"/>
      <c r="BG90" s="1"/>
    </row>
    <row r="91" spans="1:59" ht="14.25" customHeight="1" x14ac:dyDescent="0.25">
      <c r="A91" s="1"/>
      <c r="B91" s="50"/>
      <c r="C91" s="50" t="s">
        <v>550</v>
      </c>
      <c r="D91" s="50"/>
      <c r="E91" s="50" t="str">
        <f t="shared" si="0"/>
        <v>001B</v>
      </c>
      <c r="F91" s="50"/>
      <c r="G91" s="50" t="s">
        <v>551</v>
      </c>
      <c r="H91" s="50" t="s">
        <v>552</v>
      </c>
      <c r="I91" s="50" t="s">
        <v>553</v>
      </c>
      <c r="J91" s="50" t="s">
        <v>554</v>
      </c>
      <c r="K91" s="50" t="s">
        <v>141</v>
      </c>
      <c r="L91" s="50" t="s">
        <v>555</v>
      </c>
      <c r="M91" s="50" t="s">
        <v>221</v>
      </c>
      <c r="N91" s="54"/>
      <c r="O91" s="50" t="s">
        <v>151</v>
      </c>
      <c r="P91" s="50">
        <v>86</v>
      </c>
      <c r="Q91" s="53">
        <v>0</v>
      </c>
      <c r="R91" s="53">
        <f t="shared" si="29"/>
        <v>86</v>
      </c>
      <c r="S91" s="54">
        <v>0.2</v>
      </c>
      <c r="T91" s="54">
        <v>0</v>
      </c>
      <c r="U91" s="54">
        <f t="shared" si="30"/>
        <v>0.2</v>
      </c>
      <c r="V91" s="54">
        <v>21.11</v>
      </c>
      <c r="W91" s="54">
        <f t="shared" si="31"/>
        <v>0.74652777777777779</v>
      </c>
      <c r="X91" s="54">
        <f t="shared" si="32"/>
        <v>105.55</v>
      </c>
      <c r="Y91" s="50" t="str">
        <f t="shared" si="33"/>
        <v>è in grado</v>
      </c>
      <c r="Z91" s="50" t="str">
        <f t="shared" si="34"/>
        <v>non sottende</v>
      </c>
      <c r="AA91" s="54">
        <f t="shared" si="35"/>
        <v>28.277581395348836</v>
      </c>
      <c r="AB91" s="50" t="str">
        <f t="shared" si="36"/>
        <v>A</v>
      </c>
      <c r="AC91" s="50" t="str">
        <f t="shared" si="3"/>
        <v>SI</v>
      </c>
      <c r="AD91" s="50" t="str">
        <f t="shared" si="37"/>
        <v>Si</v>
      </c>
      <c r="AE91" s="50" t="s">
        <v>490</v>
      </c>
      <c r="AF91" s="50">
        <v>1.7</v>
      </c>
      <c r="AG91" s="50">
        <v>215</v>
      </c>
      <c r="AH91" s="50">
        <v>433</v>
      </c>
      <c r="AI91" s="50" t="str">
        <f t="shared" si="26"/>
        <v xml:space="preserve"> </v>
      </c>
      <c r="AJ91" s="53">
        <v>237.29</v>
      </c>
      <c r="AK91" s="53">
        <f t="shared" si="38"/>
        <v>0.81710143706013738</v>
      </c>
      <c r="AL91" s="53">
        <f t="shared" si="10"/>
        <v>193.89</v>
      </c>
      <c r="AM91" s="50" t="s">
        <v>190</v>
      </c>
      <c r="AN91" s="56" t="s">
        <v>222</v>
      </c>
      <c r="AO91" s="81"/>
      <c r="AP91" s="64" t="s">
        <v>223</v>
      </c>
      <c r="AQ91" s="64" t="s">
        <v>224</v>
      </c>
      <c r="AR91" s="64" t="s">
        <v>225</v>
      </c>
      <c r="AS91" s="64" t="s">
        <v>556</v>
      </c>
      <c r="AT91" s="50" t="s">
        <v>557</v>
      </c>
      <c r="AU91" s="1"/>
      <c r="AV91" s="1"/>
      <c r="AW91" s="1"/>
      <c r="AX91" s="1"/>
      <c r="AY91" s="1"/>
      <c r="AZ91" s="1"/>
      <c r="BA91" s="1"/>
      <c r="BB91" s="1"/>
      <c r="BC91" s="1"/>
      <c r="BD91" s="1"/>
      <c r="BE91" s="1"/>
      <c r="BF91" s="1"/>
      <c r="BG91" s="1"/>
    </row>
    <row r="92" spans="1:59" ht="14.25" customHeight="1" x14ac:dyDescent="0.25">
      <c r="A92" s="1"/>
      <c r="B92" s="50"/>
      <c r="C92" s="50" t="s">
        <v>558</v>
      </c>
      <c r="D92" s="50" t="s">
        <v>559</v>
      </c>
      <c r="E92" s="50" t="str">
        <f t="shared" si="0"/>
        <v>PP0200210015001B</v>
      </c>
      <c r="F92" s="50"/>
      <c r="G92" s="50" t="s">
        <v>551</v>
      </c>
      <c r="H92" s="50" t="s">
        <v>560</v>
      </c>
      <c r="I92" s="50" t="s">
        <v>561</v>
      </c>
      <c r="J92" s="50" t="s">
        <v>562</v>
      </c>
      <c r="K92" s="50" t="s">
        <v>141</v>
      </c>
      <c r="L92" s="50" t="s">
        <v>563</v>
      </c>
      <c r="M92" s="50"/>
      <c r="N92" s="54" t="s">
        <v>145</v>
      </c>
      <c r="O92" s="50" t="s">
        <v>159</v>
      </c>
      <c r="P92" s="50">
        <v>36</v>
      </c>
      <c r="Q92" s="53">
        <v>17</v>
      </c>
      <c r="R92" s="53">
        <f t="shared" si="29"/>
        <v>53</v>
      </c>
      <c r="S92" s="54">
        <v>0.08</v>
      </c>
      <c r="T92" s="54">
        <v>0.47</v>
      </c>
      <c r="U92" s="54">
        <f t="shared" si="30"/>
        <v>0.54999999999999993</v>
      </c>
      <c r="V92" s="54">
        <v>7.5</v>
      </c>
      <c r="W92" s="54">
        <f t="shared" si="31"/>
        <v>1.18</v>
      </c>
      <c r="X92" s="54">
        <f t="shared" si="32"/>
        <v>13.636363636363638</v>
      </c>
      <c r="Y92" s="50" t="str">
        <f t="shared" si="33"/>
        <v>è in grado</v>
      </c>
      <c r="Z92" s="50" t="str">
        <f t="shared" si="34"/>
        <v>non sottende</v>
      </c>
      <c r="AA92" s="54">
        <f t="shared" si="35"/>
        <v>6.3559322033898304</v>
      </c>
      <c r="AB92" s="50" t="str">
        <f t="shared" si="36"/>
        <v>A</v>
      </c>
      <c r="AC92" s="50" t="str">
        <f t="shared" si="3"/>
        <v>SI</v>
      </c>
      <c r="AD92" s="50" t="str">
        <f t="shared" si="37"/>
        <v>No</v>
      </c>
      <c r="AE92" s="50" t="s">
        <v>490</v>
      </c>
      <c r="AF92" s="50">
        <v>6.61</v>
      </c>
      <c r="AG92" s="50">
        <v>945</v>
      </c>
      <c r="AH92" s="50">
        <v>1470</v>
      </c>
      <c r="AI92" s="50" t="str">
        <f t="shared" si="26"/>
        <v xml:space="preserve"> </v>
      </c>
      <c r="AJ92" s="53">
        <v>209.89</v>
      </c>
      <c r="AK92" s="53">
        <f t="shared" si="38"/>
        <v>4.4666253751965321</v>
      </c>
      <c r="AL92" s="53">
        <f t="shared" si="10"/>
        <v>937.5</v>
      </c>
      <c r="AM92" s="50" t="s">
        <v>152</v>
      </c>
      <c r="AN92" s="56" t="s">
        <v>236</v>
      </c>
      <c r="AO92" s="67">
        <v>47421</v>
      </c>
      <c r="AP92" s="64" t="s">
        <v>564</v>
      </c>
      <c r="AQ92" s="64" t="s">
        <v>238</v>
      </c>
      <c r="AR92" s="82">
        <v>52597</v>
      </c>
      <c r="AS92" s="64" t="s">
        <v>565</v>
      </c>
      <c r="AT92" s="50"/>
      <c r="AU92" s="1"/>
      <c r="AV92" s="1"/>
      <c r="AW92" s="1"/>
      <c r="AX92" s="1"/>
      <c r="AY92" s="1"/>
      <c r="AZ92" s="1"/>
      <c r="BA92" s="1"/>
      <c r="BB92" s="1"/>
      <c r="BC92" s="1"/>
      <c r="BD92" s="1"/>
      <c r="BE92" s="1"/>
      <c r="BF92" s="1"/>
      <c r="BG92" s="1"/>
    </row>
    <row r="93" spans="1:59" ht="14.25" customHeight="1" x14ac:dyDescent="0.25">
      <c r="A93" s="1" t="s">
        <v>566</v>
      </c>
      <c r="B93" s="9"/>
      <c r="C93" s="21" t="s">
        <v>567</v>
      </c>
      <c r="D93" s="21" t="s">
        <v>568</v>
      </c>
      <c r="E93" s="21" t="str">
        <f t="shared" si="0"/>
        <v>PP0200210019001B</v>
      </c>
      <c r="F93" s="21"/>
      <c r="G93" s="21" t="s">
        <v>551</v>
      </c>
      <c r="H93" s="21" t="s">
        <v>569</v>
      </c>
      <c r="I93" s="21" t="s">
        <v>570</v>
      </c>
      <c r="J93" s="21" t="s">
        <v>571</v>
      </c>
      <c r="K93" s="21" t="s">
        <v>572</v>
      </c>
      <c r="L93" s="21" t="s">
        <v>573</v>
      </c>
      <c r="M93" s="21"/>
      <c r="N93" s="22"/>
      <c r="O93" s="21" t="s">
        <v>151</v>
      </c>
      <c r="P93" s="21">
        <v>1022</v>
      </c>
      <c r="Q93" s="24">
        <v>0</v>
      </c>
      <c r="R93" s="24">
        <f t="shared" si="29"/>
        <v>1022</v>
      </c>
      <c r="S93" s="23">
        <v>2.4</v>
      </c>
      <c r="T93" s="23">
        <v>0</v>
      </c>
      <c r="U93" s="23">
        <f t="shared" si="30"/>
        <v>2.4</v>
      </c>
      <c r="V93" s="23">
        <v>23.86</v>
      </c>
      <c r="W93" s="52">
        <f t="shared" si="31"/>
        <v>8.8715277777777786</v>
      </c>
      <c r="X93" s="23">
        <f t="shared" si="32"/>
        <v>9.9416666666666664</v>
      </c>
      <c r="Y93" s="21" t="str">
        <f t="shared" si="33"/>
        <v>è in grado</v>
      </c>
      <c r="Z93" s="21" t="str">
        <f t="shared" si="34"/>
        <v>non sottende</v>
      </c>
      <c r="AA93" s="23">
        <f t="shared" si="35"/>
        <v>2.6895029354207431</v>
      </c>
      <c r="AB93" s="21" t="str">
        <f t="shared" si="36"/>
        <v>A</v>
      </c>
      <c r="AC93" s="21" t="str">
        <f t="shared" si="3"/>
        <v>SI</v>
      </c>
      <c r="AD93" s="21" t="str">
        <f t="shared" si="37"/>
        <v>Si</v>
      </c>
      <c r="AE93" s="21" t="s">
        <v>490</v>
      </c>
      <c r="AF93" s="41">
        <v>5.66</v>
      </c>
      <c r="AG93" s="41">
        <v>772</v>
      </c>
      <c r="AH93" s="41">
        <v>1904</v>
      </c>
      <c r="AI93" s="41" t="str">
        <f t="shared" si="26"/>
        <v xml:space="preserve"> </v>
      </c>
      <c r="AJ93" s="24">
        <v>251.07</v>
      </c>
      <c r="AK93" s="24">
        <f t="shared" si="38"/>
        <v>2.9798064284860795</v>
      </c>
      <c r="AL93" s="24">
        <f t="shared" si="10"/>
        <v>748.14</v>
      </c>
      <c r="AM93" s="21" t="s">
        <v>190</v>
      </c>
      <c r="AN93" s="56" t="s">
        <v>222</v>
      </c>
      <c r="AO93" s="83">
        <v>47510</v>
      </c>
      <c r="AP93" s="84" t="s">
        <v>574</v>
      </c>
      <c r="AQ93" s="29" t="s">
        <v>238</v>
      </c>
      <c r="AR93" s="29"/>
      <c r="AS93" s="29" t="s">
        <v>575</v>
      </c>
      <c r="AT93" s="26"/>
      <c r="AU93" s="38"/>
      <c r="AV93" s="38"/>
      <c r="AW93" s="38"/>
      <c r="AX93" s="38"/>
      <c r="AY93" s="38"/>
      <c r="AZ93" s="38"/>
      <c r="BA93" s="38"/>
      <c r="BB93" s="38"/>
      <c r="BC93" s="38"/>
      <c r="BD93" s="38"/>
      <c r="BE93" s="38"/>
      <c r="BF93" s="1"/>
      <c r="BG93" s="1"/>
    </row>
    <row r="94" spans="1:59" ht="14.25" customHeight="1" x14ac:dyDescent="0.25">
      <c r="A94" s="1"/>
      <c r="B94" s="50"/>
      <c r="C94" s="50" t="s">
        <v>576</v>
      </c>
      <c r="D94" s="50" t="s">
        <v>577</v>
      </c>
      <c r="E94" s="50" t="str">
        <f t="shared" si="0"/>
        <v>PP0200210016001B</v>
      </c>
      <c r="F94" s="50"/>
      <c r="G94" s="50" t="s">
        <v>551</v>
      </c>
      <c r="H94" s="50" t="s">
        <v>578</v>
      </c>
      <c r="I94" s="50" t="s">
        <v>579</v>
      </c>
      <c r="J94" s="50" t="s">
        <v>580</v>
      </c>
      <c r="K94" s="50" t="s">
        <v>141</v>
      </c>
      <c r="L94" s="50" t="s">
        <v>581</v>
      </c>
      <c r="M94" s="50"/>
      <c r="N94" s="54"/>
      <c r="O94" s="50" t="s">
        <v>151</v>
      </c>
      <c r="P94" s="50">
        <v>995</v>
      </c>
      <c r="Q94" s="53">
        <v>0</v>
      </c>
      <c r="R94" s="53">
        <f t="shared" si="29"/>
        <v>995</v>
      </c>
      <c r="S94" s="54">
        <v>2.34</v>
      </c>
      <c r="T94" s="54">
        <v>0</v>
      </c>
      <c r="U94" s="54">
        <f t="shared" si="30"/>
        <v>2.34</v>
      </c>
      <c r="V94" s="54">
        <v>65</v>
      </c>
      <c r="W94" s="54">
        <f t="shared" si="31"/>
        <v>8.6371527777777786</v>
      </c>
      <c r="X94" s="54">
        <f t="shared" si="32"/>
        <v>27.777777777777779</v>
      </c>
      <c r="Y94" s="50" t="str">
        <f t="shared" si="33"/>
        <v>è in grado</v>
      </c>
      <c r="Z94" s="50" t="str">
        <f t="shared" si="34"/>
        <v>non sottende</v>
      </c>
      <c r="AA94" s="54">
        <f t="shared" si="35"/>
        <v>7.5256281407035166</v>
      </c>
      <c r="AB94" s="50" t="str">
        <f t="shared" si="36"/>
        <v>A</v>
      </c>
      <c r="AC94" s="50" t="str">
        <f t="shared" si="3"/>
        <v>SI</v>
      </c>
      <c r="AD94" s="50" t="str">
        <f t="shared" si="37"/>
        <v>Si</v>
      </c>
      <c r="AE94" s="50" t="s">
        <v>490</v>
      </c>
      <c r="AF94" s="50">
        <v>11.42</v>
      </c>
      <c r="AG94" s="50">
        <v>635</v>
      </c>
      <c r="AH94" s="50">
        <v>2380</v>
      </c>
      <c r="AI94" s="50" t="str">
        <f t="shared" si="26"/>
        <v xml:space="preserve"> </v>
      </c>
      <c r="AJ94" s="53">
        <v>155.07</v>
      </c>
      <c r="AK94" s="53">
        <f t="shared" si="38"/>
        <v>3.6757593344940998</v>
      </c>
      <c r="AL94" s="53">
        <f t="shared" si="10"/>
        <v>570</v>
      </c>
      <c r="AM94" s="50" t="s">
        <v>190</v>
      </c>
      <c r="AN94" s="56" t="s">
        <v>236</v>
      </c>
      <c r="AO94" s="67">
        <v>47421</v>
      </c>
      <c r="AP94" s="64" t="s">
        <v>582</v>
      </c>
      <c r="AQ94" s="64" t="s">
        <v>238</v>
      </c>
      <c r="AR94" s="82">
        <v>52597</v>
      </c>
      <c r="AS94" s="64" t="s">
        <v>565</v>
      </c>
      <c r="AT94" s="50"/>
      <c r="AU94" s="1"/>
      <c r="AV94" s="1"/>
      <c r="AW94" s="1"/>
      <c r="AX94" s="1"/>
      <c r="AY94" s="1"/>
      <c r="AZ94" s="1"/>
      <c r="BA94" s="1"/>
      <c r="BB94" s="1"/>
      <c r="BC94" s="1"/>
      <c r="BD94" s="1"/>
      <c r="BE94" s="1"/>
      <c r="BF94" s="1"/>
      <c r="BG94" s="1"/>
    </row>
    <row r="95" spans="1:59" ht="14.25" customHeight="1" x14ac:dyDescent="0.25">
      <c r="A95" s="1" t="s">
        <v>566</v>
      </c>
      <c r="B95" s="9"/>
      <c r="C95" s="21" t="s">
        <v>583</v>
      </c>
      <c r="D95" s="21" t="s">
        <v>584</v>
      </c>
      <c r="E95" s="21" t="str">
        <f t="shared" si="0"/>
        <v>PP0200210013001B</v>
      </c>
      <c r="F95" s="21"/>
      <c r="G95" s="21" t="s">
        <v>551</v>
      </c>
      <c r="H95" s="21" t="s">
        <v>569</v>
      </c>
      <c r="I95" s="21" t="s">
        <v>585</v>
      </c>
      <c r="J95" s="21" t="s">
        <v>586</v>
      </c>
      <c r="K95" s="21" t="s">
        <v>572</v>
      </c>
      <c r="L95" s="21" t="s">
        <v>587</v>
      </c>
      <c r="M95" s="21"/>
      <c r="N95" s="22"/>
      <c r="O95" s="21" t="s">
        <v>118</v>
      </c>
      <c r="P95" s="21">
        <v>1870</v>
      </c>
      <c r="Q95" s="24">
        <v>0</v>
      </c>
      <c r="R95" s="24">
        <f t="shared" si="29"/>
        <v>1870</v>
      </c>
      <c r="S95" s="23">
        <v>4.4000000000000004</v>
      </c>
      <c r="T95" s="23">
        <v>0</v>
      </c>
      <c r="U95" s="23">
        <f t="shared" si="30"/>
        <v>4.4000000000000004</v>
      </c>
      <c r="V95" s="23">
        <v>40.26</v>
      </c>
      <c r="W95" s="52">
        <f t="shared" si="31"/>
        <v>16.232638888888889</v>
      </c>
      <c r="X95" s="23">
        <f t="shared" si="32"/>
        <v>9.1499999999999986</v>
      </c>
      <c r="Y95" s="21" t="str">
        <f t="shared" si="33"/>
        <v>è in grado</v>
      </c>
      <c r="Z95" s="21" t="str">
        <f t="shared" si="34"/>
        <v>non sottende</v>
      </c>
      <c r="AA95" s="23">
        <f t="shared" si="35"/>
        <v>2.4801882352941176</v>
      </c>
      <c r="AB95" s="21" t="str">
        <f t="shared" si="36"/>
        <v>A</v>
      </c>
      <c r="AC95" s="21" t="str">
        <f t="shared" si="3"/>
        <v>SI</v>
      </c>
      <c r="AD95" s="21" t="str">
        <f t="shared" si="37"/>
        <v>Si</v>
      </c>
      <c r="AE95" s="21" t="s">
        <v>490</v>
      </c>
      <c r="AF95" s="41">
        <v>2.92</v>
      </c>
      <c r="AG95" s="41">
        <v>767</v>
      </c>
      <c r="AH95" s="41">
        <v>3665</v>
      </c>
      <c r="AI95" s="41" t="str">
        <f t="shared" si="26"/>
        <v xml:space="preserve"> </v>
      </c>
      <c r="AJ95" s="24">
        <v>882.39</v>
      </c>
      <c r="AK95" s="24">
        <f t="shared" si="38"/>
        <v>0.82360407529550428</v>
      </c>
      <c r="AL95" s="24">
        <f t="shared" si="10"/>
        <v>726.74</v>
      </c>
      <c r="AM95" s="21" t="s">
        <v>190</v>
      </c>
      <c r="AN95" s="56" t="s">
        <v>222</v>
      </c>
      <c r="AO95" s="83">
        <v>47510</v>
      </c>
      <c r="AP95" s="84" t="s">
        <v>574</v>
      </c>
      <c r="AQ95" s="29" t="s">
        <v>238</v>
      </c>
      <c r="AR95" s="29"/>
      <c r="AS95" s="29" t="s">
        <v>575</v>
      </c>
      <c r="AT95" s="26"/>
      <c r="AU95" s="38"/>
      <c r="AV95" s="38"/>
      <c r="AW95" s="38"/>
      <c r="AX95" s="38"/>
      <c r="AY95" s="38"/>
      <c r="AZ95" s="38"/>
      <c r="BA95" s="38"/>
      <c r="BB95" s="38"/>
      <c r="BC95" s="38"/>
      <c r="BD95" s="38"/>
      <c r="BE95" s="38"/>
      <c r="BF95" s="1"/>
      <c r="BG95" s="1"/>
    </row>
    <row r="96" spans="1:59" ht="14.25" customHeight="1" x14ac:dyDescent="0.25">
      <c r="A96" s="1"/>
      <c r="B96" s="50"/>
      <c r="C96" s="50" t="s">
        <v>588</v>
      </c>
      <c r="D96" s="50"/>
      <c r="E96" s="50" t="str">
        <f t="shared" si="0"/>
        <v>001B</v>
      </c>
      <c r="F96" s="50"/>
      <c r="G96" s="50" t="s">
        <v>551</v>
      </c>
      <c r="H96" s="50" t="s">
        <v>552</v>
      </c>
      <c r="I96" s="50" t="s">
        <v>589</v>
      </c>
      <c r="J96" s="50" t="s">
        <v>590</v>
      </c>
      <c r="K96" s="50" t="s">
        <v>141</v>
      </c>
      <c r="L96" s="50" t="s">
        <v>555</v>
      </c>
      <c r="M96" s="51" t="s">
        <v>221</v>
      </c>
      <c r="N96" s="52"/>
      <c r="O96" s="50" t="s">
        <v>151</v>
      </c>
      <c r="P96" s="50">
        <v>91</v>
      </c>
      <c r="Q96" s="53">
        <v>0</v>
      </c>
      <c r="R96" s="53">
        <f t="shared" si="29"/>
        <v>91</v>
      </c>
      <c r="S96" s="54">
        <v>0.21</v>
      </c>
      <c r="T96" s="54">
        <v>0</v>
      </c>
      <c r="U96" s="54">
        <f t="shared" si="30"/>
        <v>0.21</v>
      </c>
      <c r="V96" s="54">
        <v>20.94</v>
      </c>
      <c r="W96" s="52">
        <f t="shared" si="31"/>
        <v>0.78993055555555558</v>
      </c>
      <c r="X96" s="54">
        <f t="shared" si="32"/>
        <v>99.714285714285722</v>
      </c>
      <c r="Y96" s="50" t="str">
        <f t="shared" si="33"/>
        <v>è in grado</v>
      </c>
      <c r="Z96" s="50" t="str">
        <f t="shared" si="34"/>
        <v>non sottende</v>
      </c>
      <c r="AA96" s="54">
        <f t="shared" si="35"/>
        <v>26.508659340659342</v>
      </c>
      <c r="AB96" s="50" t="str">
        <f t="shared" si="36"/>
        <v>A</v>
      </c>
      <c r="AC96" s="50" t="str">
        <f t="shared" si="3"/>
        <v>SI</v>
      </c>
      <c r="AD96" s="50" t="str">
        <f t="shared" si="37"/>
        <v>Si</v>
      </c>
      <c r="AE96" s="50" t="s">
        <v>490</v>
      </c>
      <c r="AF96" s="55">
        <v>2.1800000000000002</v>
      </c>
      <c r="AG96" s="55">
        <v>287</v>
      </c>
      <c r="AH96" s="55">
        <v>600</v>
      </c>
      <c r="AI96" s="55" t="str">
        <f t="shared" si="26"/>
        <v xml:space="preserve"> </v>
      </c>
      <c r="AJ96" s="53">
        <v>243.89</v>
      </c>
      <c r="AK96" s="53">
        <f t="shared" si="38"/>
        <v>1.0909016359834351</v>
      </c>
      <c r="AL96" s="53">
        <f t="shared" si="10"/>
        <v>266.06</v>
      </c>
      <c r="AM96" s="50" t="s">
        <v>190</v>
      </c>
      <c r="AN96" s="56" t="s">
        <v>222</v>
      </c>
      <c r="AO96" s="66"/>
      <c r="AP96" s="58" t="s">
        <v>223</v>
      </c>
      <c r="AQ96" s="58" t="s">
        <v>224</v>
      </c>
      <c r="AR96" s="58" t="s">
        <v>225</v>
      </c>
      <c r="AS96" s="58" t="s">
        <v>556</v>
      </c>
      <c r="AT96" s="50" t="s">
        <v>557</v>
      </c>
      <c r="AU96" s="1"/>
      <c r="AV96" s="1"/>
      <c r="AW96" s="1"/>
      <c r="AX96" s="1"/>
      <c r="AY96" s="1"/>
      <c r="AZ96" s="1"/>
      <c r="BA96" s="1"/>
      <c r="BB96" s="1"/>
      <c r="BC96" s="1"/>
      <c r="BD96" s="1"/>
      <c r="BE96" s="1"/>
      <c r="BF96" s="1"/>
      <c r="BG96" s="1"/>
    </row>
    <row r="97" spans="1:59" ht="14.25" customHeight="1" x14ac:dyDescent="0.25">
      <c r="A97" s="1"/>
      <c r="B97" s="50"/>
      <c r="C97" s="50" t="s">
        <v>591</v>
      </c>
      <c r="D97" s="50"/>
      <c r="E97" s="50" t="str">
        <f t="shared" si="0"/>
        <v>001B</v>
      </c>
      <c r="F97" s="50"/>
      <c r="G97" s="50" t="s">
        <v>551</v>
      </c>
      <c r="H97" s="50" t="s">
        <v>592</v>
      </c>
      <c r="I97" s="50" t="s">
        <v>259</v>
      </c>
      <c r="J97" s="50" t="s">
        <v>593</v>
      </c>
      <c r="K97" s="50" t="s">
        <v>141</v>
      </c>
      <c r="L97" s="50" t="s">
        <v>594</v>
      </c>
      <c r="M97" s="50"/>
      <c r="N97" s="52"/>
      <c r="O97" s="50" t="s">
        <v>151</v>
      </c>
      <c r="P97" s="50">
        <v>86</v>
      </c>
      <c r="Q97" s="53">
        <v>0</v>
      </c>
      <c r="R97" s="53">
        <f t="shared" si="29"/>
        <v>86</v>
      </c>
      <c r="S97" s="54">
        <v>0.2</v>
      </c>
      <c r="T97" s="54">
        <v>0</v>
      </c>
      <c r="U97" s="54">
        <f t="shared" si="30"/>
        <v>0.2</v>
      </c>
      <c r="V97" s="54">
        <v>22.54</v>
      </c>
      <c r="W97" s="52">
        <f t="shared" si="31"/>
        <v>0.74652777777777779</v>
      </c>
      <c r="X97" s="54">
        <f t="shared" si="32"/>
        <v>112.69999999999999</v>
      </c>
      <c r="Y97" s="50" t="str">
        <f t="shared" si="33"/>
        <v>è in grado</v>
      </c>
      <c r="Z97" s="50" t="str">
        <f t="shared" si="34"/>
        <v>non sottende</v>
      </c>
      <c r="AA97" s="54">
        <f t="shared" si="35"/>
        <v>30.193116279069766</v>
      </c>
      <c r="AB97" s="50" t="str">
        <f t="shared" si="36"/>
        <v>A</v>
      </c>
      <c r="AC97" s="50" t="str">
        <f t="shared" si="3"/>
        <v>SI</v>
      </c>
      <c r="AD97" s="50" t="str">
        <f t="shared" si="37"/>
        <v>Si</v>
      </c>
      <c r="AE97" s="50" t="s">
        <v>490</v>
      </c>
      <c r="AF97" s="55">
        <v>3.31</v>
      </c>
      <c r="AG97" s="55">
        <v>2674</v>
      </c>
      <c r="AH97" s="55">
        <v>3719</v>
      </c>
      <c r="AI97" s="55" t="str">
        <f t="shared" si="26"/>
        <v xml:space="preserve"> </v>
      </c>
      <c r="AJ97" s="53">
        <v>1634.97</v>
      </c>
      <c r="AK97" s="53">
        <f t="shared" si="38"/>
        <v>1.6217178296849484</v>
      </c>
      <c r="AL97" s="53">
        <f t="shared" si="10"/>
        <v>2651.46</v>
      </c>
      <c r="AM97" s="50" t="s">
        <v>190</v>
      </c>
      <c r="AN97" s="56" t="s">
        <v>222</v>
      </c>
      <c r="AO97" s="85"/>
      <c r="AP97" s="58" t="s">
        <v>595</v>
      </c>
      <c r="AQ97" s="58" t="s">
        <v>255</v>
      </c>
      <c r="AR97" s="58" t="s">
        <v>225</v>
      </c>
      <c r="AS97" s="58" t="s">
        <v>556</v>
      </c>
      <c r="AT97" s="50" t="s">
        <v>557</v>
      </c>
      <c r="AU97" s="1"/>
      <c r="AV97" s="1"/>
      <c r="AW97" s="1"/>
      <c r="AX97" s="1"/>
      <c r="AY97" s="1"/>
      <c r="AZ97" s="1"/>
      <c r="BA97" s="1"/>
      <c r="BB97" s="1"/>
      <c r="BC97" s="1"/>
      <c r="BD97" s="1"/>
      <c r="BE97" s="1"/>
      <c r="BF97" s="1"/>
      <c r="BG97" s="1"/>
    </row>
    <row r="98" spans="1:59" ht="14.25" customHeight="1" x14ac:dyDescent="0.25">
      <c r="A98" s="1" t="s">
        <v>566</v>
      </c>
      <c r="B98" s="9"/>
      <c r="C98" s="21" t="s">
        <v>596</v>
      </c>
      <c r="D98" s="21" t="s">
        <v>597</v>
      </c>
      <c r="E98" s="21" t="str">
        <f t="shared" si="0"/>
        <v>PP0200210010001B</v>
      </c>
      <c r="F98" s="21"/>
      <c r="G98" s="21" t="s">
        <v>551</v>
      </c>
      <c r="H98" s="21" t="s">
        <v>569</v>
      </c>
      <c r="I98" s="21" t="s">
        <v>598</v>
      </c>
      <c r="J98" s="21" t="s">
        <v>599</v>
      </c>
      <c r="K98" s="21" t="s">
        <v>572</v>
      </c>
      <c r="L98" s="50" t="s">
        <v>587</v>
      </c>
      <c r="M98" s="21"/>
      <c r="N98" s="22"/>
      <c r="O98" s="21" t="s">
        <v>151</v>
      </c>
      <c r="P98" s="21">
        <v>656</v>
      </c>
      <c r="Q98" s="24">
        <v>0</v>
      </c>
      <c r="R98" s="24">
        <f t="shared" si="29"/>
        <v>656</v>
      </c>
      <c r="S98" s="23">
        <v>1.54</v>
      </c>
      <c r="T98" s="23">
        <v>0</v>
      </c>
      <c r="U98" s="23">
        <f t="shared" si="30"/>
        <v>1.54</v>
      </c>
      <c r="V98" s="23">
        <v>20.49</v>
      </c>
      <c r="W98" s="52">
        <f t="shared" si="31"/>
        <v>5.6944444444444446</v>
      </c>
      <c r="X98" s="23">
        <f t="shared" si="32"/>
        <v>13.305194805194803</v>
      </c>
      <c r="Y98" s="21" t="str">
        <f t="shared" si="33"/>
        <v>è in grado</v>
      </c>
      <c r="Z98" s="21" t="str">
        <f t="shared" si="34"/>
        <v>non sottende</v>
      </c>
      <c r="AA98" s="23">
        <f t="shared" si="35"/>
        <v>3.598243902439024</v>
      </c>
      <c r="AB98" s="21" t="str">
        <f t="shared" si="36"/>
        <v>A</v>
      </c>
      <c r="AC98" s="21" t="str">
        <f t="shared" si="3"/>
        <v>SI</v>
      </c>
      <c r="AD98" s="21" t="str">
        <f t="shared" si="37"/>
        <v>Si</v>
      </c>
      <c r="AE98" s="21" t="s">
        <v>490</v>
      </c>
      <c r="AF98" s="41">
        <v>24.63</v>
      </c>
      <c r="AG98" s="41">
        <v>2304</v>
      </c>
      <c r="AH98" s="41">
        <v>3262</v>
      </c>
      <c r="AI98" s="41" t="str">
        <f t="shared" si="26"/>
        <v xml:space="preserve"> </v>
      </c>
      <c r="AJ98" s="24">
        <v>199.22</v>
      </c>
      <c r="AK98" s="24">
        <f t="shared" si="38"/>
        <v>11.462252785864875</v>
      </c>
      <c r="AL98" s="24">
        <f t="shared" si="10"/>
        <v>2283.5100000000002</v>
      </c>
      <c r="AM98" s="21" t="s">
        <v>190</v>
      </c>
      <c r="AN98" s="56" t="s">
        <v>222</v>
      </c>
      <c r="AO98" s="83">
        <v>47510</v>
      </c>
      <c r="AP98" s="84" t="s">
        <v>574</v>
      </c>
      <c r="AQ98" s="29" t="s">
        <v>238</v>
      </c>
      <c r="AR98" s="29"/>
      <c r="AS98" s="29" t="s">
        <v>575</v>
      </c>
      <c r="AT98" s="26"/>
      <c r="AU98" s="38"/>
      <c r="AV98" s="38"/>
      <c r="AW98" s="38"/>
      <c r="AX98" s="38"/>
      <c r="AY98" s="38"/>
      <c r="AZ98" s="38"/>
      <c r="BA98" s="38"/>
      <c r="BB98" s="38"/>
      <c r="BC98" s="38"/>
      <c r="BD98" s="38"/>
      <c r="BE98" s="38"/>
      <c r="BF98" s="1"/>
      <c r="BG98" s="1"/>
    </row>
    <row r="99" spans="1:59" ht="14.25" customHeight="1" x14ac:dyDescent="0.25">
      <c r="A99" s="1"/>
      <c r="B99" s="50"/>
      <c r="C99" s="50" t="s">
        <v>600</v>
      </c>
      <c r="D99" s="50" t="s">
        <v>601</v>
      </c>
      <c r="E99" s="50" t="str">
        <f t="shared" si="0"/>
        <v>PP0200210009001B</v>
      </c>
      <c r="F99" s="50"/>
      <c r="G99" s="50" t="s">
        <v>551</v>
      </c>
      <c r="H99" s="50" t="s">
        <v>552</v>
      </c>
      <c r="I99" s="50" t="s">
        <v>602</v>
      </c>
      <c r="J99" s="50" t="s">
        <v>603</v>
      </c>
      <c r="K99" s="50" t="s">
        <v>141</v>
      </c>
      <c r="L99" s="50" t="s">
        <v>604</v>
      </c>
      <c r="M99" s="50" t="s">
        <v>286</v>
      </c>
      <c r="N99" s="52"/>
      <c r="O99" s="50" t="s">
        <v>159</v>
      </c>
      <c r="P99" s="50">
        <v>3474</v>
      </c>
      <c r="Q99" s="53">
        <v>6</v>
      </c>
      <c r="R99" s="53">
        <f t="shared" si="29"/>
        <v>3480</v>
      </c>
      <c r="S99" s="54">
        <v>8.17</v>
      </c>
      <c r="T99" s="54">
        <v>0.12</v>
      </c>
      <c r="U99" s="54">
        <f t="shared" si="30"/>
        <v>8.2899999999999991</v>
      </c>
      <c r="V99" s="54">
        <v>37</v>
      </c>
      <c r="W99" s="52">
        <f t="shared" si="31"/>
        <v>30.208333333333332</v>
      </c>
      <c r="X99" s="54">
        <f t="shared" si="32"/>
        <v>4.4632086851628472</v>
      </c>
      <c r="Y99" s="50" t="str">
        <f t="shared" si="33"/>
        <v>è in grado</v>
      </c>
      <c r="Z99" s="50" t="str">
        <f t="shared" si="34"/>
        <v>non sottende</v>
      </c>
      <c r="AA99" s="54">
        <f t="shared" si="35"/>
        <v>1.2248275862068967</v>
      </c>
      <c r="AB99" s="50" t="str">
        <f t="shared" si="36"/>
        <v>B</v>
      </c>
      <c r="AC99" s="50" t="str">
        <f t="shared" si="3"/>
        <v>SI</v>
      </c>
      <c r="AD99" s="50" t="str">
        <f t="shared" si="37"/>
        <v>Si</v>
      </c>
      <c r="AE99" s="50" t="s">
        <v>605</v>
      </c>
      <c r="AF99" s="55">
        <v>43.46</v>
      </c>
      <c r="AG99" s="55">
        <v>5210</v>
      </c>
      <c r="AH99" s="55">
        <v>15972</v>
      </c>
      <c r="AI99" s="55" t="str">
        <f t="shared" si="26"/>
        <v xml:space="preserve"> </v>
      </c>
      <c r="AJ99" s="53">
        <v>179.91</v>
      </c>
      <c r="AK99" s="53">
        <f t="shared" si="38"/>
        <v>28.753265521649713</v>
      </c>
      <c r="AL99" s="53">
        <f t="shared" si="10"/>
        <v>5173</v>
      </c>
      <c r="AM99" s="50" t="s">
        <v>190</v>
      </c>
      <c r="AN99" s="56" t="s">
        <v>236</v>
      </c>
      <c r="AO99" s="57">
        <v>47217</v>
      </c>
      <c r="AP99" s="58" t="s">
        <v>606</v>
      </c>
      <c r="AQ99" s="58" t="s">
        <v>238</v>
      </c>
      <c r="AR99" s="75">
        <v>52597</v>
      </c>
      <c r="AS99" s="58" t="s">
        <v>565</v>
      </c>
      <c r="AT99" s="50"/>
      <c r="AU99" s="1"/>
      <c r="AV99" s="1"/>
      <c r="AW99" s="1"/>
      <c r="AX99" s="1"/>
      <c r="AY99" s="1"/>
      <c r="AZ99" s="1"/>
      <c r="BA99" s="1"/>
      <c r="BB99" s="1"/>
      <c r="BC99" s="1"/>
      <c r="BD99" s="1"/>
      <c r="BE99" s="1"/>
      <c r="BF99" s="1"/>
      <c r="BG99" s="1"/>
    </row>
    <row r="100" spans="1:59" ht="15.75" customHeight="1" x14ac:dyDescent="0.25">
      <c r="A100" s="1"/>
      <c r="B100" s="50"/>
      <c r="C100" s="50" t="s">
        <v>607</v>
      </c>
      <c r="D100" s="50"/>
      <c r="E100" s="50" t="str">
        <f t="shared" si="0"/>
        <v>001B</v>
      </c>
      <c r="F100" s="50"/>
      <c r="G100" s="50" t="s">
        <v>551</v>
      </c>
      <c r="H100" s="50" t="s">
        <v>578</v>
      </c>
      <c r="I100" s="50" t="s">
        <v>608</v>
      </c>
      <c r="J100" s="50" t="s">
        <v>609</v>
      </c>
      <c r="K100" s="50" t="s">
        <v>141</v>
      </c>
      <c r="L100" s="50" t="s">
        <v>610</v>
      </c>
      <c r="M100" s="51" t="s">
        <v>221</v>
      </c>
      <c r="N100" s="52"/>
      <c r="O100" s="50" t="s">
        <v>151</v>
      </c>
      <c r="P100" s="50">
        <v>203</v>
      </c>
      <c r="Q100" s="53">
        <v>0</v>
      </c>
      <c r="R100" s="53">
        <f t="shared" si="29"/>
        <v>203</v>
      </c>
      <c r="S100" s="54">
        <v>0.48</v>
      </c>
      <c r="T100" s="54">
        <v>0</v>
      </c>
      <c r="U100" s="54">
        <f t="shared" si="30"/>
        <v>0.48</v>
      </c>
      <c r="V100" s="54">
        <v>44.2</v>
      </c>
      <c r="W100" s="52">
        <f t="shared" si="31"/>
        <v>1.7621527777777777</v>
      </c>
      <c r="X100" s="54">
        <f t="shared" si="32"/>
        <v>92.083333333333343</v>
      </c>
      <c r="Y100" s="50" t="str">
        <f t="shared" si="33"/>
        <v>è in grado</v>
      </c>
      <c r="Z100" s="50" t="str">
        <f t="shared" si="34"/>
        <v>non sottende</v>
      </c>
      <c r="AA100" s="54">
        <f t="shared" si="35"/>
        <v>25.082955665024635</v>
      </c>
      <c r="AB100" s="50" t="str">
        <f t="shared" si="36"/>
        <v>A</v>
      </c>
      <c r="AC100" s="50" t="str">
        <f t="shared" si="3"/>
        <v>SI</v>
      </c>
      <c r="AD100" s="50" t="str">
        <f t="shared" si="37"/>
        <v>Si</v>
      </c>
      <c r="AE100" s="50" t="s">
        <v>490</v>
      </c>
      <c r="AF100" s="55">
        <v>4.0599999999999996</v>
      </c>
      <c r="AG100" s="55">
        <v>422</v>
      </c>
      <c r="AH100" s="55">
        <v>1111</v>
      </c>
      <c r="AI100" s="55" t="str">
        <f t="shared" si="26"/>
        <v xml:space="preserve"> </v>
      </c>
      <c r="AJ100" s="53">
        <v>194.08</v>
      </c>
      <c r="AK100" s="53">
        <f t="shared" si="38"/>
        <v>1.9466199505358615</v>
      </c>
      <c r="AL100" s="53">
        <f t="shared" si="10"/>
        <v>377.8</v>
      </c>
      <c r="AM100" s="50" t="s">
        <v>190</v>
      </c>
      <c r="AN100" s="56" t="s">
        <v>222</v>
      </c>
      <c r="AO100" s="66"/>
      <c r="AP100" s="58" t="s">
        <v>223</v>
      </c>
      <c r="AQ100" s="58" t="s">
        <v>224</v>
      </c>
      <c r="AR100" s="58" t="s">
        <v>225</v>
      </c>
      <c r="AS100" s="58" t="s">
        <v>556</v>
      </c>
      <c r="AT100" s="50" t="s">
        <v>557</v>
      </c>
      <c r="AU100" s="1"/>
      <c r="AV100" s="1"/>
      <c r="AW100" s="1"/>
      <c r="AX100" s="1"/>
      <c r="AY100" s="1"/>
      <c r="AZ100" s="1"/>
      <c r="BA100" s="1"/>
      <c r="BB100" s="1"/>
      <c r="BC100" s="1"/>
      <c r="BD100" s="1"/>
      <c r="BE100" s="1"/>
      <c r="BF100" s="1"/>
      <c r="BG100" s="1"/>
    </row>
    <row r="101" spans="1:59" ht="14.25" customHeight="1" x14ac:dyDescent="0.25">
      <c r="A101" s="1"/>
      <c r="B101" s="50"/>
      <c r="C101" s="50" t="s">
        <v>611</v>
      </c>
      <c r="D101" s="50"/>
      <c r="E101" s="50" t="str">
        <f t="shared" si="0"/>
        <v>001B</v>
      </c>
      <c r="F101" s="50"/>
      <c r="G101" s="50" t="s">
        <v>551</v>
      </c>
      <c r="H101" s="50" t="s">
        <v>552</v>
      </c>
      <c r="I101" s="50" t="s">
        <v>612</v>
      </c>
      <c r="J101" s="50" t="s">
        <v>613</v>
      </c>
      <c r="K101" s="50" t="s">
        <v>141</v>
      </c>
      <c r="L101" s="50" t="s">
        <v>555</v>
      </c>
      <c r="M101" s="51" t="s">
        <v>221</v>
      </c>
      <c r="N101" s="52"/>
      <c r="O101" s="50" t="s">
        <v>151</v>
      </c>
      <c r="P101" s="50">
        <v>166</v>
      </c>
      <c r="Q101" s="53">
        <v>0</v>
      </c>
      <c r="R101" s="53">
        <f t="shared" si="29"/>
        <v>166</v>
      </c>
      <c r="S101" s="54">
        <v>0.39</v>
      </c>
      <c r="T101" s="54">
        <v>0</v>
      </c>
      <c r="U101" s="54">
        <f t="shared" si="30"/>
        <v>0.39</v>
      </c>
      <c r="V101" s="54">
        <v>34.06</v>
      </c>
      <c r="W101" s="52">
        <f t="shared" si="31"/>
        <v>1.4409722222222223</v>
      </c>
      <c r="X101" s="54">
        <f t="shared" si="32"/>
        <v>87.333333333333343</v>
      </c>
      <c r="Y101" s="50" t="str">
        <f t="shared" si="33"/>
        <v>è in grado</v>
      </c>
      <c r="Z101" s="50" t="str">
        <f t="shared" si="34"/>
        <v>non sottende</v>
      </c>
      <c r="AA101" s="54">
        <f t="shared" si="35"/>
        <v>23.636819277108433</v>
      </c>
      <c r="AB101" s="50" t="str">
        <f t="shared" si="36"/>
        <v>A</v>
      </c>
      <c r="AC101" s="50" t="str">
        <f t="shared" si="3"/>
        <v>SI</v>
      </c>
      <c r="AD101" s="50" t="str">
        <f t="shared" si="37"/>
        <v>Si</v>
      </c>
      <c r="AE101" s="50" t="s">
        <v>490</v>
      </c>
      <c r="AF101" s="55">
        <v>2.69</v>
      </c>
      <c r="AG101" s="55">
        <v>328</v>
      </c>
      <c r="AH101" s="55">
        <v>456</v>
      </c>
      <c r="AI101" s="55" t="str">
        <f t="shared" si="26"/>
        <v xml:space="preserve"> </v>
      </c>
      <c r="AJ101" s="53">
        <v>219.59</v>
      </c>
      <c r="AK101" s="53">
        <f t="shared" si="38"/>
        <v>1.3385855457898812</v>
      </c>
      <c r="AL101" s="53">
        <f t="shared" si="10"/>
        <v>293.94</v>
      </c>
      <c r="AM101" s="50" t="s">
        <v>190</v>
      </c>
      <c r="AN101" s="56" t="s">
        <v>222</v>
      </c>
      <c r="AO101" s="85"/>
      <c r="AP101" s="58" t="s">
        <v>223</v>
      </c>
      <c r="AQ101" s="58" t="s">
        <v>224</v>
      </c>
      <c r="AR101" s="58" t="s">
        <v>225</v>
      </c>
      <c r="AS101" s="58" t="s">
        <v>556</v>
      </c>
      <c r="AT101" s="50" t="s">
        <v>557</v>
      </c>
      <c r="AU101" s="1"/>
      <c r="AV101" s="1"/>
      <c r="AW101" s="1"/>
      <c r="AX101" s="1"/>
      <c r="AY101" s="1"/>
      <c r="AZ101" s="1"/>
      <c r="BA101" s="1"/>
      <c r="BB101" s="1"/>
      <c r="BC101" s="1"/>
      <c r="BD101" s="1"/>
      <c r="BE101" s="1"/>
      <c r="BF101" s="1"/>
      <c r="BG101" s="1"/>
    </row>
    <row r="102" spans="1:59" ht="14.25" customHeight="1" x14ac:dyDescent="0.25">
      <c r="A102" s="1"/>
      <c r="B102" s="50"/>
      <c r="C102" s="50" t="s">
        <v>614</v>
      </c>
      <c r="D102" s="50" t="s">
        <v>615</v>
      </c>
      <c r="E102" s="50" t="str">
        <f t="shared" si="0"/>
        <v>PP0200210001001B</v>
      </c>
      <c r="F102" s="50"/>
      <c r="G102" s="50" t="s">
        <v>551</v>
      </c>
      <c r="H102" s="50" t="s">
        <v>616</v>
      </c>
      <c r="I102" s="50" t="s">
        <v>617</v>
      </c>
      <c r="J102" s="50" t="s">
        <v>618</v>
      </c>
      <c r="K102" s="50" t="s">
        <v>141</v>
      </c>
      <c r="L102" s="50" t="s">
        <v>619</v>
      </c>
      <c r="M102" s="50"/>
      <c r="N102" s="52" t="s">
        <v>145</v>
      </c>
      <c r="O102" s="50" t="s">
        <v>159</v>
      </c>
      <c r="P102" s="50">
        <v>862</v>
      </c>
      <c r="Q102" s="53">
        <v>0</v>
      </c>
      <c r="R102" s="53">
        <f t="shared" si="29"/>
        <v>862</v>
      </c>
      <c r="S102" s="54">
        <v>2.0299999999999998</v>
      </c>
      <c r="T102" s="54">
        <v>0</v>
      </c>
      <c r="U102" s="54">
        <f t="shared" si="30"/>
        <v>2.0299999999999998</v>
      </c>
      <c r="V102" s="54">
        <v>10</v>
      </c>
      <c r="W102" s="52">
        <f t="shared" si="31"/>
        <v>9.9768518518518512</v>
      </c>
      <c r="X102" s="54">
        <f t="shared" si="32"/>
        <v>4.9261083743842367</v>
      </c>
      <c r="Y102" s="50" t="str">
        <f t="shared" si="33"/>
        <v>è in grado</v>
      </c>
      <c r="Z102" s="50" t="str">
        <f t="shared" si="34"/>
        <v>non sottende</v>
      </c>
      <c r="AA102" s="54">
        <f t="shared" si="35"/>
        <v>1.0023201856148491</v>
      </c>
      <c r="AB102" s="50" t="str">
        <f t="shared" si="36"/>
        <v>B</v>
      </c>
      <c r="AC102" s="50" t="str">
        <f t="shared" si="3"/>
        <v>SI</v>
      </c>
      <c r="AD102" s="50" t="str">
        <f t="shared" si="37"/>
        <v>No</v>
      </c>
      <c r="AE102" s="50" t="s">
        <v>377</v>
      </c>
      <c r="AF102" s="55">
        <v>14.51</v>
      </c>
      <c r="AG102" s="55">
        <v>1763</v>
      </c>
      <c r="AH102" s="55">
        <v>4491</v>
      </c>
      <c r="AI102" s="55" t="str">
        <f t="shared" si="26"/>
        <v xml:space="preserve"> </v>
      </c>
      <c r="AJ102" s="53">
        <v>211.26</v>
      </c>
      <c r="AK102" s="53">
        <f t="shared" si="38"/>
        <v>8.2978320552873246</v>
      </c>
      <c r="AL102" s="53">
        <f t="shared" si="10"/>
        <v>1753</v>
      </c>
      <c r="AM102" s="50" t="s">
        <v>152</v>
      </c>
      <c r="AN102" s="56" t="s">
        <v>236</v>
      </c>
      <c r="AO102" s="66"/>
      <c r="AP102" s="58" t="s">
        <v>595</v>
      </c>
      <c r="AQ102" s="58" t="s">
        <v>255</v>
      </c>
      <c r="AR102" s="58" t="s">
        <v>225</v>
      </c>
      <c r="AS102" s="58" t="s">
        <v>92</v>
      </c>
      <c r="AT102" s="50"/>
      <c r="AU102" s="1"/>
      <c r="AV102" s="1"/>
      <c r="AW102" s="1"/>
      <c r="AX102" s="1"/>
      <c r="AY102" s="1"/>
      <c r="AZ102" s="1"/>
      <c r="BA102" s="1"/>
      <c r="BB102" s="1"/>
      <c r="BC102" s="1"/>
      <c r="BD102" s="1"/>
      <c r="BE102" s="1"/>
      <c r="BF102" s="1"/>
      <c r="BG102" s="1"/>
    </row>
    <row r="103" spans="1:59" ht="14.25" customHeight="1" x14ac:dyDescent="0.25">
      <c r="A103" s="1"/>
      <c r="B103" s="50"/>
      <c r="C103" s="50" t="s">
        <v>620</v>
      </c>
      <c r="D103" s="50" t="s">
        <v>621</v>
      </c>
      <c r="E103" s="50" t="str">
        <f t="shared" si="0"/>
        <v>PP0200210014001B</v>
      </c>
      <c r="F103" s="50"/>
      <c r="G103" s="50" t="s">
        <v>551</v>
      </c>
      <c r="H103" s="50" t="s">
        <v>616</v>
      </c>
      <c r="I103" s="50" t="s">
        <v>622</v>
      </c>
      <c r="J103" s="50" t="s">
        <v>623</v>
      </c>
      <c r="K103" s="50" t="s">
        <v>141</v>
      </c>
      <c r="L103" s="50" t="s">
        <v>624</v>
      </c>
      <c r="M103" s="50"/>
      <c r="N103" s="52" t="s">
        <v>145</v>
      </c>
      <c r="O103" s="50" t="s">
        <v>151</v>
      </c>
      <c r="P103" s="50">
        <v>23</v>
      </c>
      <c r="Q103" s="53">
        <v>0</v>
      </c>
      <c r="R103" s="53">
        <f t="shared" si="29"/>
        <v>23</v>
      </c>
      <c r="S103" s="54">
        <v>0.05</v>
      </c>
      <c r="T103" s="54">
        <v>0</v>
      </c>
      <c r="U103" s="54">
        <f t="shared" si="30"/>
        <v>0.05</v>
      </c>
      <c r="V103" s="54">
        <v>21.7</v>
      </c>
      <c r="W103" s="52">
        <f t="shared" si="31"/>
        <v>0.26620370370370372</v>
      </c>
      <c r="X103" s="54">
        <f t="shared" si="32"/>
        <v>433.99999999999994</v>
      </c>
      <c r="Y103" s="50" t="str">
        <f t="shared" si="33"/>
        <v>è in grado</v>
      </c>
      <c r="Z103" s="50" t="str">
        <f t="shared" si="34"/>
        <v>non sottende</v>
      </c>
      <c r="AA103" s="54">
        <f t="shared" si="35"/>
        <v>81.516521739130425</v>
      </c>
      <c r="AB103" s="50" t="str">
        <f t="shared" si="36"/>
        <v>A</v>
      </c>
      <c r="AC103" s="50" t="str">
        <f t="shared" si="3"/>
        <v>SI</v>
      </c>
      <c r="AD103" s="50" t="str">
        <f t="shared" si="37"/>
        <v>Si</v>
      </c>
      <c r="AE103" s="50" t="s">
        <v>490</v>
      </c>
      <c r="AF103" s="55">
        <v>0.82</v>
      </c>
      <c r="AG103" s="55">
        <v>104</v>
      </c>
      <c r="AH103" s="55">
        <v>1072</v>
      </c>
      <c r="AI103" s="55" t="str">
        <f t="shared" si="26"/>
        <v xml:space="preserve"> </v>
      </c>
      <c r="AJ103" s="53">
        <v>208.38</v>
      </c>
      <c r="AK103" s="53">
        <f t="shared" si="38"/>
        <v>0.39495153085708801</v>
      </c>
      <c r="AL103" s="53">
        <f t="shared" si="10"/>
        <v>82.3</v>
      </c>
      <c r="AM103" s="50" t="s">
        <v>152</v>
      </c>
      <c r="AN103" s="56" t="s">
        <v>222</v>
      </c>
      <c r="AO103" s="57">
        <v>47427</v>
      </c>
      <c r="AP103" s="58" t="s">
        <v>625</v>
      </c>
      <c r="AQ103" s="58" t="s">
        <v>313</v>
      </c>
      <c r="AR103" s="58" t="s">
        <v>626</v>
      </c>
      <c r="AS103" s="58"/>
      <c r="AT103" s="50" t="s">
        <v>627</v>
      </c>
      <c r="AU103" s="1"/>
      <c r="AV103" s="1"/>
      <c r="AW103" s="1"/>
      <c r="AX103" s="1"/>
      <c r="AY103" s="1"/>
      <c r="AZ103" s="1"/>
      <c r="BA103" s="1"/>
      <c r="BB103" s="1"/>
      <c r="BC103" s="1"/>
      <c r="BD103" s="1"/>
      <c r="BE103" s="1"/>
      <c r="BF103" s="1"/>
      <c r="BG103" s="1"/>
    </row>
    <row r="104" spans="1:59" ht="14.25" customHeight="1" x14ac:dyDescent="0.25">
      <c r="A104" s="1"/>
      <c r="B104" s="50"/>
      <c r="C104" s="50" t="s">
        <v>628</v>
      </c>
      <c r="D104" s="50" t="s">
        <v>577</v>
      </c>
      <c r="E104" s="50" t="str">
        <f t="shared" si="0"/>
        <v>PP0200210016001B</v>
      </c>
      <c r="F104" s="50"/>
      <c r="G104" s="50" t="s">
        <v>551</v>
      </c>
      <c r="H104" s="50" t="s">
        <v>616</v>
      </c>
      <c r="I104" s="50" t="s">
        <v>629</v>
      </c>
      <c r="J104" s="50" t="s">
        <v>630</v>
      </c>
      <c r="K104" s="50" t="s">
        <v>141</v>
      </c>
      <c r="L104" s="50" t="s">
        <v>624</v>
      </c>
      <c r="M104" s="50"/>
      <c r="N104" s="52" t="s">
        <v>145</v>
      </c>
      <c r="O104" s="50" t="s">
        <v>159</v>
      </c>
      <c r="P104" s="50">
        <v>92</v>
      </c>
      <c r="Q104" s="53">
        <v>0</v>
      </c>
      <c r="R104" s="53">
        <f t="shared" si="29"/>
        <v>92</v>
      </c>
      <c r="S104" s="54">
        <v>0.22</v>
      </c>
      <c r="T104" s="54">
        <v>0</v>
      </c>
      <c r="U104" s="54">
        <f t="shared" si="30"/>
        <v>0.22</v>
      </c>
      <c r="V104" s="54">
        <v>6</v>
      </c>
      <c r="W104" s="52">
        <f t="shared" si="31"/>
        <v>1.0648148148148149</v>
      </c>
      <c r="X104" s="54">
        <f t="shared" si="32"/>
        <v>27.272727272727273</v>
      </c>
      <c r="Y104" s="50" t="str">
        <f t="shared" si="33"/>
        <v>è in grado</v>
      </c>
      <c r="Z104" s="50" t="str">
        <f t="shared" si="34"/>
        <v>non sottende</v>
      </c>
      <c r="AA104" s="54">
        <f t="shared" si="35"/>
        <v>5.6347826086956516</v>
      </c>
      <c r="AB104" s="50" t="str">
        <f t="shared" si="36"/>
        <v>A</v>
      </c>
      <c r="AC104" s="50" t="str">
        <f t="shared" si="3"/>
        <v>SI</v>
      </c>
      <c r="AD104" s="50" t="str">
        <f t="shared" si="37"/>
        <v>No</v>
      </c>
      <c r="AE104" s="50" t="s">
        <v>490</v>
      </c>
      <c r="AF104" s="55">
        <v>2.93</v>
      </c>
      <c r="AG104" s="55">
        <v>269</v>
      </c>
      <c r="AH104" s="55">
        <v>445</v>
      </c>
      <c r="AI104" s="55" t="str">
        <f t="shared" si="26"/>
        <v xml:space="preserve"> </v>
      </c>
      <c r="AJ104" s="53">
        <v>255.92</v>
      </c>
      <c r="AK104" s="53">
        <f t="shared" si="38"/>
        <v>1.0276648952797749</v>
      </c>
      <c r="AL104" s="53">
        <f t="shared" si="10"/>
        <v>263</v>
      </c>
      <c r="AM104" s="50" t="s">
        <v>152</v>
      </c>
      <c r="AN104" s="56" t="s">
        <v>222</v>
      </c>
      <c r="AO104" s="66"/>
      <c r="AP104" s="58" t="s">
        <v>595</v>
      </c>
      <c r="AQ104" s="58" t="s">
        <v>313</v>
      </c>
      <c r="AR104" s="58" t="s">
        <v>626</v>
      </c>
      <c r="AS104" s="58"/>
      <c r="AT104" s="50" t="s">
        <v>627</v>
      </c>
      <c r="AU104" s="1"/>
      <c r="AV104" s="1"/>
      <c r="AW104" s="1"/>
      <c r="AX104" s="1"/>
      <c r="AY104" s="1"/>
      <c r="AZ104" s="1"/>
      <c r="BA104" s="1"/>
      <c r="BB104" s="1"/>
      <c r="BC104" s="1"/>
      <c r="BD104" s="1"/>
      <c r="BE104" s="1"/>
      <c r="BF104" s="1"/>
      <c r="BG104" s="1"/>
    </row>
    <row r="105" spans="1:59" ht="14.25" customHeight="1" x14ac:dyDescent="0.25">
      <c r="A105" s="1" t="s">
        <v>566</v>
      </c>
      <c r="B105" s="9"/>
      <c r="C105" s="21" t="s">
        <v>631</v>
      </c>
      <c r="D105" s="21" t="s">
        <v>632</v>
      </c>
      <c r="E105" s="21" t="str">
        <f t="shared" si="0"/>
        <v>PP0200210011001B</v>
      </c>
      <c r="F105" s="21"/>
      <c r="G105" s="21" t="s">
        <v>551</v>
      </c>
      <c r="H105" s="21" t="s">
        <v>569</v>
      </c>
      <c r="I105" s="21" t="s">
        <v>633</v>
      </c>
      <c r="J105" s="21" t="s">
        <v>634</v>
      </c>
      <c r="K105" s="21" t="s">
        <v>572</v>
      </c>
      <c r="L105" s="21" t="s">
        <v>573</v>
      </c>
      <c r="M105" s="21"/>
      <c r="N105" s="22"/>
      <c r="O105" s="21" t="s">
        <v>151</v>
      </c>
      <c r="P105" s="21">
        <v>1165</v>
      </c>
      <c r="Q105" s="24">
        <v>0</v>
      </c>
      <c r="R105" s="24">
        <f t="shared" si="29"/>
        <v>1165</v>
      </c>
      <c r="S105" s="23">
        <v>2.74</v>
      </c>
      <c r="T105" s="23">
        <v>0</v>
      </c>
      <c r="U105" s="23">
        <f t="shared" si="30"/>
        <v>2.74</v>
      </c>
      <c r="V105" s="23">
        <v>44.08</v>
      </c>
      <c r="W105" s="52">
        <f t="shared" si="31"/>
        <v>10.112847222222221</v>
      </c>
      <c r="X105" s="23">
        <f t="shared" si="32"/>
        <v>16.087591240875909</v>
      </c>
      <c r="Y105" s="21" t="str">
        <f t="shared" si="33"/>
        <v>è in grado</v>
      </c>
      <c r="Z105" s="21" t="str">
        <f t="shared" si="34"/>
        <v>non sottende</v>
      </c>
      <c r="AA105" s="23">
        <f t="shared" si="35"/>
        <v>4.3588120171673825</v>
      </c>
      <c r="AB105" s="21" t="str">
        <f t="shared" si="36"/>
        <v>A</v>
      </c>
      <c r="AC105" s="21" t="str">
        <f t="shared" si="3"/>
        <v>SI</v>
      </c>
      <c r="AD105" s="21" t="str">
        <f t="shared" si="37"/>
        <v>Si</v>
      </c>
      <c r="AE105" s="21" t="s">
        <v>490</v>
      </c>
      <c r="AF105" s="41">
        <v>2.54</v>
      </c>
      <c r="AG105" s="41">
        <v>381</v>
      </c>
      <c r="AH105" s="41">
        <v>2123</v>
      </c>
      <c r="AI105" s="41" t="str">
        <f t="shared" si="26"/>
        <v xml:space="preserve"> </v>
      </c>
      <c r="AJ105" s="24">
        <v>248.28</v>
      </c>
      <c r="AK105" s="24">
        <f t="shared" si="38"/>
        <v>1.357016271951023</v>
      </c>
      <c r="AL105" s="24">
        <f t="shared" si="10"/>
        <v>336.92</v>
      </c>
      <c r="AM105" s="21" t="s">
        <v>190</v>
      </c>
      <c r="AN105" s="56" t="s">
        <v>222</v>
      </c>
      <c r="AO105" s="83">
        <v>47510</v>
      </c>
      <c r="AP105" s="84" t="s">
        <v>574</v>
      </c>
      <c r="AQ105" s="29" t="s">
        <v>238</v>
      </c>
      <c r="AR105" s="29"/>
      <c r="AS105" s="29" t="s">
        <v>575</v>
      </c>
      <c r="AT105" s="26"/>
      <c r="AU105" s="38"/>
      <c r="AV105" s="38"/>
      <c r="AW105" s="38"/>
      <c r="AX105" s="38"/>
      <c r="AY105" s="38"/>
      <c r="AZ105" s="38"/>
      <c r="BA105" s="38"/>
      <c r="BB105" s="38"/>
      <c r="BC105" s="38"/>
      <c r="BD105" s="38"/>
      <c r="BE105" s="38"/>
      <c r="BF105" s="1"/>
      <c r="BG105" s="1"/>
    </row>
    <row r="106" spans="1:59" ht="14.25" customHeight="1" x14ac:dyDescent="0.25">
      <c r="A106" s="1"/>
      <c r="B106" s="50"/>
      <c r="C106" s="50" t="s">
        <v>635</v>
      </c>
      <c r="D106" s="50"/>
      <c r="E106" s="50" t="str">
        <f t="shared" si="0"/>
        <v>001B</v>
      </c>
      <c r="F106" s="50"/>
      <c r="G106" s="50" t="s">
        <v>551</v>
      </c>
      <c r="H106" s="50" t="s">
        <v>552</v>
      </c>
      <c r="I106" s="50" t="s">
        <v>636</v>
      </c>
      <c r="J106" s="50" t="s">
        <v>630</v>
      </c>
      <c r="K106" s="50" t="s">
        <v>141</v>
      </c>
      <c r="L106" s="50" t="s">
        <v>555</v>
      </c>
      <c r="M106" s="51" t="s">
        <v>221</v>
      </c>
      <c r="N106" s="52"/>
      <c r="O106" s="50" t="s">
        <v>151</v>
      </c>
      <c r="P106" s="50">
        <v>12</v>
      </c>
      <c r="Q106" s="53">
        <v>0</v>
      </c>
      <c r="R106" s="53">
        <f t="shared" si="29"/>
        <v>12</v>
      </c>
      <c r="S106" s="54">
        <v>0.03</v>
      </c>
      <c r="T106" s="54">
        <v>0</v>
      </c>
      <c r="U106" s="54">
        <f t="shared" si="30"/>
        <v>0.03</v>
      </c>
      <c r="V106" s="54">
        <v>33.71</v>
      </c>
      <c r="W106" s="52">
        <f t="shared" si="31"/>
        <v>0.10416666666666667</v>
      </c>
      <c r="X106" s="54">
        <f t="shared" si="32"/>
        <v>1123.6666666666667</v>
      </c>
      <c r="Y106" s="50" t="str">
        <f t="shared" si="33"/>
        <v>è in grado</v>
      </c>
      <c r="Z106" s="50" t="str">
        <f t="shared" si="34"/>
        <v>non sottende</v>
      </c>
      <c r="AA106" s="54">
        <f t="shared" si="35"/>
        <v>323.61599999999999</v>
      </c>
      <c r="AB106" s="50" t="str">
        <f t="shared" si="36"/>
        <v>A</v>
      </c>
      <c r="AC106" s="50" t="str">
        <f t="shared" si="3"/>
        <v>SI</v>
      </c>
      <c r="AD106" s="50" t="str">
        <f t="shared" si="37"/>
        <v>Si</v>
      </c>
      <c r="AE106" s="50" t="s">
        <v>490</v>
      </c>
      <c r="AF106" s="55">
        <v>0.64</v>
      </c>
      <c r="AG106" s="55">
        <v>91</v>
      </c>
      <c r="AH106" s="55">
        <v>259</v>
      </c>
      <c r="AI106" s="55" t="str">
        <f t="shared" si="26"/>
        <v xml:space="preserve"> </v>
      </c>
      <c r="AJ106" s="53">
        <v>178.93</v>
      </c>
      <c r="AK106" s="53">
        <f t="shared" si="38"/>
        <v>0.32018107639859161</v>
      </c>
      <c r="AL106" s="53">
        <f t="shared" si="10"/>
        <v>57.29</v>
      </c>
      <c r="AM106" s="50" t="s">
        <v>190</v>
      </c>
      <c r="AN106" s="56" t="s">
        <v>222</v>
      </c>
      <c r="AO106" s="66"/>
      <c r="AP106" s="58" t="s">
        <v>223</v>
      </c>
      <c r="AQ106" s="58" t="s">
        <v>224</v>
      </c>
      <c r="AR106" s="58" t="s">
        <v>225</v>
      </c>
      <c r="AS106" s="58" t="s">
        <v>556</v>
      </c>
      <c r="AT106" s="50" t="s">
        <v>557</v>
      </c>
      <c r="AU106" s="1"/>
      <c r="AV106" s="1"/>
      <c r="AW106" s="1"/>
      <c r="AX106" s="1"/>
      <c r="AY106" s="1"/>
      <c r="AZ106" s="1"/>
      <c r="BA106" s="1"/>
      <c r="BB106" s="1"/>
      <c r="BC106" s="1"/>
      <c r="BD106" s="1"/>
      <c r="BE106" s="1"/>
      <c r="BF106" s="1"/>
      <c r="BG106" s="1"/>
    </row>
    <row r="107" spans="1:59" ht="14.25" customHeight="1" x14ac:dyDescent="0.25">
      <c r="A107" s="1" t="s">
        <v>566</v>
      </c>
      <c r="B107" s="86"/>
      <c r="C107" s="21" t="s">
        <v>637</v>
      </c>
      <c r="D107" s="21" t="s">
        <v>638</v>
      </c>
      <c r="E107" s="21" t="str">
        <f t="shared" si="0"/>
        <v>PP0200210017001B</v>
      </c>
      <c r="F107" s="21"/>
      <c r="G107" s="21" t="s">
        <v>551</v>
      </c>
      <c r="H107" s="21" t="s">
        <v>569</v>
      </c>
      <c r="I107" s="21" t="s">
        <v>639</v>
      </c>
      <c r="J107" s="21" t="s">
        <v>640</v>
      </c>
      <c r="K107" s="21" t="s">
        <v>641</v>
      </c>
      <c r="L107" s="21" t="s">
        <v>573</v>
      </c>
      <c r="M107" s="21"/>
      <c r="N107" s="22"/>
      <c r="O107" s="21" t="s">
        <v>151</v>
      </c>
      <c r="P107" s="21">
        <v>76</v>
      </c>
      <c r="Q107" s="24">
        <v>0</v>
      </c>
      <c r="R107" s="24">
        <f t="shared" si="29"/>
        <v>76</v>
      </c>
      <c r="S107" s="23">
        <v>0.18</v>
      </c>
      <c r="T107" s="23">
        <v>0</v>
      </c>
      <c r="U107" s="23">
        <f t="shared" si="30"/>
        <v>0.18</v>
      </c>
      <c r="V107" s="23">
        <v>21.51</v>
      </c>
      <c r="W107" s="52">
        <f t="shared" si="31"/>
        <v>0.65972222222222221</v>
      </c>
      <c r="X107" s="23">
        <f t="shared" si="32"/>
        <v>119.50000000000001</v>
      </c>
      <c r="Y107" s="21" t="str">
        <f t="shared" si="33"/>
        <v>è in grado</v>
      </c>
      <c r="Z107" s="21" t="str">
        <f t="shared" si="34"/>
        <v>non sottende</v>
      </c>
      <c r="AA107" s="23">
        <f t="shared" si="35"/>
        <v>32.60463157894737</v>
      </c>
      <c r="AB107" s="21" t="str">
        <f t="shared" si="36"/>
        <v>A</v>
      </c>
      <c r="AC107" s="21" t="str">
        <f t="shared" si="3"/>
        <v>SI</v>
      </c>
      <c r="AD107" s="21" t="str">
        <f t="shared" si="37"/>
        <v>Si</v>
      </c>
      <c r="AE107" s="21" t="s">
        <v>490</v>
      </c>
      <c r="AF107" s="41">
        <v>2.57</v>
      </c>
      <c r="AG107" s="41">
        <v>262</v>
      </c>
      <c r="AH107" s="41">
        <v>487</v>
      </c>
      <c r="AI107" s="41" t="str">
        <f t="shared" si="26"/>
        <v xml:space="preserve"> </v>
      </c>
      <c r="AJ107" s="24">
        <v>224.82</v>
      </c>
      <c r="AK107" s="24">
        <f t="shared" si="38"/>
        <v>1.069700204608131</v>
      </c>
      <c r="AL107" s="24">
        <f t="shared" si="10"/>
        <v>240.49</v>
      </c>
      <c r="AM107" s="21" t="s">
        <v>190</v>
      </c>
      <c r="AN107" s="56" t="s">
        <v>222</v>
      </c>
      <c r="AO107" s="83">
        <v>47510</v>
      </c>
      <c r="AP107" s="84" t="s">
        <v>574</v>
      </c>
      <c r="AQ107" s="29" t="s">
        <v>238</v>
      </c>
      <c r="AR107" s="29"/>
      <c r="AS107" s="29" t="s">
        <v>575</v>
      </c>
      <c r="AT107" s="26"/>
      <c r="AU107" s="38"/>
      <c r="AV107" s="38"/>
      <c r="AW107" s="38"/>
      <c r="AX107" s="38"/>
      <c r="AY107" s="38"/>
      <c r="AZ107" s="38"/>
      <c r="BA107" s="38"/>
      <c r="BB107" s="38"/>
      <c r="BC107" s="38"/>
      <c r="BD107" s="38"/>
      <c r="BE107" s="38"/>
      <c r="BF107" s="1"/>
      <c r="BG107" s="1"/>
    </row>
    <row r="108" spans="1:59" ht="14.25" customHeight="1" x14ac:dyDescent="0.25">
      <c r="A108" s="1"/>
      <c r="B108" s="50"/>
      <c r="C108" s="50" t="s">
        <v>642</v>
      </c>
      <c r="D108" s="50"/>
      <c r="E108" s="50" t="str">
        <f t="shared" si="0"/>
        <v>001B</v>
      </c>
      <c r="F108" s="50"/>
      <c r="G108" s="50" t="s">
        <v>551</v>
      </c>
      <c r="H108" s="50" t="s">
        <v>552</v>
      </c>
      <c r="I108" s="50" t="s">
        <v>643</v>
      </c>
      <c r="J108" s="50" t="s">
        <v>644</v>
      </c>
      <c r="K108" s="50" t="s">
        <v>141</v>
      </c>
      <c r="L108" s="50" t="s">
        <v>555</v>
      </c>
      <c r="M108" s="51" t="s">
        <v>221</v>
      </c>
      <c r="N108" s="52"/>
      <c r="O108" s="50" t="s">
        <v>151</v>
      </c>
      <c r="P108" s="50">
        <v>12</v>
      </c>
      <c r="Q108" s="53">
        <v>0</v>
      </c>
      <c r="R108" s="53">
        <f t="shared" si="29"/>
        <v>12</v>
      </c>
      <c r="S108" s="54">
        <v>0.03</v>
      </c>
      <c r="T108" s="54">
        <v>0</v>
      </c>
      <c r="U108" s="54">
        <f t="shared" si="30"/>
        <v>0.03</v>
      </c>
      <c r="V108" s="54">
        <v>21.93</v>
      </c>
      <c r="W108" s="52">
        <f t="shared" si="31"/>
        <v>0.10416666666666667</v>
      </c>
      <c r="X108" s="54">
        <f t="shared" si="32"/>
        <v>731</v>
      </c>
      <c r="Y108" s="50" t="str">
        <f t="shared" si="33"/>
        <v>è in grado</v>
      </c>
      <c r="Z108" s="50" t="str">
        <f t="shared" si="34"/>
        <v>non sottende</v>
      </c>
      <c r="AA108" s="54">
        <f t="shared" si="35"/>
        <v>210.52799999999999</v>
      </c>
      <c r="AB108" s="50" t="str">
        <f t="shared" si="36"/>
        <v>A</v>
      </c>
      <c r="AC108" s="50" t="str">
        <f t="shared" si="3"/>
        <v>SI</v>
      </c>
      <c r="AD108" s="50" t="str">
        <f t="shared" si="37"/>
        <v>Si</v>
      </c>
      <c r="AE108" s="50" t="s">
        <v>490</v>
      </c>
      <c r="AF108" s="55">
        <v>0.66</v>
      </c>
      <c r="AG108" s="55">
        <v>95</v>
      </c>
      <c r="AH108" s="55">
        <v>244</v>
      </c>
      <c r="AI108" s="55" t="str">
        <f t="shared" si="26"/>
        <v xml:space="preserve"> </v>
      </c>
      <c r="AJ108" s="53">
        <v>218.94</v>
      </c>
      <c r="AK108" s="53">
        <f t="shared" si="38"/>
        <v>0.33374440485977891</v>
      </c>
      <c r="AL108" s="53">
        <f t="shared" si="10"/>
        <v>73.069999999999993</v>
      </c>
      <c r="AM108" s="50" t="s">
        <v>190</v>
      </c>
      <c r="AN108" s="56" t="s">
        <v>222</v>
      </c>
      <c r="AO108" s="66"/>
      <c r="AP108" s="58" t="s">
        <v>223</v>
      </c>
      <c r="AQ108" s="58" t="s">
        <v>224</v>
      </c>
      <c r="AR108" s="58" t="s">
        <v>225</v>
      </c>
      <c r="AS108" s="58" t="s">
        <v>556</v>
      </c>
      <c r="AT108" s="50" t="s">
        <v>557</v>
      </c>
      <c r="AU108" s="1"/>
      <c r="AV108" s="1"/>
      <c r="AW108" s="1"/>
      <c r="AX108" s="1"/>
      <c r="AY108" s="1"/>
      <c r="AZ108" s="1"/>
      <c r="BA108" s="1"/>
      <c r="BB108" s="1"/>
      <c r="BC108" s="1"/>
      <c r="BD108" s="1"/>
      <c r="BE108" s="1"/>
      <c r="BF108" s="1"/>
      <c r="BG108" s="1"/>
    </row>
    <row r="109" spans="1:59" ht="14.25" customHeight="1" x14ac:dyDescent="0.25">
      <c r="A109" s="1"/>
      <c r="B109" s="50"/>
      <c r="C109" s="50" t="s">
        <v>645</v>
      </c>
      <c r="D109" s="50"/>
      <c r="E109" s="50" t="str">
        <f t="shared" si="0"/>
        <v>001B</v>
      </c>
      <c r="F109" s="50"/>
      <c r="G109" s="50" t="s">
        <v>551</v>
      </c>
      <c r="H109" s="50" t="s">
        <v>552</v>
      </c>
      <c r="I109" s="50" t="s">
        <v>646</v>
      </c>
      <c r="J109" s="50" t="s">
        <v>647</v>
      </c>
      <c r="K109" s="50" t="s">
        <v>141</v>
      </c>
      <c r="L109" s="50" t="s">
        <v>555</v>
      </c>
      <c r="M109" s="51" t="s">
        <v>221</v>
      </c>
      <c r="N109" s="52"/>
      <c r="O109" s="50" t="s">
        <v>151</v>
      </c>
      <c r="P109" s="50">
        <v>271</v>
      </c>
      <c r="Q109" s="53">
        <v>0</v>
      </c>
      <c r="R109" s="53">
        <f t="shared" si="29"/>
        <v>271</v>
      </c>
      <c r="S109" s="54">
        <v>0.64</v>
      </c>
      <c r="T109" s="54">
        <v>0</v>
      </c>
      <c r="U109" s="54">
        <f t="shared" si="30"/>
        <v>0.64</v>
      </c>
      <c r="V109" s="54">
        <v>32.770000000000003</v>
      </c>
      <c r="W109" s="52">
        <f t="shared" si="31"/>
        <v>2.3524305555555554</v>
      </c>
      <c r="X109" s="54">
        <f t="shared" si="32"/>
        <v>51.203125000000007</v>
      </c>
      <c r="Y109" s="50" t="str">
        <f t="shared" si="33"/>
        <v>è in grado</v>
      </c>
      <c r="Z109" s="50" t="str">
        <f t="shared" si="34"/>
        <v>non sottende</v>
      </c>
      <c r="AA109" s="54">
        <f t="shared" si="35"/>
        <v>13.930273062730629</v>
      </c>
      <c r="AB109" s="50" t="str">
        <f t="shared" si="36"/>
        <v>A</v>
      </c>
      <c r="AC109" s="50" t="str">
        <f t="shared" si="3"/>
        <v>SI</v>
      </c>
      <c r="AD109" s="50" t="str">
        <f t="shared" si="37"/>
        <v>Si</v>
      </c>
      <c r="AE109" s="50" t="s">
        <v>490</v>
      </c>
      <c r="AF109" s="55">
        <v>6.26</v>
      </c>
      <c r="AG109" s="55">
        <v>630</v>
      </c>
      <c r="AH109" s="55">
        <v>1171</v>
      </c>
      <c r="AI109" s="55" t="str">
        <f t="shared" si="26"/>
        <v xml:space="preserve"> </v>
      </c>
      <c r="AJ109" s="53">
        <v>205.51</v>
      </c>
      <c r="AK109" s="53">
        <f t="shared" si="38"/>
        <v>2.9060872950221404</v>
      </c>
      <c r="AL109" s="53">
        <f t="shared" si="10"/>
        <v>597.23</v>
      </c>
      <c r="AM109" s="50" t="s">
        <v>190</v>
      </c>
      <c r="AN109" s="56" t="s">
        <v>222</v>
      </c>
      <c r="AO109" s="66"/>
      <c r="AP109" s="58" t="s">
        <v>223</v>
      </c>
      <c r="AQ109" s="58" t="s">
        <v>224</v>
      </c>
      <c r="AR109" s="58" t="s">
        <v>225</v>
      </c>
      <c r="AS109" s="58" t="s">
        <v>556</v>
      </c>
      <c r="AT109" s="50" t="s">
        <v>557</v>
      </c>
      <c r="AU109" s="1"/>
      <c r="AV109" s="1"/>
      <c r="AW109" s="1"/>
      <c r="AX109" s="1"/>
      <c r="AY109" s="1"/>
      <c r="AZ109" s="1"/>
      <c r="BA109" s="1"/>
      <c r="BB109" s="1"/>
      <c r="BC109" s="1"/>
      <c r="BD109" s="1"/>
      <c r="BE109" s="1"/>
      <c r="BF109" s="1"/>
      <c r="BG109" s="1"/>
    </row>
    <row r="110" spans="1:59" ht="14.25" customHeight="1" x14ac:dyDescent="0.25">
      <c r="A110" s="1"/>
      <c r="B110" s="50"/>
      <c r="C110" s="50" t="s">
        <v>648</v>
      </c>
      <c r="D110" s="50"/>
      <c r="E110" s="50" t="str">
        <f t="shared" si="0"/>
        <v>001B</v>
      </c>
      <c r="F110" s="50"/>
      <c r="G110" s="50" t="s">
        <v>551</v>
      </c>
      <c r="H110" s="50" t="s">
        <v>649</v>
      </c>
      <c r="I110" s="50" t="s">
        <v>650</v>
      </c>
      <c r="J110" s="50" t="s">
        <v>651</v>
      </c>
      <c r="K110" s="50" t="s">
        <v>141</v>
      </c>
      <c r="L110" s="50" t="s">
        <v>652</v>
      </c>
      <c r="M110" s="51" t="s">
        <v>221</v>
      </c>
      <c r="N110" s="52"/>
      <c r="O110" s="50" t="s">
        <v>151</v>
      </c>
      <c r="P110" s="50">
        <v>613</v>
      </c>
      <c r="Q110" s="53">
        <v>0</v>
      </c>
      <c r="R110" s="53">
        <f t="shared" si="29"/>
        <v>613</v>
      </c>
      <c r="S110" s="54">
        <v>1.44</v>
      </c>
      <c r="T110" s="54">
        <v>0</v>
      </c>
      <c r="U110" s="54">
        <f t="shared" si="30"/>
        <v>1.44</v>
      </c>
      <c r="V110" s="54">
        <v>48.27</v>
      </c>
      <c r="W110" s="52">
        <f t="shared" si="31"/>
        <v>5.3211805555555554</v>
      </c>
      <c r="X110" s="54">
        <f t="shared" si="32"/>
        <v>33.520833333333336</v>
      </c>
      <c r="Y110" s="50" t="str">
        <f t="shared" si="33"/>
        <v>è in grado</v>
      </c>
      <c r="Z110" s="50" t="str">
        <f t="shared" si="34"/>
        <v>non sottende</v>
      </c>
      <c r="AA110" s="54">
        <f t="shared" si="35"/>
        <v>9.0712952691680275</v>
      </c>
      <c r="AB110" s="50" t="str">
        <f t="shared" si="36"/>
        <v>A</v>
      </c>
      <c r="AC110" s="50" t="str">
        <f t="shared" si="3"/>
        <v>SI</v>
      </c>
      <c r="AD110" s="50" t="str">
        <f t="shared" si="37"/>
        <v>Si</v>
      </c>
      <c r="AE110" s="50" t="s">
        <v>147</v>
      </c>
      <c r="AF110" s="55">
        <v>17.71</v>
      </c>
      <c r="AG110" s="55">
        <v>1639</v>
      </c>
      <c r="AH110" s="55">
        <v>3570</v>
      </c>
      <c r="AI110" s="55" t="str">
        <f t="shared" si="26"/>
        <v xml:space="preserve"> </v>
      </c>
      <c r="AJ110" s="53">
        <v>205.48</v>
      </c>
      <c r="AK110" s="53">
        <f t="shared" si="38"/>
        <v>7.7415320225812732</v>
      </c>
      <c r="AL110" s="53">
        <f t="shared" si="10"/>
        <v>1590.73</v>
      </c>
      <c r="AM110" s="50" t="s">
        <v>190</v>
      </c>
      <c r="AN110" s="56" t="s">
        <v>222</v>
      </c>
      <c r="AO110" s="66"/>
      <c r="AP110" s="58" t="s">
        <v>223</v>
      </c>
      <c r="AQ110" s="58" t="s">
        <v>224</v>
      </c>
      <c r="AR110" s="58" t="s">
        <v>225</v>
      </c>
      <c r="AS110" s="58" t="s">
        <v>556</v>
      </c>
      <c r="AT110" s="50" t="s">
        <v>557</v>
      </c>
      <c r="AU110" s="1"/>
      <c r="AV110" s="1"/>
      <c r="AW110" s="1"/>
      <c r="AX110" s="1"/>
      <c r="AY110" s="1"/>
      <c r="AZ110" s="1"/>
      <c r="BA110" s="1"/>
      <c r="BB110" s="1"/>
      <c r="BC110" s="1"/>
      <c r="BD110" s="1"/>
      <c r="BE110" s="1"/>
      <c r="BF110" s="1"/>
      <c r="BG110" s="1"/>
    </row>
    <row r="111" spans="1:59" ht="14.25" customHeight="1" x14ac:dyDescent="0.25">
      <c r="A111" s="1"/>
      <c r="B111" s="50"/>
      <c r="C111" s="50" t="s">
        <v>653</v>
      </c>
      <c r="D111" s="50"/>
      <c r="E111" s="50" t="str">
        <f t="shared" si="0"/>
        <v>001B</v>
      </c>
      <c r="F111" s="50"/>
      <c r="G111" s="50" t="s">
        <v>551</v>
      </c>
      <c r="H111" s="50" t="s">
        <v>552</v>
      </c>
      <c r="I111" s="50" t="s">
        <v>654</v>
      </c>
      <c r="J111" s="50" t="s">
        <v>655</v>
      </c>
      <c r="K111" s="50" t="s">
        <v>141</v>
      </c>
      <c r="L111" s="50" t="s">
        <v>555</v>
      </c>
      <c r="M111" s="51" t="s">
        <v>221</v>
      </c>
      <c r="N111" s="52"/>
      <c r="O111" s="50" t="s">
        <v>151</v>
      </c>
      <c r="P111" s="50">
        <v>98</v>
      </c>
      <c r="Q111" s="53">
        <v>0</v>
      </c>
      <c r="R111" s="53">
        <f t="shared" si="29"/>
        <v>98</v>
      </c>
      <c r="S111" s="54">
        <v>0.23</v>
      </c>
      <c r="T111" s="54">
        <v>0</v>
      </c>
      <c r="U111" s="54">
        <f t="shared" si="30"/>
        <v>0.23</v>
      </c>
      <c r="V111" s="54">
        <v>31.51</v>
      </c>
      <c r="W111" s="52">
        <f t="shared" si="31"/>
        <v>0.85069444444444442</v>
      </c>
      <c r="X111" s="54">
        <f t="shared" si="32"/>
        <v>137</v>
      </c>
      <c r="Y111" s="50" t="str">
        <f t="shared" si="33"/>
        <v>è in grado</v>
      </c>
      <c r="Z111" s="50" t="str">
        <f t="shared" si="34"/>
        <v>non sottende</v>
      </c>
      <c r="AA111" s="54">
        <f t="shared" si="35"/>
        <v>37.040326530612248</v>
      </c>
      <c r="AB111" s="50" t="str">
        <f t="shared" si="36"/>
        <v>A</v>
      </c>
      <c r="AC111" s="50" t="str">
        <f t="shared" si="3"/>
        <v>SI</v>
      </c>
      <c r="AD111" s="50" t="str">
        <f t="shared" si="37"/>
        <v>Si</v>
      </c>
      <c r="AE111" s="50" t="s">
        <v>490</v>
      </c>
      <c r="AF111" s="55">
        <v>2.17</v>
      </c>
      <c r="AG111" s="55">
        <v>344</v>
      </c>
      <c r="AH111" s="55">
        <v>450</v>
      </c>
      <c r="AI111" s="55" t="str">
        <f t="shared" si="26"/>
        <v xml:space="preserve"> </v>
      </c>
      <c r="AJ111" s="53">
        <v>222.51</v>
      </c>
      <c r="AK111" s="53">
        <f t="shared" si="38"/>
        <v>1.4043863197159678</v>
      </c>
      <c r="AL111" s="53">
        <f t="shared" si="10"/>
        <v>312.49</v>
      </c>
      <c r="AM111" s="50" t="s">
        <v>190</v>
      </c>
      <c r="AN111" s="56" t="s">
        <v>222</v>
      </c>
      <c r="AO111" s="66"/>
      <c r="AP111" s="58" t="s">
        <v>223</v>
      </c>
      <c r="AQ111" s="58" t="s">
        <v>224</v>
      </c>
      <c r="AR111" s="58" t="s">
        <v>225</v>
      </c>
      <c r="AS111" s="58" t="s">
        <v>556</v>
      </c>
      <c r="AT111" s="50" t="s">
        <v>557</v>
      </c>
      <c r="AU111" s="1"/>
      <c r="AV111" s="1"/>
      <c r="AW111" s="1"/>
      <c r="AX111" s="1"/>
      <c r="AY111" s="1"/>
      <c r="AZ111" s="1"/>
      <c r="BA111" s="1"/>
      <c r="BB111" s="1"/>
      <c r="BC111" s="1"/>
      <c r="BD111" s="1"/>
      <c r="BE111" s="1"/>
      <c r="BF111" s="1"/>
      <c r="BG111" s="1"/>
    </row>
    <row r="112" spans="1:59" ht="14.25" customHeight="1" x14ac:dyDescent="0.25">
      <c r="A112" s="1"/>
      <c r="B112" s="50"/>
      <c r="C112" s="50" t="s">
        <v>656</v>
      </c>
      <c r="D112" s="50"/>
      <c r="E112" s="50" t="str">
        <f t="shared" si="0"/>
        <v>001B</v>
      </c>
      <c r="F112" s="50"/>
      <c r="G112" s="50" t="s">
        <v>551</v>
      </c>
      <c r="H112" s="50" t="s">
        <v>552</v>
      </c>
      <c r="I112" s="50" t="s">
        <v>657</v>
      </c>
      <c r="J112" s="50" t="s">
        <v>658</v>
      </c>
      <c r="K112" s="50" t="s">
        <v>141</v>
      </c>
      <c r="L112" s="50" t="s">
        <v>555</v>
      </c>
      <c r="M112" s="51" t="s">
        <v>221</v>
      </c>
      <c r="N112" s="52"/>
      <c r="O112" s="50" t="s">
        <v>151</v>
      </c>
      <c r="P112" s="50">
        <v>17</v>
      </c>
      <c r="Q112" s="53">
        <v>0</v>
      </c>
      <c r="R112" s="53">
        <f t="shared" si="29"/>
        <v>17</v>
      </c>
      <c r="S112" s="54">
        <v>0.04</v>
      </c>
      <c r="T112" s="54">
        <v>0</v>
      </c>
      <c r="U112" s="54">
        <f t="shared" si="30"/>
        <v>0.04</v>
      </c>
      <c r="V112" s="54">
        <v>35.659999999999997</v>
      </c>
      <c r="W112" s="52">
        <f t="shared" si="31"/>
        <v>0.14756944444444445</v>
      </c>
      <c r="X112" s="54">
        <f t="shared" si="32"/>
        <v>891.49999999999989</v>
      </c>
      <c r="Y112" s="50" t="str">
        <f t="shared" si="33"/>
        <v>è in grado</v>
      </c>
      <c r="Z112" s="50" t="str">
        <f t="shared" si="34"/>
        <v>non sottende</v>
      </c>
      <c r="AA112" s="54">
        <f t="shared" si="35"/>
        <v>241.64894117647057</v>
      </c>
      <c r="AB112" s="50" t="str">
        <f t="shared" si="36"/>
        <v>A</v>
      </c>
      <c r="AC112" s="50" t="str">
        <f t="shared" si="3"/>
        <v>SI</v>
      </c>
      <c r="AD112" s="50" t="str">
        <f t="shared" si="37"/>
        <v>Si</v>
      </c>
      <c r="AE112" s="50" t="s">
        <v>490</v>
      </c>
      <c r="AF112" s="55">
        <v>0.52</v>
      </c>
      <c r="AG112" s="55">
        <v>74</v>
      </c>
      <c r="AH112" s="55">
        <v>267</v>
      </c>
      <c r="AI112" s="55" t="str">
        <f t="shared" si="26"/>
        <v xml:space="preserve"> </v>
      </c>
      <c r="AJ112" s="53">
        <v>147.62</v>
      </c>
      <c r="AK112" s="53">
        <f t="shared" si="38"/>
        <v>0.2597209050264192</v>
      </c>
      <c r="AL112" s="53">
        <f t="shared" si="10"/>
        <v>38.340000000000003</v>
      </c>
      <c r="AM112" s="50" t="s">
        <v>190</v>
      </c>
      <c r="AN112" s="56" t="s">
        <v>222</v>
      </c>
      <c r="AO112" s="66"/>
      <c r="AP112" s="58" t="s">
        <v>223</v>
      </c>
      <c r="AQ112" s="58" t="s">
        <v>224</v>
      </c>
      <c r="AR112" s="58" t="s">
        <v>225</v>
      </c>
      <c r="AS112" s="58" t="s">
        <v>556</v>
      </c>
      <c r="AT112" s="50" t="s">
        <v>557</v>
      </c>
      <c r="AU112" s="1"/>
      <c r="AV112" s="1"/>
      <c r="AW112" s="1"/>
      <c r="AX112" s="1"/>
      <c r="AY112" s="1"/>
      <c r="AZ112" s="1"/>
      <c r="BA112" s="1"/>
      <c r="BB112" s="1"/>
      <c r="BC112" s="1"/>
      <c r="BD112" s="1"/>
      <c r="BE112" s="1"/>
      <c r="BF112" s="1"/>
      <c r="BG112" s="1"/>
    </row>
    <row r="113" spans="1:59" ht="14.25" customHeight="1" x14ac:dyDescent="0.25">
      <c r="A113" s="1"/>
      <c r="B113" s="50"/>
      <c r="C113" s="50" t="s">
        <v>659</v>
      </c>
      <c r="D113" s="50"/>
      <c r="E113" s="50" t="str">
        <f t="shared" si="0"/>
        <v>001B</v>
      </c>
      <c r="F113" s="50"/>
      <c r="G113" s="50" t="s">
        <v>551</v>
      </c>
      <c r="H113" s="50" t="s">
        <v>649</v>
      </c>
      <c r="I113" s="50" t="s">
        <v>660</v>
      </c>
      <c r="J113" s="50" t="s">
        <v>661</v>
      </c>
      <c r="K113" s="50" t="s">
        <v>141</v>
      </c>
      <c r="L113" s="50" t="s">
        <v>662</v>
      </c>
      <c r="M113" s="51" t="s">
        <v>221</v>
      </c>
      <c r="N113" s="52"/>
      <c r="O113" s="50" t="s">
        <v>159</v>
      </c>
      <c r="P113" s="50">
        <v>44</v>
      </c>
      <c r="Q113" s="53">
        <v>0</v>
      </c>
      <c r="R113" s="53">
        <f t="shared" si="29"/>
        <v>44</v>
      </c>
      <c r="S113" s="54">
        <v>0.1</v>
      </c>
      <c r="T113" s="54">
        <v>0</v>
      </c>
      <c r="U113" s="54">
        <f t="shared" si="30"/>
        <v>0.1</v>
      </c>
      <c r="V113" s="54">
        <v>9.5</v>
      </c>
      <c r="W113" s="52">
        <f t="shared" si="31"/>
        <v>0.38194444444444442</v>
      </c>
      <c r="X113" s="54">
        <f t="shared" si="32"/>
        <v>95</v>
      </c>
      <c r="Y113" s="50" t="str">
        <f t="shared" si="33"/>
        <v>è in grado</v>
      </c>
      <c r="Z113" s="50" t="str">
        <f t="shared" si="34"/>
        <v>non sottende</v>
      </c>
      <c r="AA113" s="54">
        <f t="shared" si="35"/>
        <v>24.872727272727275</v>
      </c>
      <c r="AB113" s="50" t="str">
        <f t="shared" si="36"/>
        <v>A</v>
      </c>
      <c r="AC113" s="50" t="str">
        <f t="shared" si="3"/>
        <v>SI</v>
      </c>
      <c r="AD113" s="50" t="str">
        <f t="shared" si="37"/>
        <v>No</v>
      </c>
      <c r="AE113" s="50" t="s">
        <v>490</v>
      </c>
      <c r="AF113" s="55">
        <v>1.44</v>
      </c>
      <c r="AG113" s="55">
        <v>150</v>
      </c>
      <c r="AH113" s="55">
        <v>472</v>
      </c>
      <c r="AI113" s="55" t="str">
        <f t="shared" si="26"/>
        <v xml:space="preserve"> </v>
      </c>
      <c r="AJ113" s="53">
        <v>246.34</v>
      </c>
      <c r="AK113" s="53">
        <f t="shared" si="38"/>
        <v>0.57034992287082897</v>
      </c>
      <c r="AL113" s="53">
        <f t="shared" si="10"/>
        <v>140.5</v>
      </c>
      <c r="AM113" s="50" t="s">
        <v>190</v>
      </c>
      <c r="AN113" s="56" t="s">
        <v>222</v>
      </c>
      <c r="AO113" s="66"/>
      <c r="AP113" s="58" t="s">
        <v>223</v>
      </c>
      <c r="AQ113" s="58" t="s">
        <v>224</v>
      </c>
      <c r="AR113" s="58" t="s">
        <v>225</v>
      </c>
      <c r="AS113" s="58" t="s">
        <v>556</v>
      </c>
      <c r="AT113" s="50" t="s">
        <v>557</v>
      </c>
      <c r="AU113" s="1"/>
      <c r="AV113" s="1"/>
      <c r="AW113" s="1"/>
      <c r="AX113" s="1"/>
      <c r="AY113" s="1"/>
      <c r="AZ113" s="1"/>
      <c r="BA113" s="1"/>
      <c r="BB113" s="1"/>
      <c r="BC113" s="1"/>
      <c r="BD113" s="1"/>
      <c r="BE113" s="1"/>
      <c r="BF113" s="1"/>
      <c r="BG113" s="1"/>
    </row>
    <row r="114" spans="1:59" ht="14.25" customHeight="1" x14ac:dyDescent="0.25">
      <c r="A114" s="1" t="s">
        <v>566</v>
      </c>
      <c r="B114" s="86"/>
      <c r="C114" s="21" t="s">
        <v>663</v>
      </c>
      <c r="D114" s="21" t="s">
        <v>664</v>
      </c>
      <c r="E114" s="21" t="str">
        <f t="shared" si="0"/>
        <v>PP0200210020001B</v>
      </c>
      <c r="F114" s="21"/>
      <c r="G114" s="21" t="s">
        <v>551</v>
      </c>
      <c r="H114" s="21" t="s">
        <v>569</v>
      </c>
      <c r="I114" s="21" t="s">
        <v>665</v>
      </c>
      <c r="J114" s="21" t="s">
        <v>666</v>
      </c>
      <c r="K114" s="21" t="s">
        <v>641</v>
      </c>
      <c r="L114" s="21" t="s">
        <v>573</v>
      </c>
      <c r="M114" s="21"/>
      <c r="N114" s="22"/>
      <c r="O114" s="21" t="s">
        <v>151</v>
      </c>
      <c r="P114" s="21">
        <v>1625</v>
      </c>
      <c r="Q114" s="24">
        <v>0</v>
      </c>
      <c r="R114" s="24">
        <f t="shared" si="29"/>
        <v>1625</v>
      </c>
      <c r="S114" s="23">
        <v>3.82</v>
      </c>
      <c r="T114" s="23">
        <v>0</v>
      </c>
      <c r="U114" s="23">
        <f t="shared" si="30"/>
        <v>3.82</v>
      </c>
      <c r="V114" s="23">
        <v>438.63</v>
      </c>
      <c r="W114" s="52">
        <f t="shared" si="31"/>
        <v>14.105902777777779</v>
      </c>
      <c r="X114" s="23">
        <f t="shared" si="32"/>
        <v>114.82460732984293</v>
      </c>
      <c r="Y114" s="21" t="str">
        <f t="shared" si="33"/>
        <v>è in grado</v>
      </c>
      <c r="Z114" s="21" t="str">
        <f t="shared" si="34"/>
        <v>non sottende</v>
      </c>
      <c r="AA114" s="23">
        <f t="shared" si="35"/>
        <v>31.095492923076922</v>
      </c>
      <c r="AB114" s="21" t="str">
        <f t="shared" si="36"/>
        <v>A</v>
      </c>
      <c r="AC114" s="21" t="str">
        <f t="shared" si="3"/>
        <v>SI</v>
      </c>
      <c r="AD114" s="21" t="str">
        <f t="shared" si="37"/>
        <v>Si</v>
      </c>
      <c r="AE114" s="21" t="s">
        <v>490</v>
      </c>
      <c r="AF114" s="41">
        <v>17.100000000000001</v>
      </c>
      <c r="AG114" s="41">
        <v>1894</v>
      </c>
      <c r="AH114" s="41">
        <v>3238</v>
      </c>
      <c r="AI114" s="41" t="str">
        <f t="shared" si="26"/>
        <v xml:space="preserve"> </v>
      </c>
      <c r="AJ114" s="24">
        <v>192.65</v>
      </c>
      <c r="AK114" s="24">
        <f t="shared" si="38"/>
        <v>7.5544770308850238</v>
      </c>
      <c r="AL114" s="24">
        <f t="shared" si="10"/>
        <v>1455.37</v>
      </c>
      <c r="AM114" s="21" t="s">
        <v>190</v>
      </c>
      <c r="AN114" s="56" t="s">
        <v>222</v>
      </c>
      <c r="AO114" s="83">
        <v>47510</v>
      </c>
      <c r="AP114" s="84" t="s">
        <v>574</v>
      </c>
      <c r="AQ114" s="29" t="s">
        <v>238</v>
      </c>
      <c r="AR114" s="29"/>
      <c r="AS114" s="29" t="s">
        <v>575</v>
      </c>
      <c r="AT114" s="26"/>
      <c r="AU114" s="38"/>
      <c r="AV114" s="38"/>
      <c r="AW114" s="38"/>
      <c r="AX114" s="38"/>
      <c r="AY114" s="38"/>
      <c r="AZ114" s="38"/>
      <c r="BA114" s="38"/>
      <c r="BB114" s="38"/>
      <c r="BC114" s="38"/>
      <c r="BD114" s="38"/>
      <c r="BE114" s="38"/>
      <c r="BF114" s="1"/>
      <c r="BG114" s="1"/>
    </row>
    <row r="115" spans="1:59" ht="14.25" customHeight="1" x14ac:dyDescent="0.25">
      <c r="A115" s="1"/>
      <c r="B115" s="50"/>
      <c r="C115" s="50" t="s">
        <v>667</v>
      </c>
      <c r="D115" s="50"/>
      <c r="E115" s="50" t="str">
        <f t="shared" si="0"/>
        <v>001B</v>
      </c>
      <c r="F115" s="50"/>
      <c r="G115" s="50" t="s">
        <v>551</v>
      </c>
      <c r="H115" s="50" t="s">
        <v>649</v>
      </c>
      <c r="I115" s="50" t="s">
        <v>668</v>
      </c>
      <c r="J115" s="50" t="s">
        <v>669</v>
      </c>
      <c r="K115" s="50" t="s">
        <v>141</v>
      </c>
      <c r="L115" s="50" t="s">
        <v>652</v>
      </c>
      <c r="M115" s="50"/>
      <c r="N115" s="52"/>
      <c r="O115" s="50" t="s">
        <v>159</v>
      </c>
      <c r="P115" s="50">
        <v>2904</v>
      </c>
      <c r="Q115" s="53">
        <v>31</v>
      </c>
      <c r="R115" s="53">
        <f t="shared" si="29"/>
        <v>2935</v>
      </c>
      <c r="S115" s="54">
        <v>6.83</v>
      </c>
      <c r="T115" s="54">
        <v>2.06</v>
      </c>
      <c r="U115" s="54">
        <f t="shared" si="30"/>
        <v>8.89</v>
      </c>
      <c r="V115" s="54">
        <v>32</v>
      </c>
      <c r="W115" s="52">
        <f t="shared" si="31"/>
        <v>25.477430555555557</v>
      </c>
      <c r="X115" s="54">
        <f t="shared" si="32"/>
        <v>3.5995500562429692</v>
      </c>
      <c r="Y115" s="50" t="str">
        <f t="shared" si="33"/>
        <v>è in grado</v>
      </c>
      <c r="Z115" s="50" t="str">
        <f t="shared" si="34"/>
        <v>non sottende</v>
      </c>
      <c r="AA115" s="54">
        <f t="shared" si="35"/>
        <v>1.2560136286201022</v>
      </c>
      <c r="AB115" s="50" t="str">
        <f t="shared" si="36"/>
        <v>B</v>
      </c>
      <c r="AC115" s="50" t="str">
        <f t="shared" si="3"/>
        <v>SI</v>
      </c>
      <c r="AD115" s="50" t="str">
        <f t="shared" si="37"/>
        <v>Si</v>
      </c>
      <c r="AE115" s="50" t="s">
        <v>490</v>
      </c>
      <c r="AF115" s="55">
        <v>28.03</v>
      </c>
      <c r="AG115" s="55">
        <v>2096</v>
      </c>
      <c r="AH115" s="55">
        <v>3827</v>
      </c>
      <c r="AI115" s="55" t="str">
        <f t="shared" si="26"/>
        <v xml:space="preserve"> </v>
      </c>
      <c r="AJ115" s="53">
        <v>169.94</v>
      </c>
      <c r="AK115" s="53">
        <f t="shared" si="38"/>
        <v>12.145463104625161</v>
      </c>
      <c r="AL115" s="53">
        <f t="shared" si="10"/>
        <v>2064</v>
      </c>
      <c r="AM115" s="50" t="s">
        <v>190</v>
      </c>
      <c r="AN115" s="56" t="s">
        <v>236</v>
      </c>
      <c r="AO115" s="57"/>
      <c r="AP115" s="58" t="s">
        <v>595</v>
      </c>
      <c r="AQ115" s="58" t="s">
        <v>238</v>
      </c>
      <c r="AR115" s="75">
        <v>52597</v>
      </c>
      <c r="AS115" s="58" t="s">
        <v>565</v>
      </c>
      <c r="AT115" s="50"/>
      <c r="AU115" s="1"/>
      <c r="AV115" s="1"/>
      <c r="AW115" s="1"/>
      <c r="AX115" s="1"/>
      <c r="AY115" s="1"/>
      <c r="AZ115" s="1"/>
      <c r="BA115" s="1"/>
      <c r="BB115" s="1"/>
      <c r="BC115" s="1"/>
      <c r="BD115" s="1"/>
      <c r="BE115" s="1"/>
      <c r="BF115" s="1"/>
      <c r="BG115" s="1"/>
    </row>
    <row r="116" spans="1:59" ht="14.25" customHeight="1" x14ac:dyDescent="0.25">
      <c r="A116" s="1" t="s">
        <v>670</v>
      </c>
      <c r="B116" s="9"/>
      <c r="C116" s="50" t="s">
        <v>671</v>
      </c>
      <c r="D116" s="50" t="s">
        <v>672</v>
      </c>
      <c r="E116" s="50" t="str">
        <f t="shared" si="0"/>
        <v>PP0200210003001B</v>
      </c>
      <c r="F116" s="50"/>
      <c r="G116" s="50" t="s">
        <v>551</v>
      </c>
      <c r="H116" s="50" t="s">
        <v>649</v>
      </c>
      <c r="I116" s="50" t="s">
        <v>668</v>
      </c>
      <c r="J116" s="50" t="s">
        <v>673</v>
      </c>
      <c r="K116" s="50" t="s">
        <v>141</v>
      </c>
      <c r="L116" s="50" t="s">
        <v>652</v>
      </c>
      <c r="M116" s="50"/>
      <c r="N116" s="52"/>
      <c r="O116" s="87" t="s">
        <v>159</v>
      </c>
      <c r="P116" s="50">
        <v>200</v>
      </c>
      <c r="Q116" s="53">
        <v>0</v>
      </c>
      <c r="R116" s="53">
        <f t="shared" si="29"/>
        <v>200</v>
      </c>
      <c r="S116" s="54">
        <v>0.47</v>
      </c>
      <c r="T116" s="54">
        <v>0</v>
      </c>
      <c r="U116" s="54">
        <f t="shared" si="30"/>
        <v>0.47</v>
      </c>
      <c r="V116" s="88">
        <v>31.6</v>
      </c>
      <c r="W116" s="52">
        <f t="shared" si="31"/>
        <v>1.7361111111111112</v>
      </c>
      <c r="X116" s="88">
        <f t="shared" si="32"/>
        <v>67.2340425531915</v>
      </c>
      <c r="Y116" s="50" t="str">
        <f t="shared" si="33"/>
        <v>è in grado</v>
      </c>
      <c r="Z116" s="50" t="str">
        <f t="shared" si="34"/>
        <v>non sottende</v>
      </c>
      <c r="AA116" s="88">
        <f t="shared" si="35"/>
        <v>18.201599999999999</v>
      </c>
      <c r="AB116" s="50" t="str">
        <f t="shared" si="36"/>
        <v>A</v>
      </c>
      <c r="AC116" s="50" t="str">
        <f t="shared" si="3"/>
        <v>SI</v>
      </c>
      <c r="AD116" s="50" t="str">
        <f t="shared" si="37"/>
        <v>Si</v>
      </c>
      <c r="AE116" s="50" t="s">
        <v>147</v>
      </c>
      <c r="AF116" s="55">
        <v>9.93</v>
      </c>
      <c r="AG116" s="55">
        <v>861</v>
      </c>
      <c r="AH116" s="55">
        <v>1180</v>
      </c>
      <c r="AI116" s="55" t="str">
        <f t="shared" si="26"/>
        <v xml:space="preserve"> </v>
      </c>
      <c r="AJ116" s="53">
        <v>206.89</v>
      </c>
      <c r="AK116" s="53">
        <f t="shared" si="38"/>
        <v>4.0088936149644736</v>
      </c>
      <c r="AL116" s="88">
        <f t="shared" si="10"/>
        <v>829.4</v>
      </c>
      <c r="AM116" s="50" t="s">
        <v>190</v>
      </c>
      <c r="AN116" s="56" t="s">
        <v>236</v>
      </c>
      <c r="AO116" s="57">
        <v>45658</v>
      </c>
      <c r="AP116" s="58" t="s">
        <v>674</v>
      </c>
      <c r="AQ116" s="58" t="s">
        <v>238</v>
      </c>
      <c r="AR116" s="75">
        <v>52597</v>
      </c>
      <c r="AS116" s="58" t="s">
        <v>565</v>
      </c>
      <c r="AT116" s="50"/>
      <c r="AU116" s="1"/>
      <c r="AV116" s="1"/>
      <c r="AW116" s="1"/>
      <c r="AX116" s="1"/>
      <c r="AY116" s="1"/>
      <c r="AZ116" s="1"/>
      <c r="BA116" s="1"/>
      <c r="BB116" s="1"/>
      <c r="BC116" s="1"/>
      <c r="BD116" s="1"/>
      <c r="BE116" s="1"/>
      <c r="BF116" s="1"/>
      <c r="BG116" s="1"/>
    </row>
    <row r="117" spans="1:59" ht="14.25" customHeight="1" x14ac:dyDescent="0.25">
      <c r="A117" s="1"/>
      <c r="B117" s="50"/>
      <c r="C117" s="50" t="s">
        <v>675</v>
      </c>
      <c r="D117" s="50"/>
      <c r="E117" s="50" t="str">
        <f t="shared" si="0"/>
        <v>001B</v>
      </c>
      <c r="F117" s="50"/>
      <c r="G117" s="50" t="s">
        <v>551</v>
      </c>
      <c r="H117" s="50" t="s">
        <v>552</v>
      </c>
      <c r="I117" s="50" t="s">
        <v>676</v>
      </c>
      <c r="J117" s="50" t="s">
        <v>677</v>
      </c>
      <c r="K117" s="50" t="s">
        <v>141</v>
      </c>
      <c r="L117" s="50" t="s">
        <v>555</v>
      </c>
      <c r="M117" s="51" t="s">
        <v>221</v>
      </c>
      <c r="N117" s="52"/>
      <c r="O117" s="50" t="s">
        <v>151</v>
      </c>
      <c r="P117" s="50">
        <v>416</v>
      </c>
      <c r="Q117" s="53">
        <v>0</v>
      </c>
      <c r="R117" s="53">
        <f t="shared" si="29"/>
        <v>416</v>
      </c>
      <c r="S117" s="54">
        <v>0.98</v>
      </c>
      <c r="T117" s="54">
        <v>0</v>
      </c>
      <c r="U117" s="54">
        <f t="shared" si="30"/>
        <v>0.98</v>
      </c>
      <c r="V117" s="54">
        <v>171.6</v>
      </c>
      <c r="W117" s="52">
        <f t="shared" si="31"/>
        <v>3.6111111111111112</v>
      </c>
      <c r="X117" s="54">
        <f t="shared" si="32"/>
        <v>175.10204081632654</v>
      </c>
      <c r="Y117" s="50" t="str">
        <f t="shared" si="33"/>
        <v>è in grado</v>
      </c>
      <c r="Z117" s="50" t="str">
        <f t="shared" si="34"/>
        <v>non sottende</v>
      </c>
      <c r="AA117" s="54">
        <f t="shared" si="35"/>
        <v>47.519999999999996</v>
      </c>
      <c r="AB117" s="50" t="str">
        <f t="shared" si="36"/>
        <v>A</v>
      </c>
      <c r="AC117" s="50" t="str">
        <f t="shared" si="3"/>
        <v>SI</v>
      </c>
      <c r="AD117" s="50" t="str">
        <f t="shared" si="37"/>
        <v>Si</v>
      </c>
      <c r="AE117" s="50" t="s">
        <v>490</v>
      </c>
      <c r="AF117" s="55">
        <v>11.81</v>
      </c>
      <c r="AG117" s="55">
        <v>1128</v>
      </c>
      <c r="AH117" s="55">
        <v>1077</v>
      </c>
      <c r="AI117" s="55" t="str">
        <f t="shared" si="26"/>
        <v>Manufatto limitante</v>
      </c>
      <c r="AJ117" s="53">
        <v>169.99</v>
      </c>
      <c r="AK117" s="53">
        <f t="shared" si="38"/>
        <v>5.3261956585681505</v>
      </c>
      <c r="AL117" s="53">
        <f t="shared" si="10"/>
        <v>905.4</v>
      </c>
      <c r="AM117" s="50" t="s">
        <v>190</v>
      </c>
      <c r="AN117" s="56" t="s">
        <v>222</v>
      </c>
      <c r="AO117" s="66"/>
      <c r="AP117" s="58" t="s">
        <v>223</v>
      </c>
      <c r="AQ117" s="58" t="s">
        <v>224</v>
      </c>
      <c r="AR117" s="58" t="s">
        <v>225</v>
      </c>
      <c r="AS117" s="58" t="s">
        <v>556</v>
      </c>
      <c r="AT117" s="50" t="s">
        <v>557</v>
      </c>
      <c r="AU117" s="1"/>
      <c r="AV117" s="1"/>
      <c r="AW117" s="1"/>
      <c r="AX117" s="1"/>
      <c r="AY117" s="1"/>
      <c r="AZ117" s="1"/>
      <c r="BA117" s="1"/>
      <c r="BB117" s="1"/>
      <c r="BC117" s="1"/>
      <c r="BD117" s="1"/>
      <c r="BE117" s="1"/>
      <c r="BF117" s="1"/>
      <c r="BG117" s="1"/>
    </row>
    <row r="118" spans="1:59" ht="14.25" customHeight="1" x14ac:dyDescent="0.25">
      <c r="A118" s="1" t="s">
        <v>566</v>
      </c>
      <c r="B118" s="9"/>
      <c r="C118" s="21" t="s">
        <v>678</v>
      </c>
      <c r="D118" s="21" t="s">
        <v>679</v>
      </c>
      <c r="E118" s="21" t="str">
        <f t="shared" si="0"/>
        <v>PP0200210012001B</v>
      </c>
      <c r="F118" s="21"/>
      <c r="G118" s="21" t="s">
        <v>551</v>
      </c>
      <c r="H118" s="21" t="s">
        <v>569</v>
      </c>
      <c r="I118" s="21" t="s">
        <v>680</v>
      </c>
      <c r="J118" s="21" t="s">
        <v>681</v>
      </c>
      <c r="K118" s="21" t="s">
        <v>641</v>
      </c>
      <c r="L118" s="21" t="s">
        <v>587</v>
      </c>
      <c r="M118" s="21"/>
      <c r="N118" s="22"/>
      <c r="O118" s="21" t="s">
        <v>151</v>
      </c>
      <c r="P118" s="21">
        <v>67</v>
      </c>
      <c r="Q118" s="24">
        <v>0</v>
      </c>
      <c r="R118" s="24">
        <f t="shared" si="29"/>
        <v>67</v>
      </c>
      <c r="S118" s="23">
        <v>0.16</v>
      </c>
      <c r="T118" s="23">
        <v>0</v>
      </c>
      <c r="U118" s="23">
        <f t="shared" si="30"/>
        <v>0.16</v>
      </c>
      <c r="V118" s="23">
        <v>88.09</v>
      </c>
      <c r="W118" s="52">
        <f t="shared" si="31"/>
        <v>0.58159722222222221</v>
      </c>
      <c r="X118" s="23">
        <f t="shared" si="32"/>
        <v>550.5625</v>
      </c>
      <c r="Y118" s="21" t="str">
        <f t="shared" si="33"/>
        <v>è in grado</v>
      </c>
      <c r="Z118" s="21" t="str">
        <f t="shared" si="34"/>
        <v>non sottende</v>
      </c>
      <c r="AA118" s="23">
        <f t="shared" si="35"/>
        <v>151.4622089552239</v>
      </c>
      <c r="AB118" s="21" t="str">
        <f t="shared" si="36"/>
        <v>A</v>
      </c>
      <c r="AC118" s="21" t="str">
        <f t="shared" si="3"/>
        <v>SI</v>
      </c>
      <c r="AD118" s="21" t="str">
        <f t="shared" si="37"/>
        <v>Si</v>
      </c>
      <c r="AE118" s="21" t="s">
        <v>490</v>
      </c>
      <c r="AF118" s="41">
        <v>2.56</v>
      </c>
      <c r="AG118" s="41">
        <v>393</v>
      </c>
      <c r="AH118" s="41">
        <v>700</v>
      </c>
      <c r="AI118" s="41" t="str">
        <f t="shared" si="26"/>
        <v xml:space="preserve"> </v>
      </c>
      <c r="AJ118" s="24">
        <v>204.18</v>
      </c>
      <c r="AK118" s="24">
        <f t="shared" si="38"/>
        <v>1.4933392105005385</v>
      </c>
      <c r="AL118" s="24">
        <f t="shared" si="10"/>
        <v>304.90999999999997</v>
      </c>
      <c r="AM118" s="21" t="s">
        <v>190</v>
      </c>
      <c r="AN118" s="56" t="s">
        <v>222</v>
      </c>
      <c r="AO118" s="83">
        <v>47510</v>
      </c>
      <c r="AP118" s="84" t="s">
        <v>574</v>
      </c>
      <c r="AQ118" s="29" t="s">
        <v>238</v>
      </c>
      <c r="AR118" s="29"/>
      <c r="AS118" s="29" t="s">
        <v>575</v>
      </c>
      <c r="AT118" s="89"/>
      <c r="AU118" s="38"/>
      <c r="AV118" s="38"/>
      <c r="AW118" s="38"/>
      <c r="AX118" s="38"/>
      <c r="AY118" s="38"/>
      <c r="AZ118" s="38"/>
      <c r="BA118" s="38"/>
      <c r="BB118" s="38"/>
      <c r="BC118" s="38"/>
      <c r="BD118" s="38"/>
      <c r="BE118" s="38"/>
      <c r="BF118" s="1"/>
      <c r="BG118" s="1"/>
    </row>
    <row r="119" spans="1:59" ht="14.25" customHeight="1" x14ac:dyDescent="0.25">
      <c r="A119" s="1" t="s">
        <v>566</v>
      </c>
      <c r="B119" s="9"/>
      <c r="C119" s="21" t="s">
        <v>682</v>
      </c>
      <c r="D119" s="21" t="s">
        <v>683</v>
      </c>
      <c r="E119" s="21" t="str">
        <f t="shared" si="0"/>
        <v>PP0200210018001B</v>
      </c>
      <c r="F119" s="21"/>
      <c r="G119" s="21" t="s">
        <v>551</v>
      </c>
      <c r="H119" s="21" t="s">
        <v>569</v>
      </c>
      <c r="I119" s="21" t="s">
        <v>684</v>
      </c>
      <c r="J119" s="21" t="s">
        <v>685</v>
      </c>
      <c r="K119" s="21" t="s">
        <v>641</v>
      </c>
      <c r="L119" s="21" t="s">
        <v>587</v>
      </c>
      <c r="M119" s="21"/>
      <c r="N119" s="22"/>
      <c r="O119" s="21" t="s">
        <v>151</v>
      </c>
      <c r="P119" s="21">
        <v>123</v>
      </c>
      <c r="Q119" s="24">
        <v>0</v>
      </c>
      <c r="R119" s="24">
        <f t="shared" si="29"/>
        <v>123</v>
      </c>
      <c r="S119" s="23">
        <v>0.28999999999999998</v>
      </c>
      <c r="T119" s="23">
        <v>0</v>
      </c>
      <c r="U119" s="23">
        <f t="shared" si="30"/>
        <v>0.28999999999999998</v>
      </c>
      <c r="V119" s="23">
        <v>38.28</v>
      </c>
      <c r="W119" s="52">
        <f t="shared" si="31"/>
        <v>1.0677083333333333</v>
      </c>
      <c r="X119" s="23">
        <f t="shared" si="32"/>
        <v>132</v>
      </c>
      <c r="Y119" s="21" t="str">
        <f t="shared" si="33"/>
        <v>è in grado</v>
      </c>
      <c r="Z119" s="21" t="str">
        <f t="shared" si="34"/>
        <v>non sottende</v>
      </c>
      <c r="AA119" s="23">
        <f t="shared" si="35"/>
        <v>35.852487804878052</v>
      </c>
      <c r="AB119" s="21" t="str">
        <f t="shared" si="36"/>
        <v>A</v>
      </c>
      <c r="AC119" s="21" t="str">
        <f t="shared" si="3"/>
        <v>SI</v>
      </c>
      <c r="AD119" s="21" t="str">
        <f t="shared" si="37"/>
        <v>Si</v>
      </c>
      <c r="AE119" s="21" t="s">
        <v>490</v>
      </c>
      <c r="AF119" s="41">
        <v>3.84</v>
      </c>
      <c r="AG119" s="41">
        <v>430</v>
      </c>
      <c r="AH119" s="41">
        <v>1101</v>
      </c>
      <c r="AI119" s="41" t="str">
        <f t="shared" si="26"/>
        <v xml:space="preserve"> </v>
      </c>
      <c r="AJ119" s="24">
        <v>223.12</v>
      </c>
      <c r="AK119" s="24">
        <f t="shared" si="38"/>
        <v>1.7556471853711009</v>
      </c>
      <c r="AL119" s="24">
        <f t="shared" si="10"/>
        <v>391.72</v>
      </c>
      <c r="AM119" s="21" t="s">
        <v>190</v>
      </c>
      <c r="AN119" s="56" t="s">
        <v>222</v>
      </c>
      <c r="AO119" s="83">
        <v>47510</v>
      </c>
      <c r="AP119" s="84" t="s">
        <v>574</v>
      </c>
      <c r="AQ119" s="29" t="s">
        <v>238</v>
      </c>
      <c r="AR119" s="29"/>
      <c r="AS119" s="29" t="s">
        <v>575</v>
      </c>
      <c r="AT119" s="26"/>
      <c r="AU119" s="38"/>
      <c r="AV119" s="38"/>
      <c r="AW119" s="38"/>
      <c r="AX119" s="38"/>
      <c r="AY119" s="38"/>
      <c r="AZ119" s="38"/>
      <c r="BA119" s="38"/>
      <c r="BB119" s="38"/>
      <c r="BC119" s="38"/>
      <c r="BD119" s="38"/>
      <c r="BE119" s="38"/>
      <c r="BF119" s="1"/>
      <c r="BG119" s="1"/>
    </row>
    <row r="120" spans="1:59" ht="14.25" customHeight="1" x14ac:dyDescent="0.25">
      <c r="A120" s="1"/>
      <c r="B120" s="50"/>
      <c r="C120" s="50" t="s">
        <v>686</v>
      </c>
      <c r="D120" s="50"/>
      <c r="E120" s="50" t="str">
        <f t="shared" si="0"/>
        <v>001B</v>
      </c>
      <c r="F120" s="1"/>
      <c r="G120" s="50" t="s">
        <v>551</v>
      </c>
      <c r="H120" s="50" t="s">
        <v>552</v>
      </c>
      <c r="I120" s="50" t="s">
        <v>687</v>
      </c>
      <c r="J120" s="50" t="s">
        <v>688</v>
      </c>
      <c r="K120" s="50" t="s">
        <v>141</v>
      </c>
      <c r="L120" s="50" t="s">
        <v>555</v>
      </c>
      <c r="M120" s="51" t="s">
        <v>221</v>
      </c>
      <c r="N120" s="52"/>
      <c r="O120" s="50" t="s">
        <v>151</v>
      </c>
      <c r="P120" s="50">
        <v>11</v>
      </c>
      <c r="Q120" s="53">
        <v>0</v>
      </c>
      <c r="R120" s="53">
        <f t="shared" si="29"/>
        <v>11</v>
      </c>
      <c r="S120" s="54">
        <v>0.03</v>
      </c>
      <c r="T120" s="54">
        <v>0</v>
      </c>
      <c r="U120" s="54">
        <f t="shared" si="30"/>
        <v>0.03</v>
      </c>
      <c r="V120" s="54">
        <v>23.93</v>
      </c>
      <c r="W120" s="52">
        <f t="shared" si="31"/>
        <v>9.5486111111111105E-2</v>
      </c>
      <c r="X120" s="54">
        <f t="shared" si="32"/>
        <v>797.66666666666674</v>
      </c>
      <c r="Y120" s="50" t="str">
        <f t="shared" si="33"/>
        <v>è in grado</v>
      </c>
      <c r="Z120" s="50" t="str">
        <f t="shared" si="34"/>
        <v>non sottende</v>
      </c>
      <c r="AA120" s="54">
        <f t="shared" si="35"/>
        <v>250.61236363636365</v>
      </c>
      <c r="AB120" s="50" t="str">
        <f t="shared" si="36"/>
        <v>A</v>
      </c>
      <c r="AC120" s="50" t="str">
        <f t="shared" si="3"/>
        <v>SI</v>
      </c>
      <c r="AD120" s="50" t="str">
        <f t="shared" si="37"/>
        <v>Si</v>
      </c>
      <c r="AE120" s="50" t="s">
        <v>490</v>
      </c>
      <c r="AF120" s="55">
        <v>0.65</v>
      </c>
      <c r="AG120" s="55">
        <v>92</v>
      </c>
      <c r="AH120" s="55">
        <v>244</v>
      </c>
      <c r="AI120" s="55" t="str">
        <f t="shared" si="26"/>
        <v xml:space="preserve"> </v>
      </c>
      <c r="AJ120" s="53">
        <v>210.89</v>
      </c>
      <c r="AK120" s="53">
        <f t="shared" si="38"/>
        <v>0.32277490634928163</v>
      </c>
      <c r="AL120" s="53">
        <f t="shared" si="10"/>
        <v>68.069999999999993</v>
      </c>
      <c r="AM120" s="50" t="s">
        <v>190</v>
      </c>
      <c r="AN120" s="56" t="s">
        <v>222</v>
      </c>
      <c r="AO120" s="66"/>
      <c r="AP120" s="58" t="s">
        <v>223</v>
      </c>
      <c r="AQ120" s="58" t="s">
        <v>224</v>
      </c>
      <c r="AR120" s="58" t="s">
        <v>225</v>
      </c>
      <c r="AS120" s="58" t="s">
        <v>556</v>
      </c>
      <c r="AT120" s="50" t="s">
        <v>557</v>
      </c>
      <c r="AU120" s="1"/>
      <c r="AV120" s="1"/>
      <c r="AW120" s="1"/>
      <c r="AX120" s="1"/>
      <c r="AY120" s="1"/>
      <c r="AZ120" s="1"/>
      <c r="BA120" s="1"/>
      <c r="BB120" s="1"/>
      <c r="BC120" s="1"/>
      <c r="BD120" s="1"/>
      <c r="BE120" s="1"/>
      <c r="BF120" s="1"/>
      <c r="BG120" s="1"/>
    </row>
    <row r="121" spans="1:59" ht="14.25" customHeight="1" x14ac:dyDescent="0.25">
      <c r="A121" s="1"/>
      <c r="B121" s="50"/>
      <c r="C121" s="50" t="s">
        <v>689</v>
      </c>
      <c r="D121" s="50"/>
      <c r="E121" s="50" t="str">
        <f t="shared" si="0"/>
        <v>001B</v>
      </c>
      <c r="F121" s="50"/>
      <c r="G121" s="50" t="s">
        <v>551</v>
      </c>
      <c r="H121" s="50" t="s">
        <v>552</v>
      </c>
      <c r="I121" s="50" t="s">
        <v>690</v>
      </c>
      <c r="J121" s="50" t="s">
        <v>691</v>
      </c>
      <c r="K121" s="50" t="s">
        <v>141</v>
      </c>
      <c r="L121" s="50" t="s">
        <v>555</v>
      </c>
      <c r="M121" s="51" t="s">
        <v>221</v>
      </c>
      <c r="N121" s="52"/>
      <c r="O121" s="50" t="s">
        <v>151</v>
      </c>
      <c r="P121" s="50">
        <v>32</v>
      </c>
      <c r="Q121" s="53">
        <v>0</v>
      </c>
      <c r="R121" s="53">
        <f t="shared" si="29"/>
        <v>32</v>
      </c>
      <c r="S121" s="54">
        <v>0.08</v>
      </c>
      <c r="T121" s="54">
        <v>0</v>
      </c>
      <c r="U121" s="54">
        <f t="shared" si="30"/>
        <v>0.08</v>
      </c>
      <c r="V121" s="54">
        <v>34.5</v>
      </c>
      <c r="W121" s="52">
        <f t="shared" si="31"/>
        <v>0.27777777777777779</v>
      </c>
      <c r="X121" s="54">
        <f t="shared" si="32"/>
        <v>431.25</v>
      </c>
      <c r="Y121" s="50" t="str">
        <f t="shared" si="33"/>
        <v>è in grado</v>
      </c>
      <c r="Z121" s="50" t="str">
        <f t="shared" si="34"/>
        <v>non sottende</v>
      </c>
      <c r="AA121" s="54">
        <f t="shared" si="35"/>
        <v>124.19999999999999</v>
      </c>
      <c r="AB121" s="50" t="str">
        <f t="shared" si="36"/>
        <v>A</v>
      </c>
      <c r="AC121" s="50" t="str">
        <f t="shared" si="3"/>
        <v>SI</v>
      </c>
      <c r="AD121" s="50" t="str">
        <f t="shared" si="37"/>
        <v>Si</v>
      </c>
      <c r="AE121" s="50" t="s">
        <v>490</v>
      </c>
      <c r="AF121" s="55">
        <v>0.84</v>
      </c>
      <c r="AG121" s="55">
        <v>111</v>
      </c>
      <c r="AH121" s="55">
        <v>633</v>
      </c>
      <c r="AI121" s="55" t="str">
        <f t="shared" si="26"/>
        <v xml:space="preserve"> </v>
      </c>
      <c r="AJ121" s="53">
        <v>181.07</v>
      </c>
      <c r="AK121" s="53">
        <f t="shared" si="38"/>
        <v>0.42248854034351357</v>
      </c>
      <c r="AL121" s="53">
        <f t="shared" si="10"/>
        <v>76.5</v>
      </c>
      <c r="AM121" s="50" t="s">
        <v>190</v>
      </c>
      <c r="AN121" s="56" t="s">
        <v>222</v>
      </c>
      <c r="AO121" s="66"/>
      <c r="AP121" s="58" t="s">
        <v>223</v>
      </c>
      <c r="AQ121" s="58" t="s">
        <v>224</v>
      </c>
      <c r="AR121" s="58" t="s">
        <v>225</v>
      </c>
      <c r="AS121" s="58" t="s">
        <v>556</v>
      </c>
      <c r="AT121" s="50" t="s">
        <v>557</v>
      </c>
      <c r="AU121" s="1"/>
      <c r="AV121" s="1"/>
      <c r="AW121" s="1"/>
      <c r="AX121" s="1"/>
      <c r="AY121" s="1"/>
      <c r="AZ121" s="1"/>
      <c r="BA121" s="1"/>
      <c r="BB121" s="1"/>
      <c r="BC121" s="1"/>
      <c r="BD121" s="1"/>
      <c r="BE121" s="1"/>
      <c r="BF121" s="1"/>
      <c r="BG121" s="1"/>
    </row>
    <row r="122" spans="1:59" ht="14.25" customHeight="1" x14ac:dyDescent="0.25">
      <c r="A122" s="1"/>
      <c r="B122" s="50"/>
      <c r="C122" s="50" t="s">
        <v>692</v>
      </c>
      <c r="D122" s="50"/>
      <c r="E122" s="50" t="str">
        <f t="shared" si="0"/>
        <v>001B</v>
      </c>
      <c r="F122" s="50"/>
      <c r="G122" s="50" t="s">
        <v>551</v>
      </c>
      <c r="H122" s="50" t="s">
        <v>552</v>
      </c>
      <c r="I122" s="50" t="s">
        <v>693</v>
      </c>
      <c r="J122" s="50" t="s">
        <v>694</v>
      </c>
      <c r="K122" s="50" t="s">
        <v>141</v>
      </c>
      <c r="L122" s="50" t="s">
        <v>555</v>
      </c>
      <c r="M122" s="51" t="s">
        <v>221</v>
      </c>
      <c r="N122" s="52"/>
      <c r="O122" s="50" t="s">
        <v>151</v>
      </c>
      <c r="P122" s="50">
        <v>84</v>
      </c>
      <c r="Q122" s="53">
        <v>0</v>
      </c>
      <c r="R122" s="53">
        <f t="shared" si="29"/>
        <v>84</v>
      </c>
      <c r="S122" s="54">
        <v>0.2</v>
      </c>
      <c r="T122" s="54">
        <v>0</v>
      </c>
      <c r="U122" s="54">
        <f t="shared" si="30"/>
        <v>0.2</v>
      </c>
      <c r="V122" s="54">
        <v>52.28</v>
      </c>
      <c r="W122" s="52">
        <f t="shared" si="31"/>
        <v>0.72916666666666663</v>
      </c>
      <c r="X122" s="54">
        <f t="shared" si="32"/>
        <v>261.39999999999998</v>
      </c>
      <c r="Y122" s="50" t="str">
        <f t="shared" si="33"/>
        <v>è in grado</v>
      </c>
      <c r="Z122" s="50" t="str">
        <f t="shared" si="34"/>
        <v>non sottende</v>
      </c>
      <c r="AA122" s="54">
        <f t="shared" si="35"/>
        <v>71.698285714285717</v>
      </c>
      <c r="AB122" s="50" t="str">
        <f t="shared" si="36"/>
        <v>A</v>
      </c>
      <c r="AC122" s="50" t="str">
        <f t="shared" si="3"/>
        <v>SI</v>
      </c>
      <c r="AD122" s="50" t="str">
        <f t="shared" si="37"/>
        <v>Si</v>
      </c>
      <c r="AE122" s="50" t="s">
        <v>490</v>
      </c>
      <c r="AF122" s="55">
        <v>1.9</v>
      </c>
      <c r="AG122" s="55">
        <v>242</v>
      </c>
      <c r="AH122" s="55">
        <v>500</v>
      </c>
      <c r="AI122" s="55" t="str">
        <f t="shared" si="26"/>
        <v xml:space="preserve"> </v>
      </c>
      <c r="AJ122" s="53">
        <v>206.25</v>
      </c>
      <c r="AK122" s="53">
        <f t="shared" si="38"/>
        <v>0.91985454545454548</v>
      </c>
      <c r="AL122" s="53">
        <f t="shared" si="10"/>
        <v>189.72</v>
      </c>
      <c r="AM122" s="50" t="s">
        <v>190</v>
      </c>
      <c r="AN122" s="56" t="s">
        <v>222</v>
      </c>
      <c r="AO122" s="66"/>
      <c r="AP122" s="58" t="s">
        <v>223</v>
      </c>
      <c r="AQ122" s="58" t="s">
        <v>224</v>
      </c>
      <c r="AR122" s="58" t="s">
        <v>225</v>
      </c>
      <c r="AS122" s="58" t="s">
        <v>556</v>
      </c>
      <c r="AT122" s="50" t="s">
        <v>557</v>
      </c>
      <c r="AU122" s="1"/>
      <c r="AV122" s="1"/>
      <c r="AW122" s="1"/>
      <c r="AX122" s="1"/>
      <c r="AY122" s="1"/>
      <c r="AZ122" s="1"/>
      <c r="BA122" s="1"/>
      <c r="BB122" s="1"/>
      <c r="BC122" s="1"/>
      <c r="BD122" s="1"/>
      <c r="BE122" s="1"/>
      <c r="BF122" s="1"/>
      <c r="BG122" s="1"/>
    </row>
    <row r="123" spans="1:59" ht="14.25" customHeight="1" x14ac:dyDescent="0.25">
      <c r="A123" s="1"/>
      <c r="B123" s="50"/>
      <c r="C123" s="50" t="s">
        <v>695</v>
      </c>
      <c r="D123" s="50" t="s">
        <v>696</v>
      </c>
      <c r="E123" s="50" t="str">
        <f t="shared" si="0"/>
        <v>PP0200210008001B</v>
      </c>
      <c r="F123" s="50"/>
      <c r="G123" s="50" t="s">
        <v>551</v>
      </c>
      <c r="H123" s="50" t="s">
        <v>592</v>
      </c>
      <c r="I123" s="50" t="s">
        <v>697</v>
      </c>
      <c r="J123" s="50" t="s">
        <v>698</v>
      </c>
      <c r="K123" s="50" t="s">
        <v>141</v>
      </c>
      <c r="L123" s="50" t="s">
        <v>594</v>
      </c>
      <c r="M123" s="50"/>
      <c r="N123" s="52"/>
      <c r="O123" s="50" t="s">
        <v>159</v>
      </c>
      <c r="P123" s="50">
        <v>2289</v>
      </c>
      <c r="Q123" s="53">
        <v>61</v>
      </c>
      <c r="R123" s="53">
        <f t="shared" si="29"/>
        <v>2350</v>
      </c>
      <c r="S123" s="54">
        <v>5.38</v>
      </c>
      <c r="T123" s="54">
        <v>0.97</v>
      </c>
      <c r="U123" s="54">
        <f t="shared" si="30"/>
        <v>6.35</v>
      </c>
      <c r="V123" s="54">
        <v>37</v>
      </c>
      <c r="W123" s="52">
        <f t="shared" si="31"/>
        <v>20.399305555555557</v>
      </c>
      <c r="X123" s="54">
        <f t="shared" si="32"/>
        <v>5.8267716535433074</v>
      </c>
      <c r="Y123" s="50" t="str">
        <f t="shared" si="33"/>
        <v>è in grado</v>
      </c>
      <c r="Z123" s="50" t="str">
        <f t="shared" si="34"/>
        <v>non sottende</v>
      </c>
      <c r="AA123" s="54">
        <f t="shared" si="35"/>
        <v>1.8137872340425532</v>
      </c>
      <c r="AB123" s="50" t="str">
        <f t="shared" si="36"/>
        <v>B</v>
      </c>
      <c r="AC123" s="50" t="str">
        <f t="shared" si="3"/>
        <v>SI</v>
      </c>
      <c r="AD123" s="50" t="str">
        <f t="shared" si="37"/>
        <v>Si</v>
      </c>
      <c r="AE123" s="50" t="s">
        <v>605</v>
      </c>
      <c r="AF123" s="55">
        <v>1.55</v>
      </c>
      <c r="AG123" s="55">
        <v>800</v>
      </c>
      <c r="AH123" s="55">
        <v>2669</v>
      </c>
      <c r="AI123" s="55" t="str">
        <f t="shared" si="26"/>
        <v xml:space="preserve"> </v>
      </c>
      <c r="AJ123" s="53">
        <v>4672.47</v>
      </c>
      <c r="AK123" s="53">
        <f t="shared" si="38"/>
        <v>0.16329692860521308</v>
      </c>
      <c r="AL123" s="53">
        <f t="shared" si="10"/>
        <v>763</v>
      </c>
      <c r="AM123" s="50" t="s">
        <v>190</v>
      </c>
      <c r="AN123" s="56" t="s">
        <v>236</v>
      </c>
      <c r="AO123" s="57">
        <v>45658</v>
      </c>
      <c r="AP123" s="58" t="s">
        <v>674</v>
      </c>
      <c r="AQ123" s="58" t="s">
        <v>255</v>
      </c>
      <c r="AR123" s="58" t="s">
        <v>225</v>
      </c>
      <c r="AS123" s="58" t="s">
        <v>556</v>
      </c>
      <c r="AT123" s="50" t="s">
        <v>557</v>
      </c>
      <c r="AU123" s="1"/>
      <c r="AV123" s="1"/>
      <c r="AW123" s="1"/>
      <c r="AX123" s="1"/>
      <c r="AY123" s="1"/>
      <c r="AZ123" s="1"/>
      <c r="BA123" s="1"/>
      <c r="BB123" s="1"/>
      <c r="BC123" s="1"/>
      <c r="BD123" s="1"/>
      <c r="BE123" s="1"/>
      <c r="BF123" s="1"/>
      <c r="BG123" s="1"/>
    </row>
    <row r="124" spans="1:59" ht="14.25" customHeight="1" x14ac:dyDescent="0.25">
      <c r="A124" s="1"/>
      <c r="B124" s="50"/>
      <c r="C124" s="50" t="s">
        <v>699</v>
      </c>
      <c r="D124" s="50" t="s">
        <v>700</v>
      </c>
      <c r="E124" s="50" t="str">
        <f t="shared" si="0"/>
        <v>PP0200210007001B</v>
      </c>
      <c r="F124" s="50"/>
      <c r="G124" s="50" t="s">
        <v>551</v>
      </c>
      <c r="H124" s="50" t="s">
        <v>592</v>
      </c>
      <c r="I124" s="50" t="s">
        <v>701</v>
      </c>
      <c r="J124" s="50" t="s">
        <v>702</v>
      </c>
      <c r="K124" s="50" t="s">
        <v>141</v>
      </c>
      <c r="L124" s="50" t="s">
        <v>594</v>
      </c>
      <c r="M124" s="50"/>
      <c r="N124" s="52"/>
      <c r="O124" s="50" t="s">
        <v>151</v>
      </c>
      <c r="P124" s="50">
        <v>561</v>
      </c>
      <c r="Q124" s="53">
        <v>0</v>
      </c>
      <c r="R124" s="53">
        <f t="shared" si="29"/>
        <v>561</v>
      </c>
      <c r="S124" s="54">
        <v>1.32</v>
      </c>
      <c r="T124" s="54">
        <v>0</v>
      </c>
      <c r="U124" s="54">
        <f t="shared" si="30"/>
        <v>1.32</v>
      </c>
      <c r="V124" s="54">
        <v>200.72</v>
      </c>
      <c r="W124" s="52">
        <f t="shared" si="31"/>
        <v>4.869791666666667</v>
      </c>
      <c r="X124" s="54">
        <f t="shared" si="32"/>
        <v>152.06060606060606</v>
      </c>
      <c r="Y124" s="50" t="str">
        <f t="shared" si="33"/>
        <v>è in grado</v>
      </c>
      <c r="Z124" s="50" t="str">
        <f t="shared" si="34"/>
        <v>non sottende</v>
      </c>
      <c r="AA124" s="54">
        <f t="shared" si="35"/>
        <v>41.217368983957215</v>
      </c>
      <c r="AB124" s="50" t="str">
        <f t="shared" si="36"/>
        <v>A</v>
      </c>
      <c r="AC124" s="50" t="str">
        <f t="shared" si="3"/>
        <v>SI</v>
      </c>
      <c r="AD124" s="50" t="str">
        <f t="shared" si="37"/>
        <v>Si</v>
      </c>
      <c r="AE124" s="50" t="s">
        <v>147</v>
      </c>
      <c r="AF124" s="55">
        <v>19.420000000000002</v>
      </c>
      <c r="AG124" s="55">
        <v>1580</v>
      </c>
      <c r="AH124" s="55">
        <v>1885</v>
      </c>
      <c r="AI124" s="55" t="str">
        <f t="shared" si="26"/>
        <v xml:space="preserve"> </v>
      </c>
      <c r="AJ124" s="53">
        <v>150.76</v>
      </c>
      <c r="AK124" s="53">
        <f t="shared" si="38"/>
        <v>9.1488458477049619</v>
      </c>
      <c r="AL124" s="53">
        <f t="shared" si="10"/>
        <v>1379.28</v>
      </c>
      <c r="AM124" s="50" t="s">
        <v>190</v>
      </c>
      <c r="AN124" s="56" t="s">
        <v>222</v>
      </c>
      <c r="AO124" s="57">
        <v>47217</v>
      </c>
      <c r="AP124" s="58" t="s">
        <v>703</v>
      </c>
      <c r="AQ124" s="58" t="s">
        <v>255</v>
      </c>
      <c r="AR124" s="58" t="s">
        <v>225</v>
      </c>
      <c r="AS124" s="58" t="s">
        <v>556</v>
      </c>
      <c r="AT124" s="50" t="s">
        <v>557</v>
      </c>
      <c r="AU124" s="1"/>
      <c r="AV124" s="1"/>
      <c r="AW124" s="1"/>
      <c r="AX124" s="1"/>
      <c r="AY124" s="1"/>
      <c r="AZ124" s="1"/>
      <c r="BA124" s="1"/>
      <c r="BB124" s="1"/>
      <c r="BC124" s="1"/>
      <c r="BD124" s="1"/>
      <c r="BE124" s="1"/>
      <c r="BF124" s="1"/>
      <c r="BG124" s="1"/>
    </row>
    <row r="125" spans="1:59" ht="14.25" customHeight="1" x14ac:dyDescent="0.25">
      <c r="A125" s="1"/>
      <c r="B125" s="50"/>
      <c r="C125" s="50" t="s">
        <v>704</v>
      </c>
      <c r="D125" s="50"/>
      <c r="E125" s="50" t="str">
        <f t="shared" si="0"/>
        <v>001B</v>
      </c>
      <c r="F125" s="50"/>
      <c r="G125" s="50" t="s">
        <v>551</v>
      </c>
      <c r="H125" s="50" t="s">
        <v>592</v>
      </c>
      <c r="I125" s="50" t="s">
        <v>705</v>
      </c>
      <c r="J125" s="50" t="s">
        <v>706</v>
      </c>
      <c r="K125" s="50" t="s">
        <v>141</v>
      </c>
      <c r="L125" s="50" t="s">
        <v>594</v>
      </c>
      <c r="M125" s="50"/>
      <c r="N125" s="52"/>
      <c r="O125" s="50" t="s">
        <v>151</v>
      </c>
      <c r="P125" s="50">
        <v>2240</v>
      </c>
      <c r="Q125" s="53">
        <v>61</v>
      </c>
      <c r="R125" s="53">
        <f t="shared" si="29"/>
        <v>2301</v>
      </c>
      <c r="S125" s="54">
        <v>5.27</v>
      </c>
      <c r="T125" s="54">
        <v>0.97</v>
      </c>
      <c r="U125" s="54">
        <f t="shared" si="30"/>
        <v>6.2399999999999993</v>
      </c>
      <c r="V125" s="54">
        <v>753.24</v>
      </c>
      <c r="W125" s="52">
        <f t="shared" si="31"/>
        <v>19.973958333333332</v>
      </c>
      <c r="X125" s="54">
        <f t="shared" si="32"/>
        <v>120.71153846153848</v>
      </c>
      <c r="Y125" s="50" t="str">
        <f t="shared" si="33"/>
        <v>è in grado</v>
      </c>
      <c r="Z125" s="50" t="str">
        <f t="shared" si="34"/>
        <v>non sottende</v>
      </c>
      <c r="AA125" s="54">
        <f t="shared" si="35"/>
        <v>37.711102998696219</v>
      </c>
      <c r="AB125" s="50" t="str">
        <f t="shared" si="36"/>
        <v>A</v>
      </c>
      <c r="AC125" s="50" t="str">
        <f t="shared" si="3"/>
        <v>SI</v>
      </c>
      <c r="AD125" s="50" t="str">
        <f t="shared" si="37"/>
        <v>Si</v>
      </c>
      <c r="AE125" s="50" t="s">
        <v>490</v>
      </c>
      <c r="AF125" s="55">
        <v>12.04</v>
      </c>
      <c r="AG125" s="55">
        <v>1255</v>
      </c>
      <c r="AH125" s="55">
        <v>2759</v>
      </c>
      <c r="AI125" s="55" t="str">
        <f t="shared" si="26"/>
        <v xml:space="preserve"> </v>
      </c>
      <c r="AJ125" s="53">
        <v>119.3</v>
      </c>
      <c r="AK125" s="53">
        <f t="shared" si="38"/>
        <v>4.2058675607711651</v>
      </c>
      <c r="AL125" s="53">
        <f t="shared" si="10"/>
        <v>501.76</v>
      </c>
      <c r="AM125" s="50" t="s">
        <v>190</v>
      </c>
      <c r="AN125" s="56" t="s">
        <v>222</v>
      </c>
      <c r="AO125" s="57">
        <v>47384</v>
      </c>
      <c r="AP125" s="58" t="s">
        <v>707</v>
      </c>
      <c r="AQ125" s="58" t="s">
        <v>255</v>
      </c>
      <c r="AR125" s="58" t="s">
        <v>225</v>
      </c>
      <c r="AS125" s="58" t="s">
        <v>556</v>
      </c>
      <c r="AT125" s="50" t="s">
        <v>557</v>
      </c>
      <c r="AU125" s="1"/>
      <c r="AV125" s="1"/>
      <c r="AW125" s="1"/>
      <c r="AX125" s="1"/>
      <c r="AY125" s="1"/>
      <c r="AZ125" s="1"/>
      <c r="BA125" s="1"/>
      <c r="BB125" s="1"/>
      <c r="BC125" s="1"/>
      <c r="BD125" s="1"/>
      <c r="BE125" s="1"/>
      <c r="BF125" s="1"/>
      <c r="BG125" s="1"/>
    </row>
    <row r="126" spans="1:59" ht="14.25" customHeight="1" x14ac:dyDescent="0.25">
      <c r="A126" s="1"/>
      <c r="B126" s="50"/>
      <c r="C126" s="50" t="s">
        <v>708</v>
      </c>
      <c r="D126" s="50"/>
      <c r="E126" s="50" t="str">
        <f t="shared" si="0"/>
        <v>001B</v>
      </c>
      <c r="F126" s="50"/>
      <c r="G126" s="50" t="s">
        <v>551</v>
      </c>
      <c r="H126" s="50" t="s">
        <v>552</v>
      </c>
      <c r="I126" s="50" t="s">
        <v>709</v>
      </c>
      <c r="J126" s="50" t="s">
        <v>710</v>
      </c>
      <c r="K126" s="50" t="s">
        <v>141</v>
      </c>
      <c r="L126" s="50" t="s">
        <v>555</v>
      </c>
      <c r="M126" s="51" t="s">
        <v>221</v>
      </c>
      <c r="N126" s="52"/>
      <c r="O126" s="50" t="s">
        <v>151</v>
      </c>
      <c r="P126" s="50">
        <v>205</v>
      </c>
      <c r="Q126" s="53">
        <v>0</v>
      </c>
      <c r="R126" s="53">
        <f t="shared" si="29"/>
        <v>205</v>
      </c>
      <c r="S126" s="54">
        <v>0.48</v>
      </c>
      <c r="T126" s="54">
        <v>0</v>
      </c>
      <c r="U126" s="54">
        <f t="shared" si="30"/>
        <v>0.48</v>
      </c>
      <c r="V126" s="54">
        <v>21.01</v>
      </c>
      <c r="W126" s="52">
        <f t="shared" si="31"/>
        <v>1.7795138888888888</v>
      </c>
      <c r="X126" s="54">
        <f t="shared" si="32"/>
        <v>43.770833333333336</v>
      </c>
      <c r="Y126" s="50" t="str">
        <f t="shared" si="33"/>
        <v>è in grado</v>
      </c>
      <c r="Z126" s="50" t="str">
        <f t="shared" si="34"/>
        <v>non sottende</v>
      </c>
      <c r="AA126" s="54">
        <f t="shared" si="35"/>
        <v>11.80659512195122</v>
      </c>
      <c r="AB126" s="50" t="str">
        <f t="shared" si="36"/>
        <v>A</v>
      </c>
      <c r="AC126" s="50" t="str">
        <f t="shared" si="3"/>
        <v>SI</v>
      </c>
      <c r="AD126" s="50" t="str">
        <f t="shared" si="37"/>
        <v>Si</v>
      </c>
      <c r="AE126" s="50" t="s">
        <v>490</v>
      </c>
      <c r="AF126" s="55">
        <v>4.67</v>
      </c>
      <c r="AG126" s="55">
        <v>534</v>
      </c>
      <c r="AH126" s="55">
        <v>689</v>
      </c>
      <c r="AI126" s="55" t="str">
        <f t="shared" si="26"/>
        <v xml:space="preserve"> </v>
      </c>
      <c r="AJ126" s="53">
        <v>220.71</v>
      </c>
      <c r="AK126" s="53">
        <f t="shared" si="38"/>
        <v>2.3242716687055411</v>
      </c>
      <c r="AL126" s="53">
        <f t="shared" si="10"/>
        <v>512.99</v>
      </c>
      <c r="AM126" s="50" t="s">
        <v>190</v>
      </c>
      <c r="AN126" s="56" t="s">
        <v>222</v>
      </c>
      <c r="AO126" s="66"/>
      <c r="AP126" s="58" t="s">
        <v>223</v>
      </c>
      <c r="AQ126" s="58" t="s">
        <v>224</v>
      </c>
      <c r="AR126" s="58" t="s">
        <v>225</v>
      </c>
      <c r="AS126" s="58" t="s">
        <v>556</v>
      </c>
      <c r="AT126" s="50" t="s">
        <v>557</v>
      </c>
      <c r="AU126" s="1"/>
      <c r="AV126" s="1"/>
      <c r="AW126" s="1"/>
      <c r="AX126" s="1"/>
      <c r="AY126" s="1"/>
      <c r="AZ126" s="1"/>
      <c r="BA126" s="1"/>
      <c r="BB126" s="1"/>
      <c r="BC126" s="1"/>
      <c r="BD126" s="1"/>
      <c r="BE126" s="1"/>
      <c r="BF126" s="1"/>
      <c r="BG126" s="1"/>
    </row>
    <row r="127" spans="1:59" ht="14.25" customHeight="1" x14ac:dyDescent="0.25">
      <c r="A127" s="1"/>
      <c r="B127" s="50"/>
      <c r="C127" s="50" t="s">
        <v>711</v>
      </c>
      <c r="D127" s="50"/>
      <c r="E127" s="50" t="str">
        <f t="shared" si="0"/>
        <v>001B</v>
      </c>
      <c r="F127" s="50"/>
      <c r="G127" s="50" t="s">
        <v>551</v>
      </c>
      <c r="H127" s="50" t="s">
        <v>552</v>
      </c>
      <c r="I127" s="50" t="s">
        <v>712</v>
      </c>
      <c r="J127" s="50" t="s">
        <v>713</v>
      </c>
      <c r="K127" s="50" t="s">
        <v>141</v>
      </c>
      <c r="L127" s="50" t="s">
        <v>555</v>
      </c>
      <c r="M127" s="51" t="s">
        <v>221</v>
      </c>
      <c r="N127" s="52"/>
      <c r="O127" s="50" t="s">
        <v>151</v>
      </c>
      <c r="P127" s="50">
        <v>117</v>
      </c>
      <c r="Q127" s="53">
        <v>0</v>
      </c>
      <c r="R127" s="53">
        <f t="shared" si="29"/>
        <v>117</v>
      </c>
      <c r="S127" s="54">
        <v>0.42</v>
      </c>
      <c r="T127" s="54">
        <v>0</v>
      </c>
      <c r="U127" s="54">
        <f t="shared" si="30"/>
        <v>0.42</v>
      </c>
      <c r="V127" s="54">
        <v>22.76</v>
      </c>
      <c r="W127" s="52">
        <f t="shared" si="31"/>
        <v>1.26</v>
      </c>
      <c r="X127" s="54">
        <f t="shared" si="32"/>
        <v>54.190476190476197</v>
      </c>
      <c r="Y127" s="50" t="str">
        <f t="shared" si="33"/>
        <v>è in grado</v>
      </c>
      <c r="Z127" s="50" t="str">
        <f t="shared" si="34"/>
        <v>non sottende</v>
      </c>
      <c r="AA127" s="54">
        <f t="shared" si="35"/>
        <v>18.063492063492063</v>
      </c>
      <c r="AB127" s="50" t="str">
        <f t="shared" si="36"/>
        <v>A</v>
      </c>
      <c r="AC127" s="50" t="str">
        <f t="shared" si="3"/>
        <v>SI</v>
      </c>
      <c r="AD127" s="50" t="str">
        <f t="shared" si="37"/>
        <v>Si</v>
      </c>
      <c r="AE127" s="50" t="s">
        <v>490</v>
      </c>
      <c r="AF127" s="55">
        <v>1.97</v>
      </c>
      <c r="AG127" s="55">
        <v>159</v>
      </c>
      <c r="AH127" s="55">
        <v>797</v>
      </c>
      <c r="AI127" s="55" t="str">
        <f t="shared" si="26"/>
        <v xml:space="preserve"> </v>
      </c>
      <c r="AJ127" s="53">
        <v>240.18</v>
      </c>
      <c r="AK127" s="53">
        <f t="shared" si="38"/>
        <v>0.56724123573986174</v>
      </c>
      <c r="AL127" s="53">
        <f t="shared" si="10"/>
        <v>136.24</v>
      </c>
      <c r="AM127" s="50" t="s">
        <v>190</v>
      </c>
      <c r="AN127" s="56" t="s">
        <v>222</v>
      </c>
      <c r="AO127" s="66"/>
      <c r="AP127" s="58" t="s">
        <v>223</v>
      </c>
      <c r="AQ127" s="58" t="s">
        <v>224</v>
      </c>
      <c r="AR127" s="58" t="s">
        <v>225</v>
      </c>
      <c r="AS127" s="58" t="s">
        <v>556</v>
      </c>
      <c r="AT127" s="50" t="s">
        <v>557</v>
      </c>
      <c r="AU127" s="1"/>
      <c r="AV127" s="1"/>
      <c r="AW127" s="1"/>
      <c r="AX127" s="1"/>
      <c r="AY127" s="1"/>
      <c r="AZ127" s="1"/>
      <c r="BA127" s="1"/>
      <c r="BB127" s="1"/>
      <c r="BC127" s="1"/>
      <c r="BD127" s="1"/>
      <c r="BE127" s="1"/>
      <c r="BF127" s="1"/>
      <c r="BG127" s="1"/>
    </row>
    <row r="128" spans="1:59" ht="14.25" customHeight="1" x14ac:dyDescent="0.25">
      <c r="A128" s="1"/>
      <c r="B128" s="50"/>
      <c r="C128" s="50" t="s">
        <v>714</v>
      </c>
      <c r="D128" s="50"/>
      <c r="E128" s="50" t="str">
        <f t="shared" si="0"/>
        <v>001B</v>
      </c>
      <c r="F128" s="50"/>
      <c r="G128" s="50" t="s">
        <v>551</v>
      </c>
      <c r="H128" s="50" t="s">
        <v>552</v>
      </c>
      <c r="I128" s="50" t="s">
        <v>715</v>
      </c>
      <c r="J128" s="50" t="s">
        <v>716</v>
      </c>
      <c r="K128" s="50" t="s">
        <v>141</v>
      </c>
      <c r="L128" s="50" t="s">
        <v>555</v>
      </c>
      <c r="M128" s="51" t="s">
        <v>221</v>
      </c>
      <c r="N128" s="52"/>
      <c r="O128" s="50" t="s">
        <v>151</v>
      </c>
      <c r="P128" s="50">
        <v>87</v>
      </c>
      <c r="Q128" s="53">
        <v>0</v>
      </c>
      <c r="R128" s="53">
        <f t="shared" si="29"/>
        <v>87</v>
      </c>
      <c r="S128" s="54">
        <v>0.2</v>
      </c>
      <c r="T128" s="54">
        <v>0</v>
      </c>
      <c r="U128" s="54">
        <f t="shared" si="30"/>
        <v>0.2</v>
      </c>
      <c r="V128" s="54">
        <v>40.51</v>
      </c>
      <c r="W128" s="52">
        <f t="shared" si="31"/>
        <v>0.75520833333333337</v>
      </c>
      <c r="X128" s="54">
        <f t="shared" si="32"/>
        <v>202.54999999999998</v>
      </c>
      <c r="Y128" s="50" t="str">
        <f t="shared" si="33"/>
        <v>è in grado</v>
      </c>
      <c r="Z128" s="50" t="str">
        <f t="shared" si="34"/>
        <v>non sottende</v>
      </c>
      <c r="AA128" s="54">
        <f t="shared" si="35"/>
        <v>53.640827586206889</v>
      </c>
      <c r="AB128" s="50" t="str">
        <f t="shared" si="36"/>
        <v>A</v>
      </c>
      <c r="AC128" s="50" t="str">
        <f t="shared" si="3"/>
        <v>SI</v>
      </c>
      <c r="AD128" s="50" t="str">
        <f t="shared" si="37"/>
        <v>Si</v>
      </c>
      <c r="AE128" s="50" t="s">
        <v>490</v>
      </c>
      <c r="AF128" s="55">
        <v>4.88</v>
      </c>
      <c r="AG128" s="55">
        <v>426</v>
      </c>
      <c r="AH128" s="55">
        <v>1323</v>
      </c>
      <c r="AI128" s="55" t="str">
        <f t="shared" si="26"/>
        <v xml:space="preserve"> </v>
      </c>
      <c r="AJ128" s="53">
        <v>199.94</v>
      </c>
      <c r="AK128" s="53">
        <f t="shared" si="38"/>
        <v>1.9280284085225567</v>
      </c>
      <c r="AL128" s="53">
        <f t="shared" si="10"/>
        <v>385.49</v>
      </c>
      <c r="AM128" s="50" t="s">
        <v>190</v>
      </c>
      <c r="AN128" s="56" t="s">
        <v>222</v>
      </c>
      <c r="AO128" s="66"/>
      <c r="AP128" s="58" t="s">
        <v>223</v>
      </c>
      <c r="AQ128" s="58" t="s">
        <v>224</v>
      </c>
      <c r="AR128" s="58" t="s">
        <v>225</v>
      </c>
      <c r="AS128" s="58" t="s">
        <v>556</v>
      </c>
      <c r="AT128" s="50" t="s">
        <v>557</v>
      </c>
      <c r="AU128" s="1"/>
      <c r="AV128" s="1"/>
      <c r="AW128" s="1"/>
      <c r="AX128" s="1"/>
      <c r="AY128" s="1"/>
      <c r="AZ128" s="1"/>
      <c r="BA128" s="1"/>
      <c r="BB128" s="1"/>
      <c r="BC128" s="1"/>
      <c r="BD128" s="1"/>
      <c r="BE128" s="1"/>
      <c r="BF128" s="1"/>
      <c r="BG128" s="1"/>
    </row>
    <row r="129" spans="1:59" ht="14.25" customHeight="1" x14ac:dyDescent="0.25">
      <c r="A129" s="1"/>
      <c r="B129" s="19"/>
      <c r="C129" s="90" t="s">
        <v>717</v>
      </c>
      <c r="D129" s="21"/>
      <c r="E129" s="21" t="str">
        <f t="shared" si="0"/>
        <v>001B</v>
      </c>
      <c r="F129" s="21"/>
      <c r="G129" s="21" t="s">
        <v>718</v>
      </c>
      <c r="H129" s="21" t="s">
        <v>95</v>
      </c>
      <c r="I129" s="21" t="s">
        <v>719</v>
      </c>
      <c r="J129" s="21" t="s">
        <v>720</v>
      </c>
      <c r="K129" s="21" t="s">
        <v>721</v>
      </c>
      <c r="L129" s="21"/>
      <c r="M129" s="21"/>
      <c r="N129" s="22"/>
      <c r="O129" s="21" t="s">
        <v>253</v>
      </c>
      <c r="P129" s="21"/>
      <c r="Q129" s="24"/>
      <c r="R129" s="24"/>
      <c r="S129" s="23"/>
      <c r="T129" s="23"/>
      <c r="U129" s="23"/>
      <c r="V129" s="23"/>
      <c r="W129" s="52">
        <f t="shared" si="31"/>
        <v>0</v>
      </c>
      <c r="X129" s="23"/>
      <c r="Y129" s="21"/>
      <c r="Z129" s="21"/>
      <c r="AA129" s="23"/>
      <c r="AB129" s="21"/>
      <c r="AC129" s="21" t="str">
        <f t="shared" si="3"/>
        <v>NO</v>
      </c>
      <c r="AD129" s="21"/>
      <c r="AE129" s="21"/>
      <c r="AF129" s="41"/>
      <c r="AG129" s="41"/>
      <c r="AH129" s="41"/>
      <c r="AI129" s="41"/>
      <c r="AJ129" s="24"/>
      <c r="AK129" s="24"/>
      <c r="AL129" s="24"/>
      <c r="AM129" s="21"/>
      <c r="AN129" s="56" t="s">
        <v>222</v>
      </c>
      <c r="AO129" s="28"/>
      <c r="AP129" s="29" t="s">
        <v>722</v>
      </c>
      <c r="AQ129" s="29" t="s">
        <v>723</v>
      </c>
      <c r="AR129" s="29"/>
      <c r="AS129" s="29"/>
      <c r="AT129" s="21"/>
      <c r="AU129" s="43"/>
      <c r="AV129" s="43"/>
      <c r="AW129" s="43"/>
      <c r="AX129" s="43"/>
      <c r="AY129" s="43"/>
      <c r="AZ129" s="43"/>
      <c r="BA129" s="43"/>
      <c r="BB129" s="43"/>
      <c r="BC129" s="43"/>
      <c r="BD129" s="43"/>
      <c r="BE129" s="43"/>
      <c r="BF129" s="1"/>
      <c r="BG129" s="1"/>
    </row>
    <row r="130" spans="1:59" ht="14.25" customHeight="1" x14ac:dyDescent="0.25">
      <c r="A130" s="1"/>
      <c r="B130" s="79"/>
      <c r="C130" s="31" t="s">
        <v>724</v>
      </c>
      <c r="D130" s="21"/>
      <c r="E130" s="21" t="str">
        <f t="shared" si="0"/>
        <v>001B</v>
      </c>
      <c r="F130" s="80"/>
      <c r="G130" s="31" t="s">
        <v>718</v>
      </c>
      <c r="H130" s="31" t="s">
        <v>95</v>
      </c>
      <c r="I130" s="31" t="s">
        <v>725</v>
      </c>
      <c r="J130" s="31" t="s">
        <v>726</v>
      </c>
      <c r="K130" s="31" t="s">
        <v>721</v>
      </c>
      <c r="L130" s="31" t="s">
        <v>727</v>
      </c>
      <c r="M130" s="31"/>
      <c r="N130" s="32"/>
      <c r="O130" s="31" t="s">
        <v>159</v>
      </c>
      <c r="P130" s="31">
        <v>121</v>
      </c>
      <c r="Q130" s="33">
        <v>37</v>
      </c>
      <c r="R130" s="33">
        <f>P130+Q130</f>
        <v>158</v>
      </c>
      <c r="S130" s="34">
        <v>0.28000000000000003</v>
      </c>
      <c r="T130" s="34">
        <v>2.74</v>
      </c>
      <c r="U130" s="34">
        <f>T130+S130</f>
        <v>3.0200000000000005</v>
      </c>
      <c r="V130" s="34">
        <v>20</v>
      </c>
      <c r="W130" s="52">
        <f t="shared" si="31"/>
        <v>6.32</v>
      </c>
      <c r="X130" s="34">
        <f>V130/U130</f>
        <v>6.6225165562913899</v>
      </c>
      <c r="Y130" s="31" t="str">
        <f>IF(V130&gt;W130, "è in grado", "non è in grado")</f>
        <v>è in grado</v>
      </c>
      <c r="Z130" s="31" t="str">
        <f>IF(R130&gt;10000, "sottende", "non sottende")</f>
        <v>non sottende</v>
      </c>
      <c r="AA130" s="34">
        <f>V130/W130</f>
        <v>3.1645569620253164</v>
      </c>
      <c r="AB130" s="31" t="str">
        <f>IF(R130&gt;10000, "B", IF(AA130&gt;=2, "A", "B"))</f>
        <v>A</v>
      </c>
      <c r="AC130" s="21" t="str">
        <f t="shared" si="3"/>
        <v>SI</v>
      </c>
      <c r="AD130" s="31" t="str">
        <f>IF(V130&gt;20, "Si", "No")</f>
        <v>No</v>
      </c>
      <c r="AE130" s="31" t="s">
        <v>490</v>
      </c>
      <c r="AF130" s="80">
        <v>15.1</v>
      </c>
      <c r="AG130" s="80">
        <v>1849.4</v>
      </c>
      <c r="AH130" s="80">
        <v>333</v>
      </c>
      <c r="AI130" s="41" t="str">
        <f>IF(AG130&gt;AH130, "Manufatto limitante", " ")</f>
        <v>Manufatto limitante</v>
      </c>
      <c r="AJ130" s="33">
        <v>35.799999999999997</v>
      </c>
      <c r="AK130" s="24">
        <f>((MIN(AG130:AH130))-V130)/AJ130</f>
        <v>8.7430167597765376</v>
      </c>
      <c r="AL130" s="24">
        <f>MIN(AG130:AH130)-V130</f>
        <v>313</v>
      </c>
      <c r="AM130" s="31" t="s">
        <v>147</v>
      </c>
      <c r="AN130" s="56" t="s">
        <v>222</v>
      </c>
      <c r="AO130" s="47">
        <v>44674</v>
      </c>
      <c r="AP130" s="36" t="s">
        <v>728</v>
      </c>
      <c r="AQ130" s="29" t="s">
        <v>313</v>
      </c>
      <c r="AR130" s="36" t="s">
        <v>544</v>
      </c>
      <c r="AS130" s="29"/>
      <c r="AT130" s="21"/>
      <c r="AU130" s="38"/>
      <c r="AV130" s="38"/>
      <c r="AW130" s="38"/>
      <c r="AX130" s="38"/>
      <c r="AY130" s="38"/>
      <c r="AZ130" s="38"/>
      <c r="BA130" s="38"/>
      <c r="BB130" s="38"/>
      <c r="BC130" s="38"/>
      <c r="BD130" s="38"/>
      <c r="BE130" s="38"/>
      <c r="BF130" s="1"/>
      <c r="BG130" s="1"/>
    </row>
    <row r="131" spans="1:59" ht="14.25" customHeight="1" x14ac:dyDescent="0.25">
      <c r="A131" s="1"/>
      <c r="B131" s="19"/>
      <c r="C131" s="91" t="s">
        <v>729</v>
      </c>
      <c r="D131" s="21"/>
      <c r="E131" s="21" t="str">
        <f t="shared" si="0"/>
        <v>001B</v>
      </c>
      <c r="F131" s="21" t="s">
        <v>730</v>
      </c>
      <c r="G131" s="21" t="s">
        <v>718</v>
      </c>
      <c r="H131" s="21" t="s">
        <v>95</v>
      </c>
      <c r="I131" s="21" t="s">
        <v>731</v>
      </c>
      <c r="J131" s="21" t="s">
        <v>732</v>
      </c>
      <c r="K131" s="21"/>
      <c r="L131" s="21"/>
      <c r="M131" s="21"/>
      <c r="N131" s="22"/>
      <c r="O131" s="21" t="s">
        <v>151</v>
      </c>
      <c r="P131" s="21"/>
      <c r="Q131" s="24"/>
      <c r="R131" s="24"/>
      <c r="S131" s="23"/>
      <c r="T131" s="23"/>
      <c r="U131" s="23"/>
      <c r="V131" s="23"/>
      <c r="W131" s="52">
        <f t="shared" si="31"/>
        <v>0</v>
      </c>
      <c r="X131" s="23"/>
      <c r="Y131" s="21"/>
      <c r="Z131" s="21"/>
      <c r="AA131" s="23"/>
      <c r="AB131" s="21"/>
      <c r="AC131" s="21" t="str">
        <f t="shared" si="3"/>
        <v>NO</v>
      </c>
      <c r="AD131" s="21"/>
      <c r="AE131" s="21"/>
      <c r="AF131" s="41"/>
      <c r="AG131" s="41"/>
      <c r="AH131" s="41"/>
      <c r="AI131" s="41"/>
      <c r="AJ131" s="24"/>
      <c r="AK131" s="24"/>
      <c r="AL131" s="24"/>
      <c r="AM131" s="21"/>
      <c r="AN131" s="56" t="s">
        <v>222</v>
      </c>
      <c r="AO131" s="28"/>
      <c r="AP131" s="29" t="s">
        <v>722</v>
      </c>
      <c r="AQ131" s="29" t="s">
        <v>723</v>
      </c>
      <c r="AR131" s="29"/>
      <c r="AS131" s="29"/>
      <c r="AT131" s="21"/>
      <c r="AU131" s="38"/>
      <c r="AV131" s="38"/>
      <c r="AW131" s="38"/>
      <c r="AX131" s="38"/>
      <c r="AY131" s="38"/>
      <c r="AZ131" s="38"/>
      <c r="BA131" s="38"/>
      <c r="BB131" s="38"/>
      <c r="BC131" s="38"/>
      <c r="BD131" s="38"/>
      <c r="BE131" s="38"/>
      <c r="BF131" s="1"/>
      <c r="BG131" s="1"/>
    </row>
    <row r="132" spans="1:59" ht="14.25" customHeight="1" x14ac:dyDescent="0.25">
      <c r="A132" s="1"/>
      <c r="B132" s="19"/>
      <c r="C132" s="21" t="s">
        <v>733</v>
      </c>
      <c r="D132" s="21"/>
      <c r="E132" s="21" t="str">
        <f t="shared" si="0"/>
        <v>001B</v>
      </c>
      <c r="F132" s="21"/>
      <c r="G132" s="21" t="s">
        <v>718</v>
      </c>
      <c r="H132" s="21" t="s">
        <v>95</v>
      </c>
      <c r="I132" s="21" t="s">
        <v>734</v>
      </c>
      <c r="J132" s="21" t="s">
        <v>735</v>
      </c>
      <c r="K132" s="21" t="s">
        <v>721</v>
      </c>
      <c r="L132" s="21" t="s">
        <v>736</v>
      </c>
      <c r="M132" s="21"/>
      <c r="N132" s="22"/>
      <c r="O132" s="21" t="s">
        <v>118</v>
      </c>
      <c r="P132" s="21">
        <v>2643</v>
      </c>
      <c r="Q132" s="24">
        <v>157</v>
      </c>
      <c r="R132" s="24">
        <f>P132+Q132</f>
        <v>2800</v>
      </c>
      <c r="S132" s="23">
        <v>6.22</v>
      </c>
      <c r="T132" s="23">
        <v>5.45</v>
      </c>
      <c r="U132" s="23">
        <f>T132+S132</f>
        <v>11.67</v>
      </c>
      <c r="V132" s="23">
        <v>30</v>
      </c>
      <c r="W132" s="52">
        <f t="shared" si="31"/>
        <v>29.560000000000002</v>
      </c>
      <c r="X132" s="23">
        <f>V132/U132</f>
        <v>2.5706940874035991</v>
      </c>
      <c r="Y132" s="21" t="str">
        <f>IF(V132&gt;W132, "è in grado", "non è in grado")</f>
        <v>è in grado</v>
      </c>
      <c r="Z132" s="21" t="str">
        <f>IF(R132&gt;10000, "sottende", "non sottende")</f>
        <v>non sottende</v>
      </c>
      <c r="AA132" s="23">
        <f>V132/W132</f>
        <v>1.0148849797023003</v>
      </c>
      <c r="AB132" s="21" t="str">
        <f>IF(R132&gt;10000, "B", IF(AA132&gt;=2, "A", "B"))</f>
        <v>B</v>
      </c>
      <c r="AC132" s="21" t="str">
        <f t="shared" si="3"/>
        <v>SI</v>
      </c>
      <c r="AD132" s="21" t="str">
        <f>IF(V132&gt;20, "Si", "No")</f>
        <v>Si</v>
      </c>
      <c r="AE132" s="21" t="s">
        <v>343</v>
      </c>
      <c r="AF132" s="41">
        <v>4.5599999999999996</v>
      </c>
      <c r="AG132" s="41">
        <v>701</v>
      </c>
      <c r="AH132" s="41">
        <v>1588</v>
      </c>
      <c r="AI132" s="41" t="str">
        <f>IF(AG132&gt;AH132, "Manufatto limitante", " ")</f>
        <v xml:space="preserve"> </v>
      </c>
      <c r="AJ132" s="24">
        <v>444.4</v>
      </c>
      <c r="AK132" s="24">
        <f>((MIN(AG132:AH132))-V132)/AJ132</f>
        <v>1.5099009900990099</v>
      </c>
      <c r="AL132" s="24">
        <f>MIN(AG132:AH132)-V132</f>
        <v>671</v>
      </c>
      <c r="AM132" s="21" t="s">
        <v>190</v>
      </c>
      <c r="AN132" s="56" t="s">
        <v>236</v>
      </c>
      <c r="AO132" s="28"/>
      <c r="AP132" s="29" t="s">
        <v>737</v>
      </c>
      <c r="AQ132" s="29" t="s">
        <v>238</v>
      </c>
      <c r="AR132" s="29" t="s">
        <v>544</v>
      </c>
      <c r="AS132" s="29"/>
      <c r="AT132" s="21"/>
      <c r="AU132" s="38"/>
      <c r="AV132" s="38"/>
      <c r="AW132" s="38"/>
      <c r="AX132" s="38"/>
      <c r="AY132" s="38"/>
      <c r="AZ132" s="38"/>
      <c r="BA132" s="38"/>
      <c r="BB132" s="38"/>
      <c r="BC132" s="38"/>
      <c r="BD132" s="38"/>
      <c r="BE132" s="38"/>
      <c r="BF132" s="1"/>
      <c r="BG132" s="1"/>
    </row>
    <row r="133" spans="1:59" ht="14.25" customHeight="1" x14ac:dyDescent="0.25">
      <c r="A133" s="1"/>
      <c r="B133" s="19"/>
      <c r="C133" s="90" t="s">
        <v>738</v>
      </c>
      <c r="D133" s="21"/>
      <c r="E133" s="21" t="str">
        <f t="shared" si="0"/>
        <v>001B</v>
      </c>
      <c r="F133" s="21"/>
      <c r="G133" s="21" t="s">
        <v>718</v>
      </c>
      <c r="H133" s="21" t="s">
        <v>95</v>
      </c>
      <c r="I133" s="21" t="s">
        <v>739</v>
      </c>
      <c r="J133" s="21" t="s">
        <v>740</v>
      </c>
      <c r="K133" s="21" t="s">
        <v>721</v>
      </c>
      <c r="L133" s="21"/>
      <c r="M133" s="21"/>
      <c r="N133" s="22"/>
      <c r="O133" s="21" t="s">
        <v>253</v>
      </c>
      <c r="P133" s="21"/>
      <c r="Q133" s="24"/>
      <c r="R133" s="24"/>
      <c r="S133" s="23"/>
      <c r="T133" s="23"/>
      <c r="U133" s="23"/>
      <c r="V133" s="23"/>
      <c r="W133" s="52">
        <f t="shared" si="31"/>
        <v>0</v>
      </c>
      <c r="X133" s="23"/>
      <c r="Y133" s="21"/>
      <c r="Z133" s="21"/>
      <c r="AA133" s="23"/>
      <c r="AB133" s="21"/>
      <c r="AC133" s="21" t="str">
        <f t="shared" si="3"/>
        <v>NO</v>
      </c>
      <c r="AD133" s="21"/>
      <c r="AE133" s="21"/>
      <c r="AF133" s="41"/>
      <c r="AG133" s="41"/>
      <c r="AH133" s="41"/>
      <c r="AI133" s="41"/>
      <c r="AJ133" s="24"/>
      <c r="AK133" s="24"/>
      <c r="AL133" s="24"/>
      <c r="AM133" s="21"/>
      <c r="AN133" s="56" t="s">
        <v>222</v>
      </c>
      <c r="AO133" s="28"/>
      <c r="AP133" s="29" t="s">
        <v>722</v>
      </c>
      <c r="AQ133" s="29" t="s">
        <v>723</v>
      </c>
      <c r="AR133" s="29"/>
      <c r="AS133" s="29"/>
      <c r="AT133" s="21"/>
      <c r="AU133" s="38"/>
      <c r="AV133" s="38"/>
      <c r="AW133" s="38"/>
      <c r="AX133" s="38"/>
      <c r="AY133" s="38"/>
      <c r="AZ133" s="38"/>
      <c r="BA133" s="38"/>
      <c r="BB133" s="38"/>
      <c r="BC133" s="38"/>
      <c r="BD133" s="38"/>
      <c r="BE133" s="38"/>
      <c r="BF133" s="1"/>
      <c r="BG133" s="1"/>
    </row>
    <row r="134" spans="1:59" ht="14.25" customHeight="1" x14ac:dyDescent="0.25">
      <c r="A134" s="1"/>
      <c r="B134" s="19"/>
      <c r="C134" s="21" t="s">
        <v>741</v>
      </c>
      <c r="D134" s="21"/>
      <c r="E134" s="21" t="str">
        <f t="shared" si="0"/>
        <v>001B</v>
      </c>
      <c r="F134" s="21"/>
      <c r="G134" s="21" t="s">
        <v>718</v>
      </c>
      <c r="H134" s="21" t="s">
        <v>95</v>
      </c>
      <c r="I134" s="21" t="s">
        <v>742</v>
      </c>
      <c r="J134" s="21" t="s">
        <v>743</v>
      </c>
      <c r="K134" s="21" t="s">
        <v>721</v>
      </c>
      <c r="L134" s="21" t="s">
        <v>744</v>
      </c>
      <c r="M134" s="21" t="s">
        <v>286</v>
      </c>
      <c r="N134" s="22"/>
      <c r="O134" s="21" t="s">
        <v>151</v>
      </c>
      <c r="P134" s="21">
        <v>929</v>
      </c>
      <c r="Q134" s="24">
        <v>0</v>
      </c>
      <c r="R134" s="24">
        <f t="shared" ref="R134:R190" si="39">P134+Q134</f>
        <v>929</v>
      </c>
      <c r="S134" s="23">
        <v>2.1800000000000002</v>
      </c>
      <c r="T134" s="23">
        <v>0</v>
      </c>
      <c r="U134" s="23">
        <f t="shared" ref="U134:U190" si="40">T134+S134</f>
        <v>2.1800000000000002</v>
      </c>
      <c r="V134" s="23">
        <v>94.31</v>
      </c>
      <c r="W134" s="52">
        <f t="shared" si="31"/>
        <v>8.0642361111111107</v>
      </c>
      <c r="X134" s="23">
        <f t="shared" ref="X134:X141" si="41">V134/U134</f>
        <v>43.261467889908253</v>
      </c>
      <c r="Y134" s="21" t="str">
        <f t="shared" ref="Y134:Y141" si="42">IF(V134&gt;W134, "è in grado", "non è in grado")</f>
        <v>è in grado</v>
      </c>
      <c r="Z134" s="21" t="str">
        <f t="shared" ref="Z134:Z141" si="43">IF(R134&gt;10000, "sottende", "non sottende")</f>
        <v>non sottende</v>
      </c>
      <c r="AA134" s="23">
        <f t="shared" ref="AA134:AA141" si="44">V134/W134</f>
        <v>11.694846071044134</v>
      </c>
      <c r="AB134" s="21" t="str">
        <f t="shared" ref="AB134:AB141" si="45">IF(R134&gt;10000, "B", IF(AA134&gt;=2, "A", "B"))</f>
        <v>A</v>
      </c>
      <c r="AC134" s="21" t="str">
        <f t="shared" si="3"/>
        <v>SI</v>
      </c>
      <c r="AD134" s="21" t="str">
        <f t="shared" ref="AD134:AD141" si="46">IF(V134&gt;20, "Si", "No")</f>
        <v>Si</v>
      </c>
      <c r="AE134" s="21" t="s">
        <v>147</v>
      </c>
      <c r="AF134" s="41">
        <v>15.28</v>
      </c>
      <c r="AG134" s="41">
        <v>1385</v>
      </c>
      <c r="AH134" s="41">
        <v>1394</v>
      </c>
      <c r="AI134" s="41" t="str">
        <f t="shared" ref="AI134:AI190" si="47">IF(AG134&gt;AH134, "Manufatto limitante", " ")</f>
        <v xml:space="preserve"> </v>
      </c>
      <c r="AJ134" s="24">
        <v>204.7</v>
      </c>
      <c r="AK134" s="24">
        <f t="shared" ref="AK134:AK145" si="48">((MIN(AG134:AH134))-V134)/AJ134</f>
        <v>6.3052760136785544</v>
      </c>
      <c r="AL134" s="24">
        <f t="shared" ref="AL134:AL145" si="49">MIN(AG134:AH134)-V134</f>
        <v>1290.69</v>
      </c>
      <c r="AM134" s="21" t="s">
        <v>190</v>
      </c>
      <c r="AN134" s="56" t="s">
        <v>222</v>
      </c>
      <c r="AO134" s="28">
        <v>2017</v>
      </c>
      <c r="AP134" s="29" t="s">
        <v>745</v>
      </c>
      <c r="AQ134" s="29" t="s">
        <v>238</v>
      </c>
      <c r="AR134" s="29" t="s">
        <v>544</v>
      </c>
      <c r="AS134" s="29"/>
      <c r="AT134" s="92" t="s">
        <v>746</v>
      </c>
      <c r="AU134" s="38"/>
      <c r="AV134" s="38"/>
      <c r="AW134" s="38"/>
      <c r="AX134" s="38"/>
      <c r="AY134" s="38"/>
      <c r="AZ134" s="38"/>
      <c r="BA134" s="38"/>
      <c r="BB134" s="38"/>
      <c r="BC134" s="38"/>
      <c r="BD134" s="38"/>
      <c r="BE134" s="38"/>
      <c r="BF134" s="1"/>
      <c r="BG134" s="1"/>
    </row>
    <row r="135" spans="1:59" ht="14.25" customHeight="1" x14ac:dyDescent="0.25">
      <c r="A135" s="1"/>
      <c r="B135" s="19"/>
      <c r="C135" s="21" t="s">
        <v>747</v>
      </c>
      <c r="D135" s="21"/>
      <c r="E135" s="21" t="str">
        <f t="shared" si="0"/>
        <v>001B</v>
      </c>
      <c r="F135" s="21"/>
      <c r="G135" s="21" t="s">
        <v>718</v>
      </c>
      <c r="H135" s="21" t="s">
        <v>95</v>
      </c>
      <c r="I135" s="21" t="s">
        <v>748</v>
      </c>
      <c r="J135" s="21" t="s">
        <v>749</v>
      </c>
      <c r="K135" s="21" t="s">
        <v>721</v>
      </c>
      <c r="L135" s="21" t="s">
        <v>750</v>
      </c>
      <c r="M135" s="21" t="s">
        <v>286</v>
      </c>
      <c r="N135" s="22"/>
      <c r="O135" s="21" t="s">
        <v>159</v>
      </c>
      <c r="P135" s="21">
        <v>483</v>
      </c>
      <c r="Q135" s="24">
        <v>0</v>
      </c>
      <c r="R135" s="24">
        <f t="shared" si="39"/>
        <v>483</v>
      </c>
      <c r="S135" s="23">
        <v>1.1399999999999999</v>
      </c>
      <c r="T135" s="23">
        <v>0</v>
      </c>
      <c r="U135" s="23">
        <f t="shared" si="40"/>
        <v>1.1399999999999999</v>
      </c>
      <c r="V135" s="23">
        <v>4.3</v>
      </c>
      <c r="W135" s="52">
        <f t="shared" si="31"/>
        <v>4.192708333333333</v>
      </c>
      <c r="X135" s="23">
        <f t="shared" si="41"/>
        <v>3.7719298245614037</v>
      </c>
      <c r="Y135" s="21" t="str">
        <f t="shared" si="42"/>
        <v>è in grado</v>
      </c>
      <c r="Z135" s="21" t="str">
        <f t="shared" si="43"/>
        <v>non sottende</v>
      </c>
      <c r="AA135" s="23">
        <f t="shared" si="44"/>
        <v>1.0255900621118013</v>
      </c>
      <c r="AB135" s="21" t="str">
        <f t="shared" si="45"/>
        <v>B</v>
      </c>
      <c r="AC135" s="21" t="str">
        <f t="shared" si="3"/>
        <v>SI</v>
      </c>
      <c r="AD135" s="21" t="str">
        <f t="shared" si="46"/>
        <v>No</v>
      </c>
      <c r="AE135" s="21" t="s">
        <v>605</v>
      </c>
      <c r="AF135" s="41">
        <v>19.5</v>
      </c>
      <c r="AG135" s="41">
        <v>1875</v>
      </c>
      <c r="AH135" s="41">
        <v>3571</v>
      </c>
      <c r="AI135" s="41" t="str">
        <f t="shared" si="47"/>
        <v xml:space="preserve"> </v>
      </c>
      <c r="AJ135" s="24">
        <v>182.4</v>
      </c>
      <c r="AK135" s="24">
        <f t="shared" si="48"/>
        <v>10.256030701754385</v>
      </c>
      <c r="AL135" s="24">
        <f t="shared" si="49"/>
        <v>1870.7</v>
      </c>
      <c r="AM135" s="21" t="s">
        <v>190</v>
      </c>
      <c r="AN135" s="56" t="s">
        <v>236</v>
      </c>
      <c r="AO135" s="47">
        <v>44674</v>
      </c>
      <c r="AP135" s="29" t="s">
        <v>751</v>
      </c>
      <c r="AQ135" s="29" t="s">
        <v>313</v>
      </c>
      <c r="AR135" s="29" t="s">
        <v>544</v>
      </c>
      <c r="AS135" s="29"/>
      <c r="AT135" s="21"/>
      <c r="AU135" s="38"/>
      <c r="AV135" s="38"/>
      <c r="AW135" s="38"/>
      <c r="AX135" s="38"/>
      <c r="AY135" s="38"/>
      <c r="AZ135" s="38"/>
      <c r="BA135" s="38"/>
      <c r="BB135" s="38"/>
      <c r="BC135" s="38"/>
      <c r="BD135" s="38"/>
      <c r="BE135" s="38"/>
      <c r="BF135" s="1"/>
      <c r="BG135" s="1"/>
    </row>
    <row r="136" spans="1:59" ht="14.25" customHeight="1" x14ac:dyDescent="0.25">
      <c r="A136" s="1"/>
      <c r="B136" s="19"/>
      <c r="C136" s="21" t="s">
        <v>752</v>
      </c>
      <c r="D136" s="21"/>
      <c r="E136" s="21" t="str">
        <f t="shared" si="0"/>
        <v>001B</v>
      </c>
      <c r="F136" s="41"/>
      <c r="G136" s="21" t="s">
        <v>718</v>
      </c>
      <c r="H136" s="21" t="s">
        <v>95</v>
      </c>
      <c r="I136" s="21" t="s">
        <v>753</v>
      </c>
      <c r="J136" s="21" t="s">
        <v>754</v>
      </c>
      <c r="K136" s="21" t="s">
        <v>721</v>
      </c>
      <c r="L136" s="21" t="s">
        <v>755</v>
      </c>
      <c r="M136" s="21" t="s">
        <v>286</v>
      </c>
      <c r="N136" s="22"/>
      <c r="O136" s="21" t="s">
        <v>151</v>
      </c>
      <c r="P136" s="21">
        <v>467</v>
      </c>
      <c r="Q136" s="24">
        <v>113</v>
      </c>
      <c r="R136" s="24">
        <f t="shared" si="39"/>
        <v>580</v>
      </c>
      <c r="S136" s="23">
        <v>1.1000000000000001</v>
      </c>
      <c r="T136" s="23">
        <v>2.48</v>
      </c>
      <c r="U136" s="23">
        <f t="shared" si="40"/>
        <v>3.58</v>
      </c>
      <c r="V136" s="23">
        <v>116.88</v>
      </c>
      <c r="W136" s="52">
        <f t="shared" si="31"/>
        <v>8.26</v>
      </c>
      <c r="X136" s="23">
        <f t="shared" si="41"/>
        <v>32.648044692737429</v>
      </c>
      <c r="Y136" s="21" t="str">
        <f t="shared" si="42"/>
        <v>è in grado</v>
      </c>
      <c r="Z136" s="21" t="str">
        <f t="shared" si="43"/>
        <v>non sottende</v>
      </c>
      <c r="AA136" s="23">
        <f t="shared" si="44"/>
        <v>14.150121065375302</v>
      </c>
      <c r="AB136" s="21" t="str">
        <f t="shared" si="45"/>
        <v>A</v>
      </c>
      <c r="AC136" s="21" t="str">
        <f t="shared" si="3"/>
        <v>SI</v>
      </c>
      <c r="AD136" s="21" t="str">
        <f t="shared" si="46"/>
        <v>Si</v>
      </c>
      <c r="AE136" s="21" t="s">
        <v>147</v>
      </c>
      <c r="AF136" s="41">
        <v>13</v>
      </c>
      <c r="AG136" s="41">
        <v>1369</v>
      </c>
      <c r="AH136" s="41">
        <v>922</v>
      </c>
      <c r="AI136" s="41" t="str">
        <f t="shared" si="47"/>
        <v>Manufatto limitante</v>
      </c>
      <c r="AJ136" s="24">
        <v>125</v>
      </c>
      <c r="AK136" s="24">
        <f t="shared" si="48"/>
        <v>6.4409600000000005</v>
      </c>
      <c r="AL136" s="24">
        <f t="shared" si="49"/>
        <v>805.12</v>
      </c>
      <c r="AM136" s="21" t="s">
        <v>190</v>
      </c>
      <c r="AN136" s="56" t="s">
        <v>236</v>
      </c>
      <c r="AO136" s="28">
        <v>2017</v>
      </c>
      <c r="AP136" s="29" t="s">
        <v>756</v>
      </c>
      <c r="AQ136" s="29" t="s">
        <v>238</v>
      </c>
      <c r="AR136" s="29" t="s">
        <v>544</v>
      </c>
      <c r="AS136" s="29"/>
      <c r="AT136" s="92" t="s">
        <v>746</v>
      </c>
      <c r="AU136" s="38"/>
      <c r="AV136" s="38"/>
      <c r="AW136" s="38"/>
      <c r="AX136" s="38"/>
      <c r="AY136" s="38"/>
      <c r="AZ136" s="38"/>
      <c r="BA136" s="38"/>
      <c r="BB136" s="38"/>
      <c r="BC136" s="38"/>
      <c r="BD136" s="38"/>
      <c r="BE136" s="38"/>
      <c r="BF136" s="1"/>
      <c r="BG136" s="1"/>
    </row>
    <row r="137" spans="1:59" ht="14.25" customHeight="1" x14ac:dyDescent="0.25">
      <c r="A137" s="1"/>
      <c r="B137" s="19"/>
      <c r="C137" s="21" t="s">
        <v>757</v>
      </c>
      <c r="D137" s="21"/>
      <c r="E137" s="21" t="str">
        <f t="shared" si="0"/>
        <v>001B</v>
      </c>
      <c r="F137" s="21" t="s">
        <v>758</v>
      </c>
      <c r="G137" s="21" t="s">
        <v>718</v>
      </c>
      <c r="H137" s="21" t="s">
        <v>95</v>
      </c>
      <c r="I137" s="21" t="s">
        <v>759</v>
      </c>
      <c r="J137" s="21" t="s">
        <v>760</v>
      </c>
      <c r="K137" s="21" t="s">
        <v>721</v>
      </c>
      <c r="L137" s="21" t="s">
        <v>761</v>
      </c>
      <c r="M137" s="76" t="s">
        <v>221</v>
      </c>
      <c r="N137" s="22"/>
      <c r="O137" s="21" t="s">
        <v>151</v>
      </c>
      <c r="P137" s="21">
        <v>1935</v>
      </c>
      <c r="Q137" s="24">
        <v>37</v>
      </c>
      <c r="R137" s="24">
        <f t="shared" si="39"/>
        <v>1972</v>
      </c>
      <c r="S137" s="23">
        <v>4.55</v>
      </c>
      <c r="T137" s="23">
        <v>2.74</v>
      </c>
      <c r="U137" s="23">
        <f t="shared" si="40"/>
        <v>7.29</v>
      </c>
      <c r="V137" s="23">
        <v>286.7</v>
      </c>
      <c r="W137" s="52">
        <f t="shared" si="31"/>
        <v>19.13</v>
      </c>
      <c r="X137" s="23">
        <f t="shared" si="41"/>
        <v>39.327846364883399</v>
      </c>
      <c r="Y137" s="21" t="str">
        <f t="shared" si="42"/>
        <v>è in grado</v>
      </c>
      <c r="Z137" s="21" t="str">
        <f t="shared" si="43"/>
        <v>non sottende</v>
      </c>
      <c r="AA137" s="23">
        <f t="shared" si="44"/>
        <v>14.986931521170936</v>
      </c>
      <c r="AB137" s="21" t="str">
        <f t="shared" si="45"/>
        <v>A</v>
      </c>
      <c r="AC137" s="21" t="str">
        <f t="shared" si="3"/>
        <v>SI</v>
      </c>
      <c r="AD137" s="21" t="str">
        <f t="shared" si="46"/>
        <v>Si</v>
      </c>
      <c r="AE137" s="21" t="s">
        <v>147</v>
      </c>
      <c r="AF137" s="41">
        <v>19.329999999999998</v>
      </c>
      <c r="AG137" s="41">
        <v>1787</v>
      </c>
      <c r="AH137" s="41">
        <v>1157</v>
      </c>
      <c r="AI137" s="41" t="str">
        <f t="shared" si="47"/>
        <v>Manufatto limitante</v>
      </c>
      <c r="AJ137" s="24">
        <v>105.9</v>
      </c>
      <c r="AK137" s="24">
        <f t="shared" si="48"/>
        <v>8.2181303116147308</v>
      </c>
      <c r="AL137" s="24">
        <f t="shared" si="49"/>
        <v>870.3</v>
      </c>
      <c r="AM137" s="21" t="s">
        <v>190</v>
      </c>
      <c r="AN137" s="56" t="s">
        <v>222</v>
      </c>
      <c r="AO137" s="47"/>
      <c r="AP137" s="29" t="s">
        <v>223</v>
      </c>
      <c r="AQ137" s="29" t="s">
        <v>224</v>
      </c>
      <c r="AR137" s="29" t="s">
        <v>225</v>
      </c>
      <c r="AS137" s="29" t="s">
        <v>92</v>
      </c>
      <c r="AT137" s="21"/>
      <c r="AU137" s="38"/>
      <c r="AV137" s="38"/>
      <c r="AW137" s="38"/>
      <c r="AX137" s="38"/>
      <c r="AY137" s="38"/>
      <c r="AZ137" s="38"/>
      <c r="BA137" s="38"/>
      <c r="BB137" s="38"/>
      <c r="BC137" s="38"/>
      <c r="BD137" s="38"/>
      <c r="BE137" s="38"/>
      <c r="BF137" s="1"/>
      <c r="BG137" s="1"/>
    </row>
    <row r="138" spans="1:59" ht="14.25" customHeight="1" x14ac:dyDescent="0.25">
      <c r="A138" s="1"/>
      <c r="B138" s="19"/>
      <c r="C138" s="21" t="s">
        <v>762</v>
      </c>
      <c r="D138" s="21" t="s">
        <v>763</v>
      </c>
      <c r="E138" s="21" t="str">
        <f t="shared" si="0"/>
        <v>PP0200140003001B</v>
      </c>
      <c r="F138" s="21"/>
      <c r="G138" s="21" t="s">
        <v>764</v>
      </c>
      <c r="H138" s="21" t="s">
        <v>95</v>
      </c>
      <c r="I138" s="21" t="s">
        <v>765</v>
      </c>
      <c r="J138" s="21" t="s">
        <v>766</v>
      </c>
      <c r="K138" s="21" t="s">
        <v>767</v>
      </c>
      <c r="L138" s="21" t="s">
        <v>768</v>
      </c>
      <c r="M138" s="76" t="s">
        <v>221</v>
      </c>
      <c r="N138" s="22"/>
      <c r="O138" s="21" t="s">
        <v>151</v>
      </c>
      <c r="P138" s="21">
        <v>80</v>
      </c>
      <c r="Q138" s="24">
        <v>0</v>
      </c>
      <c r="R138" s="24">
        <f t="shared" si="39"/>
        <v>80</v>
      </c>
      <c r="S138" s="23">
        <v>0.19</v>
      </c>
      <c r="T138" s="23">
        <v>0</v>
      </c>
      <c r="U138" s="23">
        <f t="shared" si="40"/>
        <v>0.19</v>
      </c>
      <c r="V138" s="23">
        <v>42.4</v>
      </c>
      <c r="W138" s="52">
        <f t="shared" si="31"/>
        <v>0.69444444444444442</v>
      </c>
      <c r="X138" s="23">
        <f t="shared" si="41"/>
        <v>223.15789473684208</v>
      </c>
      <c r="Y138" s="21" t="str">
        <f t="shared" si="42"/>
        <v>è in grado</v>
      </c>
      <c r="Z138" s="21" t="str">
        <f t="shared" si="43"/>
        <v>non sottende</v>
      </c>
      <c r="AA138" s="23">
        <f t="shared" si="44"/>
        <v>61.055999999999997</v>
      </c>
      <c r="AB138" s="21" t="str">
        <f t="shared" si="45"/>
        <v>A</v>
      </c>
      <c r="AC138" s="21" t="str">
        <f t="shared" si="3"/>
        <v>SI</v>
      </c>
      <c r="AD138" s="21" t="str">
        <f t="shared" si="46"/>
        <v>Si</v>
      </c>
      <c r="AE138" s="21" t="s">
        <v>147</v>
      </c>
      <c r="AF138" s="41">
        <v>2.9</v>
      </c>
      <c r="AG138" s="41">
        <v>304</v>
      </c>
      <c r="AH138" s="41">
        <v>629</v>
      </c>
      <c r="AI138" s="41" t="str">
        <f t="shared" si="47"/>
        <v xml:space="preserve"> </v>
      </c>
      <c r="AJ138" s="24">
        <v>219.98</v>
      </c>
      <c r="AK138" s="24">
        <f t="shared" si="48"/>
        <v>1.189199018092554</v>
      </c>
      <c r="AL138" s="24">
        <f t="shared" si="49"/>
        <v>261.60000000000002</v>
      </c>
      <c r="AM138" s="21" t="s">
        <v>190</v>
      </c>
      <c r="AN138" s="56" t="s">
        <v>222</v>
      </c>
      <c r="AO138" s="47">
        <v>45412</v>
      </c>
      <c r="AP138" s="29" t="s">
        <v>769</v>
      </c>
      <c r="AQ138" s="29" t="s">
        <v>224</v>
      </c>
      <c r="AR138" s="29" t="s">
        <v>225</v>
      </c>
      <c r="AS138" s="29" t="s">
        <v>92</v>
      </c>
      <c r="AT138" s="21"/>
      <c r="AU138" s="43"/>
      <c r="AV138" s="43"/>
      <c r="AW138" s="43"/>
      <c r="AX138" s="43"/>
      <c r="AY138" s="43"/>
      <c r="AZ138" s="43"/>
      <c r="BA138" s="43"/>
      <c r="BB138" s="43"/>
      <c r="BC138" s="43"/>
      <c r="BD138" s="43"/>
      <c r="BE138" s="43"/>
      <c r="BF138" s="1"/>
      <c r="BG138" s="1"/>
    </row>
    <row r="139" spans="1:59" ht="14.25" customHeight="1" x14ac:dyDescent="0.25">
      <c r="A139" s="1"/>
      <c r="B139" s="19"/>
      <c r="C139" s="93" t="s">
        <v>770</v>
      </c>
      <c r="D139" s="21" t="s">
        <v>771</v>
      </c>
      <c r="E139" s="21" t="str">
        <f t="shared" si="0"/>
        <v>PP0200140009001B</v>
      </c>
      <c r="F139" s="31" t="s">
        <v>772</v>
      </c>
      <c r="G139" s="31" t="s">
        <v>764</v>
      </c>
      <c r="H139" s="31" t="s">
        <v>95</v>
      </c>
      <c r="I139" s="31" t="s">
        <v>773</v>
      </c>
      <c r="J139" s="31" t="s">
        <v>774</v>
      </c>
      <c r="K139" s="21" t="s">
        <v>767</v>
      </c>
      <c r="L139" s="31" t="s">
        <v>775</v>
      </c>
      <c r="M139" s="31"/>
      <c r="N139" s="32"/>
      <c r="O139" s="21" t="s">
        <v>151</v>
      </c>
      <c r="P139" s="31">
        <v>81</v>
      </c>
      <c r="Q139" s="33">
        <v>0</v>
      </c>
      <c r="R139" s="33">
        <f t="shared" si="39"/>
        <v>81</v>
      </c>
      <c r="S139" s="34">
        <v>0.19</v>
      </c>
      <c r="T139" s="34">
        <v>0</v>
      </c>
      <c r="U139" s="34">
        <f t="shared" si="40"/>
        <v>0.19</v>
      </c>
      <c r="V139" s="34">
        <v>20.12</v>
      </c>
      <c r="W139" s="52">
        <f t="shared" si="31"/>
        <v>0.703125</v>
      </c>
      <c r="X139" s="34">
        <f t="shared" si="41"/>
        <v>105.89473684210526</v>
      </c>
      <c r="Y139" s="31" t="str">
        <f t="shared" si="42"/>
        <v>è in grado</v>
      </c>
      <c r="Z139" s="31" t="str">
        <f t="shared" si="43"/>
        <v>non sottende</v>
      </c>
      <c r="AA139" s="34">
        <f t="shared" si="44"/>
        <v>28.615111111111112</v>
      </c>
      <c r="AB139" s="31" t="str">
        <f t="shared" si="45"/>
        <v>A</v>
      </c>
      <c r="AC139" s="21" t="str">
        <f t="shared" si="3"/>
        <v>SI</v>
      </c>
      <c r="AD139" s="31" t="str">
        <f t="shared" si="46"/>
        <v>Si</v>
      </c>
      <c r="AE139" s="31" t="s">
        <v>147</v>
      </c>
      <c r="AF139" s="80">
        <v>2.14</v>
      </c>
      <c r="AG139" s="80">
        <v>277</v>
      </c>
      <c r="AH139" s="80">
        <v>481</v>
      </c>
      <c r="AI139" s="41" t="str">
        <f t="shared" si="47"/>
        <v xml:space="preserve"> </v>
      </c>
      <c r="AJ139" s="33">
        <v>228.05</v>
      </c>
      <c r="AK139" s="24">
        <f t="shared" si="48"/>
        <v>1.1264196448147334</v>
      </c>
      <c r="AL139" s="24">
        <f t="shared" si="49"/>
        <v>256.88</v>
      </c>
      <c r="AM139" s="31" t="s">
        <v>190</v>
      </c>
      <c r="AN139" s="56" t="s">
        <v>222</v>
      </c>
      <c r="AO139" s="47">
        <v>45412</v>
      </c>
      <c r="AP139" s="29" t="s">
        <v>776</v>
      </c>
      <c r="AQ139" s="29" t="s">
        <v>255</v>
      </c>
      <c r="AR139" s="29" t="s">
        <v>225</v>
      </c>
      <c r="AS139" s="29" t="s">
        <v>92</v>
      </c>
      <c r="AT139" s="21"/>
      <c r="AU139" s="38"/>
      <c r="AV139" s="38"/>
      <c r="AW139" s="38"/>
      <c r="AX139" s="38"/>
      <c r="AY139" s="38"/>
      <c r="AZ139" s="38"/>
      <c r="BA139" s="38"/>
      <c r="BB139" s="38"/>
      <c r="BC139" s="38"/>
      <c r="BD139" s="38"/>
      <c r="BE139" s="38"/>
      <c r="BF139" s="1"/>
      <c r="BG139" s="1"/>
    </row>
    <row r="140" spans="1:59" ht="14.25" customHeight="1" x14ac:dyDescent="0.25">
      <c r="A140" s="1"/>
      <c r="B140" s="19"/>
      <c r="C140" s="21" t="s">
        <v>777</v>
      </c>
      <c r="D140" s="21" t="s">
        <v>778</v>
      </c>
      <c r="E140" s="21" t="str">
        <f t="shared" si="0"/>
        <v>PP0200140014001B</v>
      </c>
      <c r="F140" s="21"/>
      <c r="G140" s="31" t="s">
        <v>764</v>
      </c>
      <c r="H140" s="21" t="s">
        <v>95</v>
      </c>
      <c r="I140" s="21" t="s">
        <v>779</v>
      </c>
      <c r="J140" s="21" t="s">
        <v>780</v>
      </c>
      <c r="K140" s="21" t="s">
        <v>767</v>
      </c>
      <c r="L140" s="21" t="s">
        <v>727</v>
      </c>
      <c r="M140" s="21"/>
      <c r="N140" s="22"/>
      <c r="O140" s="21" t="s">
        <v>118</v>
      </c>
      <c r="P140" s="21">
        <v>4159</v>
      </c>
      <c r="Q140" s="24">
        <v>214.5</v>
      </c>
      <c r="R140" s="24">
        <f t="shared" si="39"/>
        <v>4373.5</v>
      </c>
      <c r="S140" s="23">
        <v>9.7799999999999994</v>
      </c>
      <c r="T140" s="23">
        <v>6.6</v>
      </c>
      <c r="U140" s="23">
        <f t="shared" si="40"/>
        <v>16.38</v>
      </c>
      <c r="V140" s="23">
        <v>139</v>
      </c>
      <c r="W140" s="52">
        <f t="shared" si="31"/>
        <v>42.539999999999992</v>
      </c>
      <c r="X140" s="23">
        <f t="shared" si="41"/>
        <v>8.485958485958486</v>
      </c>
      <c r="Y140" s="21" t="str">
        <f t="shared" si="42"/>
        <v>è in grado</v>
      </c>
      <c r="Z140" s="21" t="str">
        <f t="shared" si="43"/>
        <v>non sottende</v>
      </c>
      <c r="AA140" s="23">
        <f t="shared" si="44"/>
        <v>3.2675129290079932</v>
      </c>
      <c r="AB140" s="21" t="str">
        <f t="shared" si="45"/>
        <v>A</v>
      </c>
      <c r="AC140" s="21" t="str">
        <f t="shared" si="3"/>
        <v>SI</v>
      </c>
      <c r="AD140" s="21" t="str">
        <f t="shared" si="46"/>
        <v>Si</v>
      </c>
      <c r="AE140" s="21" t="s">
        <v>343</v>
      </c>
      <c r="AF140" s="41">
        <v>0.11</v>
      </c>
      <c r="AG140" s="41">
        <v>43</v>
      </c>
      <c r="AH140" s="41">
        <v>304</v>
      </c>
      <c r="AI140" s="41" t="str">
        <f t="shared" si="47"/>
        <v xml:space="preserve"> </v>
      </c>
      <c r="AJ140" s="24">
        <v>0</v>
      </c>
      <c r="AK140" s="24" t="e">
        <f t="shared" si="48"/>
        <v>#DIV/0!</v>
      </c>
      <c r="AL140" s="24">
        <f t="shared" si="49"/>
        <v>-96</v>
      </c>
      <c r="AM140" s="21" t="s">
        <v>147</v>
      </c>
      <c r="AN140" s="56" t="s">
        <v>236</v>
      </c>
      <c r="AO140" s="47">
        <v>45412</v>
      </c>
      <c r="AP140" s="29" t="s">
        <v>781</v>
      </c>
      <c r="AQ140" s="29" t="s">
        <v>313</v>
      </c>
      <c r="AR140" s="29" t="s">
        <v>544</v>
      </c>
      <c r="AS140" s="29"/>
      <c r="AT140" s="21"/>
      <c r="AU140" s="38"/>
      <c r="AV140" s="38"/>
      <c r="AW140" s="38"/>
      <c r="AX140" s="38"/>
      <c r="AY140" s="38"/>
      <c r="AZ140" s="38"/>
      <c r="BA140" s="38"/>
      <c r="BB140" s="38"/>
      <c r="BC140" s="38"/>
      <c r="BD140" s="38"/>
      <c r="BE140" s="38"/>
      <c r="BF140" s="1"/>
      <c r="BG140" s="1"/>
    </row>
    <row r="141" spans="1:59" ht="14.25" customHeight="1" x14ac:dyDescent="0.25">
      <c r="A141" s="1"/>
      <c r="B141" s="19"/>
      <c r="C141" s="91" t="s">
        <v>782</v>
      </c>
      <c r="D141" s="21" t="s">
        <v>783</v>
      </c>
      <c r="E141" s="21" t="str">
        <f t="shared" si="0"/>
        <v>PP0200140005001B</v>
      </c>
      <c r="F141" s="21" t="s">
        <v>784</v>
      </c>
      <c r="G141" s="31" t="s">
        <v>764</v>
      </c>
      <c r="H141" s="21" t="s">
        <v>95</v>
      </c>
      <c r="I141" s="21" t="s">
        <v>785</v>
      </c>
      <c r="J141" s="21" t="s">
        <v>786</v>
      </c>
      <c r="K141" s="31" t="s">
        <v>767</v>
      </c>
      <c r="L141" s="21" t="s">
        <v>727</v>
      </c>
      <c r="M141" s="21"/>
      <c r="N141" s="22"/>
      <c r="O141" s="21" t="s">
        <v>151</v>
      </c>
      <c r="P141" s="21">
        <v>4159</v>
      </c>
      <c r="Q141" s="24">
        <v>214.5</v>
      </c>
      <c r="R141" s="24">
        <f t="shared" si="39"/>
        <v>4373.5</v>
      </c>
      <c r="S141" s="23">
        <v>9.7799999999999994</v>
      </c>
      <c r="T141" s="23">
        <v>6.6</v>
      </c>
      <c r="U141" s="23">
        <f t="shared" si="40"/>
        <v>16.38</v>
      </c>
      <c r="V141" s="23">
        <v>38.229999999999997</v>
      </c>
      <c r="W141" s="52">
        <f t="shared" si="31"/>
        <v>42.539999999999992</v>
      </c>
      <c r="X141" s="23">
        <f t="shared" si="41"/>
        <v>2.3339438339438341</v>
      </c>
      <c r="Y141" s="21" t="str">
        <f t="shared" si="42"/>
        <v>non è in grado</v>
      </c>
      <c r="Z141" s="21" t="str">
        <f t="shared" si="43"/>
        <v>non sottende</v>
      </c>
      <c r="AA141" s="23">
        <f t="shared" si="44"/>
        <v>0.89868359191349323</v>
      </c>
      <c r="AB141" s="21" t="str">
        <f t="shared" si="45"/>
        <v>B</v>
      </c>
      <c r="AC141" s="21" t="str">
        <f t="shared" si="3"/>
        <v>NO</v>
      </c>
      <c r="AD141" s="21" t="str">
        <f t="shared" si="46"/>
        <v>Si</v>
      </c>
      <c r="AE141" s="23" t="s">
        <v>343</v>
      </c>
      <c r="AF141" s="41">
        <v>34.1</v>
      </c>
      <c r="AG141" s="41">
        <v>2785</v>
      </c>
      <c r="AH141" s="41">
        <v>4749</v>
      </c>
      <c r="AI141" s="41" t="str">
        <f t="shared" si="47"/>
        <v xml:space="preserve"> </v>
      </c>
      <c r="AJ141" s="24">
        <v>172.28</v>
      </c>
      <c r="AK141" s="24">
        <f t="shared" si="48"/>
        <v>15.943638263292314</v>
      </c>
      <c r="AL141" s="24">
        <f t="shared" si="49"/>
        <v>2746.77</v>
      </c>
      <c r="AM141" s="21" t="s">
        <v>190</v>
      </c>
      <c r="AN141" s="56" t="s">
        <v>236</v>
      </c>
      <c r="AO141" s="47">
        <v>45423</v>
      </c>
      <c r="AP141" s="29" t="s">
        <v>787</v>
      </c>
      <c r="AQ141" s="29" t="s">
        <v>313</v>
      </c>
      <c r="AR141" s="29" t="s">
        <v>544</v>
      </c>
      <c r="AS141" s="29"/>
      <c r="AT141" s="21"/>
      <c r="AU141" s="38"/>
      <c r="AV141" s="38"/>
      <c r="AW141" s="38"/>
      <c r="AX141" s="38"/>
      <c r="AY141" s="38"/>
      <c r="AZ141" s="38"/>
      <c r="BA141" s="38"/>
      <c r="BB141" s="38"/>
      <c r="BC141" s="38"/>
      <c r="BD141" s="38"/>
      <c r="BE141" s="38"/>
      <c r="BF141" s="1"/>
      <c r="BG141" s="1"/>
    </row>
    <row r="142" spans="1:59" ht="14.25" customHeight="1" x14ac:dyDescent="0.25">
      <c r="A142" s="1"/>
      <c r="B142" s="19"/>
      <c r="C142" s="90" t="s">
        <v>788</v>
      </c>
      <c r="D142" s="21" t="s">
        <v>789</v>
      </c>
      <c r="E142" s="21" t="str">
        <f t="shared" si="0"/>
        <v>PP0200140017001B</v>
      </c>
      <c r="F142" s="21"/>
      <c r="G142" s="31" t="s">
        <v>764</v>
      </c>
      <c r="H142" s="21" t="s">
        <v>95</v>
      </c>
      <c r="I142" s="21" t="s">
        <v>274</v>
      </c>
      <c r="J142" s="21" t="s">
        <v>790</v>
      </c>
      <c r="K142" s="31" t="s">
        <v>767</v>
      </c>
      <c r="L142" s="21" t="s">
        <v>791</v>
      </c>
      <c r="M142" s="21"/>
      <c r="N142" s="22"/>
      <c r="O142" s="21" t="s">
        <v>253</v>
      </c>
      <c r="P142" s="21"/>
      <c r="Q142" s="24"/>
      <c r="R142" s="24">
        <f t="shared" si="39"/>
        <v>0</v>
      </c>
      <c r="S142" s="23"/>
      <c r="T142" s="23"/>
      <c r="U142" s="23">
        <f t="shared" si="40"/>
        <v>0</v>
      </c>
      <c r="V142" s="23"/>
      <c r="W142" s="52">
        <f t="shared" si="31"/>
        <v>0</v>
      </c>
      <c r="X142" s="23"/>
      <c r="Y142" s="21"/>
      <c r="Z142" s="21"/>
      <c r="AA142" s="23"/>
      <c r="AB142" s="21"/>
      <c r="AC142" s="21" t="str">
        <f t="shared" si="3"/>
        <v>NO</v>
      </c>
      <c r="AD142" s="21"/>
      <c r="AE142" s="23"/>
      <c r="AF142" s="41"/>
      <c r="AG142" s="41"/>
      <c r="AH142" s="41"/>
      <c r="AI142" s="41" t="str">
        <f t="shared" si="47"/>
        <v xml:space="preserve"> </v>
      </c>
      <c r="AJ142" s="24"/>
      <c r="AK142" s="24" t="e">
        <f t="shared" si="48"/>
        <v>#DIV/0!</v>
      </c>
      <c r="AL142" s="24">
        <f t="shared" si="49"/>
        <v>0</v>
      </c>
      <c r="AM142" s="21"/>
      <c r="AN142" s="56" t="s">
        <v>222</v>
      </c>
      <c r="AO142" s="47">
        <v>45424</v>
      </c>
      <c r="AP142" s="29" t="s">
        <v>792</v>
      </c>
      <c r="AQ142" s="29" t="s">
        <v>313</v>
      </c>
      <c r="AR142" s="29" t="s">
        <v>544</v>
      </c>
      <c r="AS142" s="29"/>
      <c r="AT142" s="21"/>
      <c r="AU142" s="38"/>
      <c r="AV142" s="38"/>
      <c r="AW142" s="38"/>
      <c r="AX142" s="38"/>
      <c r="AY142" s="38"/>
      <c r="AZ142" s="38"/>
      <c r="BA142" s="38"/>
      <c r="BB142" s="38"/>
      <c r="BC142" s="38"/>
      <c r="BD142" s="38"/>
      <c r="BE142" s="38"/>
      <c r="BF142" s="1"/>
      <c r="BG142" s="1"/>
    </row>
    <row r="143" spans="1:59" ht="14.25" customHeight="1" x14ac:dyDescent="0.25">
      <c r="A143" s="1"/>
      <c r="B143" s="19"/>
      <c r="C143" s="90" t="s">
        <v>793</v>
      </c>
      <c r="D143" s="21"/>
      <c r="E143" s="21" t="str">
        <f t="shared" si="0"/>
        <v>001B</v>
      </c>
      <c r="F143" s="21"/>
      <c r="G143" s="31" t="s">
        <v>764</v>
      </c>
      <c r="H143" s="21" t="s">
        <v>95</v>
      </c>
      <c r="I143" s="21" t="s">
        <v>274</v>
      </c>
      <c r="J143" s="1" t="s">
        <v>794</v>
      </c>
      <c r="K143" s="31" t="s">
        <v>767</v>
      </c>
      <c r="L143" s="21" t="s">
        <v>791</v>
      </c>
      <c r="M143" s="21"/>
      <c r="N143" s="22"/>
      <c r="O143" s="21" t="s">
        <v>253</v>
      </c>
      <c r="P143" s="21"/>
      <c r="Q143" s="24"/>
      <c r="R143" s="24">
        <f t="shared" si="39"/>
        <v>0</v>
      </c>
      <c r="S143" s="23"/>
      <c r="T143" s="23"/>
      <c r="U143" s="23">
        <f t="shared" si="40"/>
        <v>0</v>
      </c>
      <c r="V143" s="23"/>
      <c r="W143" s="52">
        <f t="shared" si="31"/>
        <v>0</v>
      </c>
      <c r="X143" s="23"/>
      <c r="Y143" s="21"/>
      <c r="Z143" s="21"/>
      <c r="AA143" s="23"/>
      <c r="AB143" s="21"/>
      <c r="AC143" s="21" t="str">
        <f t="shared" si="3"/>
        <v>NO</v>
      </c>
      <c r="AD143" s="21"/>
      <c r="AE143" s="23"/>
      <c r="AF143" s="41"/>
      <c r="AG143" s="41"/>
      <c r="AH143" s="41"/>
      <c r="AI143" s="41" t="str">
        <f t="shared" si="47"/>
        <v xml:space="preserve"> </v>
      </c>
      <c r="AJ143" s="24"/>
      <c r="AK143" s="24" t="e">
        <f t="shared" si="48"/>
        <v>#DIV/0!</v>
      </c>
      <c r="AL143" s="24">
        <f t="shared" si="49"/>
        <v>0</v>
      </c>
      <c r="AM143" s="21"/>
      <c r="AN143" s="56" t="s">
        <v>222</v>
      </c>
      <c r="AO143" s="47">
        <v>45412</v>
      </c>
      <c r="AP143" s="29" t="s">
        <v>723</v>
      </c>
      <c r="AQ143" s="29" t="s">
        <v>313</v>
      </c>
      <c r="AR143" s="29" t="s">
        <v>544</v>
      </c>
      <c r="AS143" s="29"/>
      <c r="AT143" s="21" t="s">
        <v>795</v>
      </c>
      <c r="AU143" s="38"/>
      <c r="AV143" s="38"/>
      <c r="AW143" s="38"/>
      <c r="AX143" s="38"/>
      <c r="AY143" s="38"/>
      <c r="AZ143" s="38"/>
      <c r="BA143" s="38"/>
      <c r="BB143" s="38"/>
      <c r="BC143" s="38"/>
      <c r="BD143" s="38"/>
      <c r="BE143" s="38"/>
      <c r="BF143" s="1"/>
      <c r="BG143" s="1"/>
    </row>
    <row r="144" spans="1:59" ht="14.25" customHeight="1" x14ac:dyDescent="0.25">
      <c r="A144" s="1"/>
      <c r="B144" s="19"/>
      <c r="C144" s="21" t="s">
        <v>796</v>
      </c>
      <c r="D144" s="21" t="s">
        <v>797</v>
      </c>
      <c r="E144" s="21" t="str">
        <f t="shared" si="0"/>
        <v>PP0200140006001B</v>
      </c>
      <c r="F144" s="21"/>
      <c r="G144" s="31" t="s">
        <v>764</v>
      </c>
      <c r="H144" s="21" t="s">
        <v>95</v>
      </c>
      <c r="I144" s="21" t="s">
        <v>798</v>
      </c>
      <c r="J144" s="21" t="s">
        <v>799</v>
      </c>
      <c r="K144" s="31" t="s">
        <v>767</v>
      </c>
      <c r="L144" s="21" t="s">
        <v>798</v>
      </c>
      <c r="M144" s="76" t="s">
        <v>221</v>
      </c>
      <c r="N144" s="22"/>
      <c r="O144" s="21" t="s">
        <v>151</v>
      </c>
      <c r="P144" s="21">
        <v>44</v>
      </c>
      <c r="Q144" s="24">
        <v>0</v>
      </c>
      <c r="R144" s="24">
        <f t="shared" si="39"/>
        <v>44</v>
      </c>
      <c r="S144" s="23">
        <v>0.1</v>
      </c>
      <c r="T144" s="23">
        <v>0</v>
      </c>
      <c r="U144" s="23">
        <f t="shared" si="40"/>
        <v>0.1</v>
      </c>
      <c r="V144" s="23">
        <v>51.77</v>
      </c>
      <c r="W144" s="52">
        <f t="shared" si="31"/>
        <v>0.38194444444444442</v>
      </c>
      <c r="X144" s="23">
        <f t="shared" ref="X144:X190" si="50">V144/U144</f>
        <v>517.70000000000005</v>
      </c>
      <c r="Y144" s="21" t="str">
        <f t="shared" ref="Y144:Y190" si="51">IF(V144&gt;W144, "è in grado", "non è in grado")</f>
        <v>è in grado</v>
      </c>
      <c r="Z144" s="21" t="str">
        <f t="shared" ref="Z144:Z190" si="52">IF(R144&gt;10000, "sottende", "non sottende")</f>
        <v>non sottende</v>
      </c>
      <c r="AA144" s="23">
        <f t="shared" ref="AA144:AA190" si="53">V144/W144</f>
        <v>135.54327272727275</v>
      </c>
      <c r="AB144" s="21" t="str">
        <f t="shared" ref="AB144:AB190" si="54">IF(R144&gt;10000, "B", IF(AA144&gt;=2, "A", "B"))</f>
        <v>A</v>
      </c>
      <c r="AC144" s="21" t="str">
        <f t="shared" si="3"/>
        <v>SI</v>
      </c>
      <c r="AD144" s="21" t="str">
        <f t="shared" ref="AD144:AD190" si="55">IF(V144&gt;20, "Si", "No")</f>
        <v>Si</v>
      </c>
      <c r="AE144" s="23" t="s">
        <v>147</v>
      </c>
      <c r="AF144" s="41">
        <v>1.1200000000000001</v>
      </c>
      <c r="AG144" s="41">
        <v>121</v>
      </c>
      <c r="AH144" s="41">
        <v>426</v>
      </c>
      <c r="AI144" s="41" t="str">
        <f t="shared" si="47"/>
        <v xml:space="preserve"> </v>
      </c>
      <c r="AJ144" s="24">
        <v>155.02000000000001</v>
      </c>
      <c r="AK144" s="24">
        <f t="shared" si="48"/>
        <v>0.44658753709198806</v>
      </c>
      <c r="AL144" s="24">
        <f t="shared" si="49"/>
        <v>69.22999999999999</v>
      </c>
      <c r="AM144" s="21" t="s">
        <v>190</v>
      </c>
      <c r="AN144" s="56" t="s">
        <v>222</v>
      </c>
      <c r="AO144" s="47">
        <v>45412</v>
      </c>
      <c r="AP144" s="29" t="s">
        <v>800</v>
      </c>
      <c r="AQ144" s="29" t="s">
        <v>224</v>
      </c>
      <c r="AR144" s="29" t="s">
        <v>225</v>
      </c>
      <c r="AS144" s="29" t="s">
        <v>92</v>
      </c>
      <c r="AT144" s="21"/>
      <c r="AU144" s="38"/>
      <c r="AV144" s="38"/>
      <c r="AW144" s="38"/>
      <c r="AX144" s="38"/>
      <c r="AY144" s="38"/>
      <c r="AZ144" s="38"/>
      <c r="BA144" s="38"/>
      <c r="BB144" s="38"/>
      <c r="BC144" s="38"/>
      <c r="BD144" s="38"/>
      <c r="BE144" s="38"/>
      <c r="BF144" s="1"/>
      <c r="BG144" s="1"/>
    </row>
    <row r="145" spans="1:59" ht="14.25" customHeight="1" x14ac:dyDescent="0.25">
      <c r="A145" s="1"/>
      <c r="B145" s="19"/>
      <c r="C145" s="21" t="s">
        <v>801</v>
      </c>
      <c r="D145" s="21"/>
      <c r="E145" s="21" t="str">
        <f t="shared" si="0"/>
        <v>001B</v>
      </c>
      <c r="F145" s="21"/>
      <c r="G145" s="31" t="s">
        <v>764</v>
      </c>
      <c r="H145" s="21" t="s">
        <v>95</v>
      </c>
      <c r="I145" s="21" t="s">
        <v>802</v>
      </c>
      <c r="J145" s="21" t="s">
        <v>803</v>
      </c>
      <c r="K145" s="31" t="s">
        <v>767</v>
      </c>
      <c r="L145" s="21" t="s">
        <v>798</v>
      </c>
      <c r="M145" s="76" t="s">
        <v>221</v>
      </c>
      <c r="N145" s="22"/>
      <c r="O145" s="21" t="s">
        <v>151</v>
      </c>
      <c r="P145" s="21">
        <v>556</v>
      </c>
      <c r="Q145" s="24">
        <v>0</v>
      </c>
      <c r="R145" s="24">
        <f t="shared" si="39"/>
        <v>556</v>
      </c>
      <c r="S145" s="23">
        <v>1.31</v>
      </c>
      <c r="T145" s="23">
        <v>0</v>
      </c>
      <c r="U145" s="23">
        <f t="shared" si="40"/>
        <v>1.31</v>
      </c>
      <c r="V145" s="23">
        <v>26.06</v>
      </c>
      <c r="W145" s="52">
        <f t="shared" si="31"/>
        <v>4.8263888888888893</v>
      </c>
      <c r="X145" s="23">
        <f t="shared" si="50"/>
        <v>19.893129770992363</v>
      </c>
      <c r="Y145" s="21" t="str">
        <f t="shared" si="51"/>
        <v>è in grado</v>
      </c>
      <c r="Z145" s="21" t="str">
        <f t="shared" si="52"/>
        <v>non sottende</v>
      </c>
      <c r="AA145" s="23">
        <f t="shared" si="53"/>
        <v>5.3994820143884885</v>
      </c>
      <c r="AB145" s="21" t="str">
        <f t="shared" si="54"/>
        <v>A</v>
      </c>
      <c r="AC145" s="21" t="str">
        <f t="shared" si="3"/>
        <v>SI</v>
      </c>
      <c r="AD145" s="21" t="str">
        <f t="shared" si="55"/>
        <v>Si</v>
      </c>
      <c r="AE145" s="21" t="s">
        <v>147</v>
      </c>
      <c r="AF145" s="41">
        <v>2.08</v>
      </c>
      <c r="AG145" s="41">
        <v>254</v>
      </c>
      <c r="AH145" s="41">
        <v>588</v>
      </c>
      <c r="AI145" s="41" t="str">
        <f t="shared" si="47"/>
        <v xml:space="preserve"> </v>
      </c>
      <c r="AJ145" s="24">
        <v>225.39</v>
      </c>
      <c r="AK145" s="24">
        <f t="shared" si="48"/>
        <v>1.0113137228803408</v>
      </c>
      <c r="AL145" s="24">
        <f t="shared" si="49"/>
        <v>227.94</v>
      </c>
      <c r="AM145" s="21" t="s">
        <v>190</v>
      </c>
      <c r="AN145" s="56" t="s">
        <v>222</v>
      </c>
      <c r="AO145" s="47">
        <v>45412</v>
      </c>
      <c r="AP145" s="29" t="s">
        <v>223</v>
      </c>
      <c r="AQ145" s="29" t="s">
        <v>224</v>
      </c>
      <c r="AR145" s="29" t="s">
        <v>225</v>
      </c>
      <c r="AS145" s="29" t="s">
        <v>92</v>
      </c>
      <c r="AT145" s="21"/>
      <c r="AU145" s="38"/>
      <c r="AV145" s="38"/>
      <c r="AW145" s="38"/>
      <c r="AX145" s="38"/>
      <c r="AY145" s="38"/>
      <c r="AZ145" s="38"/>
      <c r="BA145" s="38"/>
      <c r="BB145" s="38"/>
      <c r="BC145" s="38"/>
      <c r="BD145" s="38"/>
      <c r="BE145" s="38"/>
      <c r="BF145" s="1"/>
      <c r="BG145" s="1"/>
    </row>
    <row r="146" spans="1:59" ht="14.25" customHeight="1" x14ac:dyDescent="0.25">
      <c r="A146" s="1"/>
      <c r="B146" s="19"/>
      <c r="C146" s="90" t="s">
        <v>804</v>
      </c>
      <c r="D146" s="21" t="s">
        <v>805</v>
      </c>
      <c r="E146" s="21" t="str">
        <f t="shared" si="0"/>
        <v>PP0200140004001B</v>
      </c>
      <c r="F146" s="21"/>
      <c r="G146" s="31" t="s">
        <v>764</v>
      </c>
      <c r="H146" s="21" t="s">
        <v>95</v>
      </c>
      <c r="I146" s="21" t="s">
        <v>806</v>
      </c>
      <c r="J146" s="21" t="s">
        <v>807</v>
      </c>
      <c r="K146" s="31" t="s">
        <v>767</v>
      </c>
      <c r="L146" s="21" t="s">
        <v>727</v>
      </c>
      <c r="M146" s="21"/>
      <c r="N146" s="22"/>
      <c r="O146" s="21" t="s">
        <v>253</v>
      </c>
      <c r="P146" s="50">
        <v>5</v>
      </c>
      <c r="Q146" s="53">
        <v>0</v>
      </c>
      <c r="R146" s="53">
        <f t="shared" si="39"/>
        <v>5</v>
      </c>
      <c r="S146" s="54">
        <v>0.01</v>
      </c>
      <c r="T146" s="54">
        <v>0</v>
      </c>
      <c r="U146" s="54">
        <f t="shared" si="40"/>
        <v>0.01</v>
      </c>
      <c r="V146" s="54">
        <v>29.7</v>
      </c>
      <c r="W146" s="52">
        <f t="shared" si="31"/>
        <v>4.3402777777777776E-2</v>
      </c>
      <c r="X146" s="23">
        <f t="shared" si="50"/>
        <v>2970</v>
      </c>
      <c r="Y146" s="21" t="str">
        <f t="shared" si="51"/>
        <v>è in grado</v>
      </c>
      <c r="Z146" s="21" t="str">
        <f t="shared" si="52"/>
        <v>non sottende</v>
      </c>
      <c r="AA146" s="23">
        <f t="shared" si="53"/>
        <v>684.28800000000001</v>
      </c>
      <c r="AB146" s="21" t="str">
        <f t="shared" si="54"/>
        <v>A</v>
      </c>
      <c r="AC146" s="21" t="str">
        <f t="shared" si="3"/>
        <v>SI</v>
      </c>
      <c r="AD146" s="21" t="str">
        <f t="shared" si="55"/>
        <v>Si</v>
      </c>
      <c r="AE146" s="21" t="s">
        <v>147</v>
      </c>
      <c r="AF146" s="94">
        <v>9.9000000000000005E-2</v>
      </c>
      <c r="AG146" s="94">
        <v>11.1</v>
      </c>
      <c r="AH146" s="94">
        <v>136.65</v>
      </c>
      <c r="AI146" s="94" t="str">
        <f t="shared" si="47"/>
        <v xml:space="preserve"> </v>
      </c>
      <c r="AJ146" s="95">
        <v>113</v>
      </c>
      <c r="AK146" s="95">
        <v>0.04</v>
      </c>
      <c r="AL146" s="95">
        <v>0</v>
      </c>
      <c r="AM146" s="96" t="s">
        <v>490</v>
      </c>
      <c r="AN146" s="56" t="s">
        <v>222</v>
      </c>
      <c r="AO146" s="47">
        <v>45412</v>
      </c>
      <c r="AP146" s="29" t="s">
        <v>808</v>
      </c>
      <c r="AQ146" s="29" t="s">
        <v>313</v>
      </c>
      <c r="AR146" s="29"/>
      <c r="AS146" s="29"/>
      <c r="AT146" s="21"/>
      <c r="AU146" s="38"/>
      <c r="AV146" s="38"/>
      <c r="AW146" s="38"/>
      <c r="AX146" s="38"/>
      <c r="AY146" s="38"/>
      <c r="AZ146" s="38"/>
      <c r="BA146" s="38"/>
      <c r="BB146" s="38"/>
      <c r="BC146" s="38"/>
      <c r="BD146" s="38"/>
      <c r="BE146" s="38"/>
      <c r="BF146" s="1"/>
      <c r="BG146" s="1"/>
    </row>
    <row r="147" spans="1:59" ht="14.25" customHeight="1" x14ac:dyDescent="0.25">
      <c r="A147" s="1"/>
      <c r="B147" s="19"/>
      <c r="C147" s="21" t="s">
        <v>809</v>
      </c>
      <c r="D147" s="21" t="s">
        <v>810</v>
      </c>
      <c r="E147" s="21" t="str">
        <f t="shared" si="0"/>
        <v>PP0200140008001B</v>
      </c>
      <c r="F147" s="21"/>
      <c r="G147" s="31" t="s">
        <v>764</v>
      </c>
      <c r="H147" s="21" t="s">
        <v>95</v>
      </c>
      <c r="I147" s="21" t="s">
        <v>811</v>
      </c>
      <c r="J147" s="21" t="s">
        <v>812</v>
      </c>
      <c r="K147" s="31" t="s">
        <v>767</v>
      </c>
      <c r="L147" s="21" t="s">
        <v>775</v>
      </c>
      <c r="M147" s="21"/>
      <c r="N147" s="22"/>
      <c r="O147" s="21" t="s">
        <v>151</v>
      </c>
      <c r="P147" s="21">
        <v>20</v>
      </c>
      <c r="Q147" s="24">
        <v>0</v>
      </c>
      <c r="R147" s="24">
        <f t="shared" si="39"/>
        <v>20</v>
      </c>
      <c r="S147" s="23">
        <v>0.05</v>
      </c>
      <c r="T147" s="23">
        <v>0</v>
      </c>
      <c r="U147" s="23">
        <f t="shared" si="40"/>
        <v>0.05</v>
      </c>
      <c r="V147" s="23">
        <v>20.05</v>
      </c>
      <c r="W147" s="52">
        <f t="shared" si="31"/>
        <v>0.1736111111111111</v>
      </c>
      <c r="X147" s="23">
        <f t="shared" si="50"/>
        <v>401</v>
      </c>
      <c r="Y147" s="21" t="str">
        <f t="shared" si="51"/>
        <v>è in grado</v>
      </c>
      <c r="Z147" s="21" t="str">
        <f t="shared" si="52"/>
        <v>non sottende</v>
      </c>
      <c r="AA147" s="23">
        <f t="shared" si="53"/>
        <v>115.48800000000001</v>
      </c>
      <c r="AB147" s="21" t="str">
        <f t="shared" si="54"/>
        <v>A</v>
      </c>
      <c r="AC147" s="21" t="str">
        <f t="shared" si="3"/>
        <v>SI</v>
      </c>
      <c r="AD147" s="21" t="str">
        <f t="shared" si="55"/>
        <v>Si</v>
      </c>
      <c r="AE147" s="21" t="s">
        <v>147</v>
      </c>
      <c r="AF147" s="41">
        <v>0.56999999999999995</v>
      </c>
      <c r="AG147" s="41">
        <v>79</v>
      </c>
      <c r="AH147" s="41">
        <v>520</v>
      </c>
      <c r="AI147" s="41" t="str">
        <f t="shared" si="47"/>
        <v xml:space="preserve"> </v>
      </c>
      <c r="AJ147" s="24">
        <v>207.01</v>
      </c>
      <c r="AK147" s="24">
        <f t="shared" ref="AK147:AK161" si="56">((MIN(AG147:AH147))-V147)/AJ147</f>
        <v>0.28476885174629246</v>
      </c>
      <c r="AL147" s="24">
        <f t="shared" ref="AL147:AL190" si="57">MIN(AG147:AH147)-V147</f>
        <v>58.95</v>
      </c>
      <c r="AM147" s="21" t="s">
        <v>190</v>
      </c>
      <c r="AN147" s="56" t="s">
        <v>222</v>
      </c>
      <c r="AO147" s="47">
        <v>45412</v>
      </c>
      <c r="AP147" s="29" t="s">
        <v>813</v>
      </c>
      <c r="AQ147" s="29" t="s">
        <v>255</v>
      </c>
      <c r="AR147" s="29" t="s">
        <v>225</v>
      </c>
      <c r="AS147" s="29" t="s">
        <v>92</v>
      </c>
      <c r="AT147" s="21"/>
      <c r="AU147" s="38"/>
      <c r="AV147" s="38"/>
      <c r="AW147" s="38"/>
      <c r="AX147" s="38"/>
      <c r="AY147" s="38"/>
      <c r="AZ147" s="38"/>
      <c r="BA147" s="38"/>
      <c r="BB147" s="38"/>
      <c r="BC147" s="38"/>
      <c r="BD147" s="38"/>
      <c r="BE147" s="38"/>
      <c r="BF147" s="1"/>
      <c r="BG147" s="1"/>
    </row>
    <row r="148" spans="1:59" ht="14.25" customHeight="1" x14ac:dyDescent="0.25">
      <c r="A148" s="1"/>
      <c r="B148" s="19"/>
      <c r="C148" s="21" t="s">
        <v>814</v>
      </c>
      <c r="D148" s="21" t="s">
        <v>815</v>
      </c>
      <c r="E148" s="21" t="str">
        <f t="shared" si="0"/>
        <v>PP0200140011001B</v>
      </c>
      <c r="F148" s="21"/>
      <c r="G148" s="31" t="s">
        <v>764</v>
      </c>
      <c r="H148" s="21" t="s">
        <v>95</v>
      </c>
      <c r="I148" s="21" t="s">
        <v>816</v>
      </c>
      <c r="J148" s="21" t="s">
        <v>817</v>
      </c>
      <c r="K148" s="31" t="s">
        <v>767</v>
      </c>
      <c r="L148" s="21" t="s">
        <v>818</v>
      </c>
      <c r="M148" s="21"/>
      <c r="N148" s="22"/>
      <c r="O148" s="21" t="s">
        <v>151</v>
      </c>
      <c r="P148" s="21">
        <v>14</v>
      </c>
      <c r="Q148" s="24">
        <v>0</v>
      </c>
      <c r="R148" s="24">
        <f t="shared" si="39"/>
        <v>14</v>
      </c>
      <c r="S148" s="23">
        <v>0.03</v>
      </c>
      <c r="T148" s="23">
        <v>0</v>
      </c>
      <c r="U148" s="23">
        <f t="shared" si="40"/>
        <v>0.03</v>
      </c>
      <c r="V148" s="23">
        <v>150.21</v>
      </c>
      <c r="W148" s="52">
        <f t="shared" si="31"/>
        <v>0.12152777777777778</v>
      </c>
      <c r="X148" s="23">
        <f t="shared" si="50"/>
        <v>5007</v>
      </c>
      <c r="Y148" s="21" t="str">
        <f t="shared" si="51"/>
        <v>è in grado</v>
      </c>
      <c r="Z148" s="21" t="str">
        <f t="shared" si="52"/>
        <v>non sottende</v>
      </c>
      <c r="AA148" s="23">
        <f t="shared" si="53"/>
        <v>1236.0137142857143</v>
      </c>
      <c r="AB148" s="21" t="str">
        <f t="shared" si="54"/>
        <v>A</v>
      </c>
      <c r="AC148" s="21" t="str">
        <f t="shared" si="3"/>
        <v>SI</v>
      </c>
      <c r="AD148" s="21" t="str">
        <f t="shared" si="55"/>
        <v>Si</v>
      </c>
      <c r="AE148" s="21" t="s">
        <v>147</v>
      </c>
      <c r="AF148" s="41">
        <v>0.34</v>
      </c>
      <c r="AG148" s="41">
        <v>38</v>
      </c>
      <c r="AH148" s="41">
        <v>720</v>
      </c>
      <c r="AI148" s="41" t="str">
        <f t="shared" si="47"/>
        <v xml:space="preserve"> </v>
      </c>
      <c r="AJ148" s="24">
        <v>0</v>
      </c>
      <c r="AK148" s="24" t="e">
        <f t="shared" si="56"/>
        <v>#DIV/0!</v>
      </c>
      <c r="AL148" s="24">
        <f t="shared" si="57"/>
        <v>-112.21000000000001</v>
      </c>
      <c r="AM148" s="21" t="s">
        <v>147</v>
      </c>
      <c r="AN148" s="56" t="s">
        <v>222</v>
      </c>
      <c r="AO148" s="47">
        <v>45446</v>
      </c>
      <c r="AP148" s="29" t="s">
        <v>819</v>
      </c>
      <c r="AQ148" s="29" t="s">
        <v>255</v>
      </c>
      <c r="AR148" s="29" t="s">
        <v>225</v>
      </c>
      <c r="AS148" s="29" t="s">
        <v>92</v>
      </c>
      <c r="AT148" s="21"/>
      <c r="AU148" s="38"/>
      <c r="AV148" s="38"/>
      <c r="AW148" s="38"/>
      <c r="AX148" s="38"/>
      <c r="AY148" s="38"/>
      <c r="AZ148" s="38"/>
      <c r="BA148" s="38"/>
      <c r="BB148" s="38"/>
      <c r="BC148" s="38"/>
      <c r="BD148" s="38"/>
      <c r="BE148" s="38"/>
      <c r="BF148" s="1"/>
      <c r="BG148" s="1"/>
    </row>
    <row r="149" spans="1:59" ht="14.25" customHeight="1" x14ac:dyDescent="0.25">
      <c r="A149" s="1"/>
      <c r="B149" s="19"/>
      <c r="C149" s="21" t="s">
        <v>820</v>
      </c>
      <c r="D149" s="21" t="s">
        <v>821</v>
      </c>
      <c r="E149" s="21" t="str">
        <f t="shared" si="0"/>
        <v>PP0200140012001B</v>
      </c>
      <c r="F149" s="21"/>
      <c r="G149" s="31" t="s">
        <v>764</v>
      </c>
      <c r="H149" s="21" t="s">
        <v>95</v>
      </c>
      <c r="I149" s="21" t="s">
        <v>822</v>
      </c>
      <c r="J149" s="21" t="s">
        <v>823</v>
      </c>
      <c r="K149" s="31" t="s">
        <v>767</v>
      </c>
      <c r="L149" s="21" t="s">
        <v>768</v>
      </c>
      <c r="M149" s="76" t="s">
        <v>221</v>
      </c>
      <c r="N149" s="22"/>
      <c r="O149" s="21" t="s">
        <v>151</v>
      </c>
      <c r="P149" s="21">
        <v>193</v>
      </c>
      <c r="Q149" s="24">
        <v>0</v>
      </c>
      <c r="R149" s="24">
        <f t="shared" si="39"/>
        <v>193</v>
      </c>
      <c r="S149" s="23">
        <v>0.45</v>
      </c>
      <c r="T149" s="23">
        <v>0</v>
      </c>
      <c r="U149" s="23">
        <f t="shared" si="40"/>
        <v>0.45</v>
      </c>
      <c r="V149" s="23">
        <v>26.63</v>
      </c>
      <c r="W149" s="52">
        <f t="shared" si="31"/>
        <v>1.6753472222222223</v>
      </c>
      <c r="X149" s="23">
        <f t="shared" si="50"/>
        <v>59.177777777777777</v>
      </c>
      <c r="Y149" s="21" t="str">
        <f t="shared" si="51"/>
        <v>è in grado</v>
      </c>
      <c r="Z149" s="21" t="str">
        <f t="shared" si="52"/>
        <v>non sottende</v>
      </c>
      <c r="AA149" s="23">
        <f t="shared" si="53"/>
        <v>15.895212435233159</v>
      </c>
      <c r="AB149" s="21" t="str">
        <f t="shared" si="54"/>
        <v>A</v>
      </c>
      <c r="AC149" s="21" t="str">
        <f t="shared" si="3"/>
        <v>SI</v>
      </c>
      <c r="AD149" s="21" t="str">
        <f t="shared" si="55"/>
        <v>Si</v>
      </c>
      <c r="AE149" s="21" t="s">
        <v>147</v>
      </c>
      <c r="AF149" s="41">
        <v>3.44</v>
      </c>
      <c r="AG149" s="41">
        <v>397</v>
      </c>
      <c r="AH149" s="41">
        <v>286</v>
      </c>
      <c r="AI149" s="41" t="str">
        <f t="shared" si="47"/>
        <v>Manufatto limitante</v>
      </c>
      <c r="AJ149" s="24">
        <v>192.01</v>
      </c>
      <c r="AK149" s="24">
        <f t="shared" si="56"/>
        <v>1.3508150617155357</v>
      </c>
      <c r="AL149" s="24">
        <f t="shared" si="57"/>
        <v>259.37</v>
      </c>
      <c r="AM149" s="21" t="s">
        <v>190</v>
      </c>
      <c r="AN149" s="56" t="s">
        <v>222</v>
      </c>
      <c r="AO149" s="47">
        <v>45412</v>
      </c>
      <c r="AP149" s="29" t="s">
        <v>824</v>
      </c>
      <c r="AQ149" s="29" t="s">
        <v>224</v>
      </c>
      <c r="AR149" s="29" t="s">
        <v>225</v>
      </c>
      <c r="AS149" s="29" t="s">
        <v>92</v>
      </c>
      <c r="AT149" s="21"/>
      <c r="AU149" s="38"/>
      <c r="AV149" s="38"/>
      <c r="AW149" s="38"/>
      <c r="AX149" s="38"/>
      <c r="AY149" s="38"/>
      <c r="AZ149" s="38"/>
      <c r="BA149" s="38"/>
      <c r="BB149" s="38"/>
      <c r="BC149" s="38"/>
      <c r="BD149" s="38"/>
      <c r="BE149" s="38"/>
      <c r="BF149" s="1"/>
      <c r="BG149" s="1"/>
    </row>
    <row r="150" spans="1:59" ht="14.25" customHeight="1" x14ac:dyDescent="0.25">
      <c r="A150" s="1"/>
      <c r="B150" s="19"/>
      <c r="C150" s="91" t="s">
        <v>825</v>
      </c>
      <c r="D150" s="21" t="s">
        <v>826</v>
      </c>
      <c r="E150" s="21" t="str">
        <f t="shared" si="0"/>
        <v>PP0200140007001B</v>
      </c>
      <c r="F150" s="21" t="s">
        <v>827</v>
      </c>
      <c r="G150" s="31" t="s">
        <v>764</v>
      </c>
      <c r="H150" s="21" t="s">
        <v>95</v>
      </c>
      <c r="I150" s="21" t="s">
        <v>828</v>
      </c>
      <c r="J150" s="21" t="s">
        <v>829</v>
      </c>
      <c r="K150" s="31" t="s">
        <v>767</v>
      </c>
      <c r="L150" s="21" t="s">
        <v>775</v>
      </c>
      <c r="M150" s="21"/>
      <c r="N150" s="22"/>
      <c r="O150" s="21" t="s">
        <v>151</v>
      </c>
      <c r="P150" s="21">
        <v>38</v>
      </c>
      <c r="Q150" s="24">
        <v>0</v>
      </c>
      <c r="R150" s="24">
        <f t="shared" si="39"/>
        <v>38</v>
      </c>
      <c r="S150" s="23">
        <v>0.09</v>
      </c>
      <c r="T150" s="23">
        <v>0</v>
      </c>
      <c r="U150" s="23">
        <f t="shared" si="40"/>
        <v>0.09</v>
      </c>
      <c r="V150" s="23">
        <v>21.08</v>
      </c>
      <c r="W150" s="52">
        <f t="shared" si="31"/>
        <v>0.3298611111111111</v>
      </c>
      <c r="X150" s="23">
        <f t="shared" si="50"/>
        <v>234.2222222222222</v>
      </c>
      <c r="Y150" s="21" t="str">
        <f t="shared" si="51"/>
        <v>è in grado</v>
      </c>
      <c r="Z150" s="21" t="str">
        <f t="shared" si="52"/>
        <v>non sottende</v>
      </c>
      <c r="AA150" s="23">
        <f t="shared" si="53"/>
        <v>63.90568421052631</v>
      </c>
      <c r="AB150" s="21" t="str">
        <f t="shared" si="54"/>
        <v>A</v>
      </c>
      <c r="AC150" s="21" t="str">
        <f t="shared" si="3"/>
        <v>SI</v>
      </c>
      <c r="AD150" s="21" t="str">
        <f t="shared" si="55"/>
        <v>Si</v>
      </c>
      <c r="AE150" s="21" t="s">
        <v>147</v>
      </c>
      <c r="AF150" s="41">
        <v>1.19</v>
      </c>
      <c r="AG150" s="41">
        <v>153</v>
      </c>
      <c r="AH150" s="41">
        <v>536</v>
      </c>
      <c r="AI150" s="41" t="str">
        <f t="shared" si="47"/>
        <v xml:space="preserve"> </v>
      </c>
      <c r="AJ150" s="24">
        <v>226.34</v>
      </c>
      <c r="AK150" s="24">
        <f t="shared" si="56"/>
        <v>0.58283997525846076</v>
      </c>
      <c r="AL150" s="24">
        <f t="shared" si="57"/>
        <v>131.92000000000002</v>
      </c>
      <c r="AM150" s="21" t="s">
        <v>190</v>
      </c>
      <c r="AN150" s="56" t="s">
        <v>222</v>
      </c>
      <c r="AO150" s="47">
        <v>45412</v>
      </c>
      <c r="AP150" s="29" t="s">
        <v>830</v>
      </c>
      <c r="AQ150" s="29" t="s">
        <v>255</v>
      </c>
      <c r="AR150" s="29" t="s">
        <v>225</v>
      </c>
      <c r="AS150" s="29" t="s">
        <v>92</v>
      </c>
      <c r="AT150" s="21"/>
      <c r="AU150" s="38"/>
      <c r="AV150" s="38"/>
      <c r="AW150" s="38"/>
      <c r="AX150" s="38"/>
      <c r="AY150" s="38"/>
      <c r="AZ150" s="38"/>
      <c r="BA150" s="38"/>
      <c r="BB150" s="38"/>
      <c r="BC150" s="38"/>
      <c r="BD150" s="38"/>
      <c r="BE150" s="38"/>
      <c r="BF150" s="1"/>
      <c r="BG150" s="1"/>
    </row>
    <row r="151" spans="1:59" ht="14.25" customHeight="1" x14ac:dyDescent="0.25">
      <c r="A151" s="1"/>
      <c r="B151" s="19"/>
      <c r="C151" s="21" t="s">
        <v>831</v>
      </c>
      <c r="D151" s="21" t="s">
        <v>832</v>
      </c>
      <c r="E151" s="21" t="str">
        <f t="shared" si="0"/>
        <v>PP0200140001001B</v>
      </c>
      <c r="F151" s="21"/>
      <c r="G151" s="31" t="s">
        <v>764</v>
      </c>
      <c r="H151" s="21" t="s">
        <v>95</v>
      </c>
      <c r="I151" s="21" t="s">
        <v>833</v>
      </c>
      <c r="J151" s="21" t="s">
        <v>834</v>
      </c>
      <c r="K151" s="21" t="s">
        <v>767</v>
      </c>
      <c r="L151" s="21" t="s">
        <v>835</v>
      </c>
      <c r="M151" s="21"/>
      <c r="N151" s="22"/>
      <c r="O151" s="21" t="s">
        <v>159</v>
      </c>
      <c r="P151" s="21">
        <v>779</v>
      </c>
      <c r="Q151" s="24">
        <v>0</v>
      </c>
      <c r="R151" s="24">
        <f t="shared" si="39"/>
        <v>779</v>
      </c>
      <c r="S151" s="23">
        <v>1.83</v>
      </c>
      <c r="T151" s="23">
        <v>0</v>
      </c>
      <c r="U151" s="23">
        <f t="shared" si="40"/>
        <v>1.83</v>
      </c>
      <c r="V151" s="23">
        <v>14</v>
      </c>
      <c r="W151" s="52">
        <f t="shared" si="31"/>
        <v>6.7621527777777777</v>
      </c>
      <c r="X151" s="23">
        <f t="shared" si="50"/>
        <v>7.6502732240437155</v>
      </c>
      <c r="Y151" s="21" t="str">
        <f t="shared" si="51"/>
        <v>è in grado</v>
      </c>
      <c r="Z151" s="21" t="str">
        <f t="shared" si="52"/>
        <v>non sottende</v>
      </c>
      <c r="AA151" s="23">
        <f t="shared" si="53"/>
        <v>2.070346598202824</v>
      </c>
      <c r="AB151" s="21" t="str">
        <f t="shared" si="54"/>
        <v>A</v>
      </c>
      <c r="AC151" s="21" t="str">
        <f t="shared" si="3"/>
        <v>SI</v>
      </c>
      <c r="AD151" s="21" t="str">
        <f t="shared" si="55"/>
        <v>No</v>
      </c>
      <c r="AE151" s="21" t="s">
        <v>147</v>
      </c>
      <c r="AF151" s="41">
        <v>5.91</v>
      </c>
      <c r="AG151" s="41">
        <v>652</v>
      </c>
      <c r="AH151" s="41">
        <v>2578</v>
      </c>
      <c r="AI151" s="41" t="str">
        <f t="shared" si="47"/>
        <v xml:space="preserve"> </v>
      </c>
      <c r="AJ151" s="24">
        <v>230.16</v>
      </c>
      <c r="AK151" s="24">
        <f t="shared" si="56"/>
        <v>2.7719847062912755</v>
      </c>
      <c r="AL151" s="24">
        <f t="shared" si="57"/>
        <v>638</v>
      </c>
      <c r="AM151" s="21" t="s">
        <v>190</v>
      </c>
      <c r="AN151" s="56" t="s">
        <v>236</v>
      </c>
      <c r="AO151" s="47">
        <v>45412</v>
      </c>
      <c r="AP151" s="29" t="s">
        <v>836</v>
      </c>
      <c r="AQ151" s="29" t="s">
        <v>238</v>
      </c>
      <c r="AR151" s="29" t="s">
        <v>544</v>
      </c>
      <c r="AS151" s="29"/>
      <c r="AT151" s="21"/>
      <c r="AU151" s="38"/>
      <c r="AV151" s="38"/>
      <c r="AW151" s="38"/>
      <c r="AX151" s="38"/>
      <c r="AY151" s="38"/>
      <c r="AZ151" s="38"/>
      <c r="BA151" s="38"/>
      <c r="BB151" s="38"/>
      <c r="BC151" s="38"/>
      <c r="BD151" s="38"/>
      <c r="BE151" s="38"/>
      <c r="BF151" s="1"/>
      <c r="BG151" s="1"/>
    </row>
    <row r="152" spans="1:59" ht="14.25" customHeight="1" x14ac:dyDescent="0.25">
      <c r="A152" s="1"/>
      <c r="B152" s="19"/>
      <c r="C152" s="21" t="s">
        <v>837</v>
      </c>
      <c r="D152" s="21" t="s">
        <v>838</v>
      </c>
      <c r="E152" s="21" t="str">
        <f t="shared" si="0"/>
        <v>PP0200260001001B</v>
      </c>
      <c r="F152" s="21"/>
      <c r="G152" s="31" t="s">
        <v>764</v>
      </c>
      <c r="H152" s="21" t="s">
        <v>95</v>
      </c>
      <c r="I152" s="21" t="s">
        <v>839</v>
      </c>
      <c r="J152" s="21" t="s">
        <v>840</v>
      </c>
      <c r="K152" s="21" t="s">
        <v>767</v>
      </c>
      <c r="L152" s="21" t="s">
        <v>835</v>
      </c>
      <c r="M152" s="21"/>
      <c r="N152" s="22"/>
      <c r="O152" s="21" t="s">
        <v>151</v>
      </c>
      <c r="P152" s="21">
        <v>64</v>
      </c>
      <c r="Q152" s="24">
        <v>0</v>
      </c>
      <c r="R152" s="24">
        <f t="shared" si="39"/>
        <v>64</v>
      </c>
      <c r="S152" s="23">
        <v>0.15</v>
      </c>
      <c r="T152" s="23">
        <v>0</v>
      </c>
      <c r="U152" s="23">
        <f t="shared" si="40"/>
        <v>0.15</v>
      </c>
      <c r="V152" s="23">
        <v>126.7</v>
      </c>
      <c r="W152" s="52">
        <f t="shared" si="31"/>
        <v>0.55555555555555558</v>
      </c>
      <c r="X152" s="23">
        <f t="shared" si="50"/>
        <v>844.66666666666674</v>
      </c>
      <c r="Y152" s="21" t="str">
        <f t="shared" si="51"/>
        <v>è in grado</v>
      </c>
      <c r="Z152" s="21" t="str">
        <f t="shared" si="52"/>
        <v>non sottende</v>
      </c>
      <c r="AA152" s="23">
        <f t="shared" si="53"/>
        <v>228.06</v>
      </c>
      <c r="AB152" s="21" t="str">
        <f t="shared" si="54"/>
        <v>A</v>
      </c>
      <c r="AC152" s="21" t="str">
        <f t="shared" si="3"/>
        <v>SI</v>
      </c>
      <c r="AD152" s="21" t="str">
        <f t="shared" si="55"/>
        <v>Si</v>
      </c>
      <c r="AE152" s="21" t="s">
        <v>147</v>
      </c>
      <c r="AF152" s="41">
        <v>2.39</v>
      </c>
      <c r="AG152" s="41">
        <v>324</v>
      </c>
      <c r="AH152" s="41">
        <v>2396</v>
      </c>
      <c r="AI152" s="41" t="str">
        <f t="shared" si="47"/>
        <v xml:space="preserve"> </v>
      </c>
      <c r="AJ152" s="24">
        <v>167.5</v>
      </c>
      <c r="AK152" s="24">
        <f t="shared" si="56"/>
        <v>1.1779104477611941</v>
      </c>
      <c r="AL152" s="24">
        <f t="shared" si="57"/>
        <v>197.3</v>
      </c>
      <c r="AM152" s="21" t="s">
        <v>190</v>
      </c>
      <c r="AN152" s="56" t="s">
        <v>222</v>
      </c>
      <c r="AO152" s="47">
        <v>45451</v>
      </c>
      <c r="AP152" s="29" t="s">
        <v>841</v>
      </c>
      <c r="AQ152" s="29" t="s">
        <v>238</v>
      </c>
      <c r="AR152" s="29" t="s">
        <v>544</v>
      </c>
      <c r="AS152" s="29"/>
      <c r="AT152" s="21"/>
      <c r="AU152" s="38"/>
      <c r="AV152" s="38"/>
      <c r="AW152" s="38"/>
      <c r="AX152" s="38"/>
      <c r="AY152" s="38"/>
      <c r="AZ152" s="38"/>
      <c r="BA152" s="38"/>
      <c r="BB152" s="38"/>
      <c r="BC152" s="38"/>
      <c r="BD152" s="38"/>
      <c r="BE152" s="38"/>
      <c r="BF152" s="1"/>
      <c r="BG152" s="1"/>
    </row>
    <row r="153" spans="1:59" ht="14.25" customHeight="1" x14ac:dyDescent="0.25">
      <c r="A153" s="1"/>
      <c r="B153" s="19"/>
      <c r="C153" s="21" t="s">
        <v>842</v>
      </c>
      <c r="D153" s="21" t="s">
        <v>843</v>
      </c>
      <c r="E153" s="21" t="str">
        <f t="shared" si="0"/>
        <v>PP0200140010001B</v>
      </c>
      <c r="F153" s="21"/>
      <c r="G153" s="31" t="s">
        <v>764</v>
      </c>
      <c r="H153" s="21" t="s">
        <v>95</v>
      </c>
      <c r="I153" s="21" t="s">
        <v>844</v>
      </c>
      <c r="J153" s="21" t="s">
        <v>845</v>
      </c>
      <c r="K153" s="21" t="s">
        <v>767</v>
      </c>
      <c r="L153" s="21" t="s">
        <v>846</v>
      </c>
      <c r="M153" s="21"/>
      <c r="N153" s="22"/>
      <c r="O153" s="21" t="s">
        <v>159</v>
      </c>
      <c r="P153" s="21">
        <v>139</v>
      </c>
      <c r="Q153" s="24">
        <v>0</v>
      </c>
      <c r="R153" s="24">
        <f t="shared" si="39"/>
        <v>139</v>
      </c>
      <c r="S153" s="23">
        <v>0.33</v>
      </c>
      <c r="T153" s="23">
        <v>0</v>
      </c>
      <c r="U153" s="23">
        <f t="shared" si="40"/>
        <v>0.33</v>
      </c>
      <c r="V153" s="23">
        <v>21.71</v>
      </c>
      <c r="W153" s="52">
        <f t="shared" si="31"/>
        <v>1.2065972222222223</v>
      </c>
      <c r="X153" s="23">
        <f t="shared" si="50"/>
        <v>65.787878787878782</v>
      </c>
      <c r="Y153" s="21" t="str">
        <f t="shared" si="51"/>
        <v>è in grado</v>
      </c>
      <c r="Z153" s="21" t="str">
        <f t="shared" si="52"/>
        <v>non sottende</v>
      </c>
      <c r="AA153" s="23">
        <f t="shared" si="53"/>
        <v>17.992748201438847</v>
      </c>
      <c r="AB153" s="21" t="str">
        <f t="shared" si="54"/>
        <v>A</v>
      </c>
      <c r="AC153" s="21" t="str">
        <f t="shared" si="3"/>
        <v>SI</v>
      </c>
      <c r="AD153" s="21" t="str">
        <f t="shared" si="55"/>
        <v>Si</v>
      </c>
      <c r="AE153" s="21" t="s">
        <v>147</v>
      </c>
      <c r="AF153" s="41">
        <v>4.07</v>
      </c>
      <c r="AG153" s="41">
        <v>484</v>
      </c>
      <c r="AH153" s="41">
        <v>1070</v>
      </c>
      <c r="AI153" s="41" t="str">
        <f t="shared" si="47"/>
        <v xml:space="preserve"> </v>
      </c>
      <c r="AJ153" s="24">
        <v>235.02</v>
      </c>
      <c r="AK153" s="24">
        <f t="shared" si="56"/>
        <v>1.9670240830567611</v>
      </c>
      <c r="AL153" s="24">
        <f t="shared" si="57"/>
        <v>462.29</v>
      </c>
      <c r="AM153" s="21" t="s">
        <v>190</v>
      </c>
      <c r="AN153" s="56" t="s">
        <v>236</v>
      </c>
      <c r="AO153" s="47">
        <v>45412</v>
      </c>
      <c r="AP153" s="29" t="s">
        <v>847</v>
      </c>
      <c r="AQ153" s="29" t="s">
        <v>313</v>
      </c>
      <c r="AR153" s="29" t="s">
        <v>544</v>
      </c>
      <c r="AS153" s="29"/>
      <c r="AT153" s="21"/>
      <c r="AU153" s="38"/>
      <c r="AV153" s="38"/>
      <c r="AW153" s="38"/>
      <c r="AX153" s="38"/>
      <c r="AY153" s="38"/>
      <c r="AZ153" s="38"/>
      <c r="BA153" s="38"/>
      <c r="BB153" s="38"/>
      <c r="BC153" s="38"/>
      <c r="BD153" s="38"/>
      <c r="BE153" s="38"/>
      <c r="BF153" s="1"/>
      <c r="BG153" s="1"/>
    </row>
    <row r="154" spans="1:59" ht="14.25" customHeight="1" x14ac:dyDescent="0.25">
      <c r="A154" s="1"/>
      <c r="B154" s="19"/>
      <c r="C154" s="21" t="s">
        <v>848</v>
      </c>
      <c r="D154" s="21" t="s">
        <v>849</v>
      </c>
      <c r="E154" s="21" t="str">
        <f t="shared" si="0"/>
        <v>PP0200170015001B</v>
      </c>
      <c r="F154" s="21"/>
      <c r="G154" s="31" t="s">
        <v>850</v>
      </c>
      <c r="H154" s="21" t="s">
        <v>95</v>
      </c>
      <c r="I154" s="21" t="s">
        <v>851</v>
      </c>
      <c r="J154" s="21" t="s">
        <v>852</v>
      </c>
      <c r="K154" s="21" t="s">
        <v>850</v>
      </c>
      <c r="L154" s="21" t="s">
        <v>853</v>
      </c>
      <c r="M154" s="21"/>
      <c r="N154" s="22"/>
      <c r="O154" s="21" t="s">
        <v>159</v>
      </c>
      <c r="P154" s="21">
        <v>817</v>
      </c>
      <c r="Q154" s="24">
        <v>0</v>
      </c>
      <c r="R154" s="24">
        <f t="shared" si="39"/>
        <v>817</v>
      </c>
      <c r="S154" s="23">
        <v>1.9214629629629632</v>
      </c>
      <c r="T154" s="23">
        <v>0</v>
      </c>
      <c r="U154" s="23">
        <f t="shared" si="40"/>
        <v>1.9214629629629632</v>
      </c>
      <c r="V154" s="23">
        <v>14.4</v>
      </c>
      <c r="W154" s="52">
        <f t="shared" si="31"/>
        <v>7.0920138888888893</v>
      </c>
      <c r="X154" s="23">
        <f t="shared" si="50"/>
        <v>7.4942896519819966</v>
      </c>
      <c r="Y154" s="21" t="str">
        <f t="shared" si="51"/>
        <v>è in grado</v>
      </c>
      <c r="Z154" s="21" t="str">
        <f t="shared" si="52"/>
        <v>non sottende</v>
      </c>
      <c r="AA154" s="23">
        <f t="shared" si="53"/>
        <v>2.0304528763769891</v>
      </c>
      <c r="AB154" s="21" t="str">
        <f t="shared" si="54"/>
        <v>A</v>
      </c>
      <c r="AC154" s="21" t="str">
        <f t="shared" si="3"/>
        <v>SI</v>
      </c>
      <c r="AD154" s="21" t="str">
        <f t="shared" si="55"/>
        <v>No</v>
      </c>
      <c r="AE154" s="21" t="s">
        <v>147</v>
      </c>
      <c r="AF154" s="41">
        <v>11.74</v>
      </c>
      <c r="AG154" s="41">
        <v>1361</v>
      </c>
      <c r="AH154" s="41">
        <v>689</v>
      </c>
      <c r="AI154" s="41" t="str">
        <f t="shared" si="47"/>
        <v>Manufatto limitante</v>
      </c>
      <c r="AJ154" s="24">
        <v>103.48</v>
      </c>
      <c r="AK154" s="24">
        <f t="shared" si="56"/>
        <v>6.5191341321994587</v>
      </c>
      <c r="AL154" s="24">
        <f t="shared" si="57"/>
        <v>674.6</v>
      </c>
      <c r="AM154" s="21" t="s">
        <v>190</v>
      </c>
      <c r="AN154" s="56" t="s">
        <v>222</v>
      </c>
      <c r="AO154" s="47">
        <v>46543</v>
      </c>
      <c r="AP154" s="29" t="s">
        <v>854</v>
      </c>
      <c r="AQ154" s="29" t="s">
        <v>255</v>
      </c>
      <c r="AR154" s="29" t="s">
        <v>225</v>
      </c>
      <c r="AS154" s="29" t="s">
        <v>92</v>
      </c>
      <c r="AT154" s="26"/>
      <c r="AU154" s="38"/>
      <c r="AV154" s="38"/>
      <c r="AW154" s="38"/>
      <c r="AX154" s="38"/>
      <c r="AY154" s="38"/>
      <c r="AZ154" s="38"/>
      <c r="BA154" s="38"/>
      <c r="BB154" s="38"/>
      <c r="BC154" s="38"/>
      <c r="BD154" s="38"/>
      <c r="BE154" s="38"/>
      <c r="BF154" s="1"/>
      <c r="BG154" s="1"/>
    </row>
    <row r="155" spans="1:59" ht="14.25" customHeight="1" x14ac:dyDescent="0.25">
      <c r="A155" s="1"/>
      <c r="B155" s="19"/>
      <c r="C155" s="21" t="s">
        <v>855</v>
      </c>
      <c r="D155" s="21" t="s">
        <v>856</v>
      </c>
      <c r="E155" s="21" t="str">
        <f t="shared" si="0"/>
        <v>PP0200170020001B</v>
      </c>
      <c r="F155" s="21"/>
      <c r="G155" s="31" t="s">
        <v>850</v>
      </c>
      <c r="H155" s="21" t="s">
        <v>95</v>
      </c>
      <c r="I155" s="21" t="s">
        <v>857</v>
      </c>
      <c r="J155" s="21" t="s">
        <v>858</v>
      </c>
      <c r="K155" s="21" t="s">
        <v>850</v>
      </c>
      <c r="L155" s="21" t="s">
        <v>859</v>
      </c>
      <c r="M155" s="21"/>
      <c r="N155" s="22"/>
      <c r="O155" s="21" t="s">
        <v>151</v>
      </c>
      <c r="P155" s="21">
        <v>2877</v>
      </c>
      <c r="Q155" s="24">
        <v>307</v>
      </c>
      <c r="R155" s="24">
        <f t="shared" si="39"/>
        <v>3184</v>
      </c>
      <c r="S155" s="23">
        <v>6.7662777777777778</v>
      </c>
      <c r="T155" s="23">
        <v>6.4467592592592595</v>
      </c>
      <c r="U155" s="23">
        <f t="shared" si="40"/>
        <v>13.213037037037036</v>
      </c>
      <c r="V155" s="23">
        <v>117.84</v>
      </c>
      <c r="W155" s="52">
        <f t="shared" si="31"/>
        <v>33.192351851851853</v>
      </c>
      <c r="X155" s="23">
        <f t="shared" si="50"/>
        <v>8.9184643674036881</v>
      </c>
      <c r="Y155" s="21" t="str">
        <f t="shared" si="51"/>
        <v>è in grado</v>
      </c>
      <c r="Z155" s="21" t="str">
        <f t="shared" si="52"/>
        <v>non sottende</v>
      </c>
      <c r="AA155" s="23">
        <f t="shared" si="53"/>
        <v>3.5502154389649108</v>
      </c>
      <c r="AB155" s="21" t="str">
        <f t="shared" si="54"/>
        <v>A</v>
      </c>
      <c r="AC155" s="21" t="str">
        <f t="shared" si="3"/>
        <v>SI</v>
      </c>
      <c r="AD155" s="21" t="str">
        <f t="shared" si="55"/>
        <v>Si</v>
      </c>
      <c r="AE155" s="21" t="s">
        <v>147</v>
      </c>
      <c r="AF155" s="41">
        <v>0.01</v>
      </c>
      <c r="AG155" s="41">
        <v>65</v>
      </c>
      <c r="AH155" s="41">
        <v>2696</v>
      </c>
      <c r="AI155" s="41" t="str">
        <f t="shared" si="47"/>
        <v xml:space="preserve"> </v>
      </c>
      <c r="AJ155" s="24">
        <v>0</v>
      </c>
      <c r="AK155" s="24" t="e">
        <f t="shared" si="56"/>
        <v>#DIV/0!</v>
      </c>
      <c r="AL155" s="24">
        <f t="shared" si="57"/>
        <v>-52.84</v>
      </c>
      <c r="AM155" s="21" t="s">
        <v>147</v>
      </c>
      <c r="AN155" s="56" t="s">
        <v>222</v>
      </c>
      <c r="AO155" s="47">
        <v>46543</v>
      </c>
      <c r="AP155" s="29" t="s">
        <v>854</v>
      </c>
      <c r="AQ155" s="29" t="s">
        <v>255</v>
      </c>
      <c r="AR155" s="29" t="s">
        <v>225</v>
      </c>
      <c r="AS155" s="29" t="s">
        <v>92</v>
      </c>
      <c r="AT155" s="26"/>
      <c r="AU155" s="38"/>
      <c r="AV155" s="38"/>
      <c r="AW155" s="38"/>
      <c r="AX155" s="38"/>
      <c r="AY155" s="38"/>
      <c r="AZ155" s="38"/>
      <c r="BA155" s="38"/>
      <c r="BB155" s="38"/>
      <c r="BC155" s="38"/>
      <c r="BD155" s="38"/>
      <c r="BE155" s="38"/>
      <c r="BF155" s="1"/>
      <c r="BG155" s="1"/>
    </row>
    <row r="156" spans="1:59" ht="14.25" customHeight="1" x14ac:dyDescent="0.25">
      <c r="A156" s="1"/>
      <c r="B156" s="19"/>
      <c r="C156" s="21" t="s">
        <v>860</v>
      </c>
      <c r="D156" s="21" t="s">
        <v>861</v>
      </c>
      <c r="E156" s="21" t="str">
        <f t="shared" si="0"/>
        <v>PP0200170003001B</v>
      </c>
      <c r="F156" s="21"/>
      <c r="G156" s="31" t="s">
        <v>850</v>
      </c>
      <c r="H156" s="21" t="s">
        <v>95</v>
      </c>
      <c r="I156" s="21" t="s">
        <v>862</v>
      </c>
      <c r="J156" s="21" t="s">
        <v>863</v>
      </c>
      <c r="K156" s="21" t="s">
        <v>850</v>
      </c>
      <c r="L156" s="21" t="s">
        <v>864</v>
      </c>
      <c r="M156" s="21"/>
      <c r="N156" s="22"/>
      <c r="O156" s="21" t="s">
        <v>151</v>
      </c>
      <c r="P156" s="21">
        <v>504</v>
      </c>
      <c r="Q156" s="24">
        <v>0</v>
      </c>
      <c r="R156" s="24">
        <f t="shared" si="39"/>
        <v>504</v>
      </c>
      <c r="S156" s="23">
        <v>1.1853333333333333</v>
      </c>
      <c r="T156" s="23">
        <v>0</v>
      </c>
      <c r="U156" s="23">
        <f t="shared" si="40"/>
        <v>1.1853333333333333</v>
      </c>
      <c r="V156" s="23">
        <v>26.86</v>
      </c>
      <c r="W156" s="52">
        <f t="shared" si="31"/>
        <v>4.375</v>
      </c>
      <c r="X156" s="23">
        <f t="shared" si="50"/>
        <v>22.660292463442069</v>
      </c>
      <c r="Y156" s="21" t="str">
        <f t="shared" si="51"/>
        <v>è in grado</v>
      </c>
      <c r="Z156" s="21" t="str">
        <f t="shared" si="52"/>
        <v>non sottende</v>
      </c>
      <c r="AA156" s="23">
        <f t="shared" si="53"/>
        <v>6.1394285714285717</v>
      </c>
      <c r="AB156" s="21" t="str">
        <f t="shared" si="54"/>
        <v>A</v>
      </c>
      <c r="AC156" s="21" t="str">
        <f t="shared" si="3"/>
        <v>SI</v>
      </c>
      <c r="AD156" s="21" t="str">
        <f t="shared" si="55"/>
        <v>Si</v>
      </c>
      <c r="AE156" s="21" t="s">
        <v>147</v>
      </c>
      <c r="AF156" s="41">
        <v>8.26</v>
      </c>
      <c r="AG156" s="41">
        <v>924</v>
      </c>
      <c r="AH156" s="41">
        <v>1249</v>
      </c>
      <c r="AI156" s="41" t="str">
        <f t="shared" si="47"/>
        <v xml:space="preserve"> </v>
      </c>
      <c r="AJ156" s="24">
        <v>225.86</v>
      </c>
      <c r="AK156" s="24">
        <f t="shared" si="56"/>
        <v>3.9721066147170809</v>
      </c>
      <c r="AL156" s="24">
        <f t="shared" si="57"/>
        <v>897.14</v>
      </c>
      <c r="AM156" s="21" t="s">
        <v>190</v>
      </c>
      <c r="AN156" s="56" t="s">
        <v>222</v>
      </c>
      <c r="AO156" s="47">
        <v>46543</v>
      </c>
      <c r="AP156" s="29" t="s">
        <v>854</v>
      </c>
      <c r="AQ156" s="29" t="s">
        <v>313</v>
      </c>
      <c r="AR156" s="29" t="s">
        <v>544</v>
      </c>
      <c r="AS156" s="29"/>
      <c r="AT156" s="26"/>
      <c r="AU156" s="38"/>
      <c r="AV156" s="38"/>
      <c r="AW156" s="38"/>
      <c r="AX156" s="38"/>
      <c r="AY156" s="38"/>
      <c r="AZ156" s="38"/>
      <c r="BA156" s="38"/>
      <c r="BB156" s="38"/>
      <c r="BC156" s="38"/>
      <c r="BD156" s="38"/>
      <c r="BE156" s="38"/>
      <c r="BF156" s="1"/>
      <c r="BG156" s="1"/>
    </row>
    <row r="157" spans="1:59" ht="14.25" customHeight="1" x14ac:dyDescent="0.25">
      <c r="A157" s="1"/>
      <c r="B157" s="19"/>
      <c r="C157" s="21" t="s">
        <v>865</v>
      </c>
      <c r="D157" s="21" t="s">
        <v>866</v>
      </c>
      <c r="E157" s="21" t="str">
        <f t="shared" si="0"/>
        <v>PP0200170002001B</v>
      </c>
      <c r="F157" s="21"/>
      <c r="G157" s="31" t="s">
        <v>850</v>
      </c>
      <c r="H157" s="21" t="s">
        <v>95</v>
      </c>
      <c r="I157" s="21" t="s">
        <v>867</v>
      </c>
      <c r="J157" s="21" t="s">
        <v>868</v>
      </c>
      <c r="K157" s="21" t="s">
        <v>850</v>
      </c>
      <c r="L157" s="21" t="s">
        <v>864</v>
      </c>
      <c r="M157" s="21"/>
      <c r="N157" s="22"/>
      <c r="O157" s="21" t="s">
        <v>151</v>
      </c>
      <c r="P157" s="21">
        <v>334</v>
      </c>
      <c r="Q157" s="24">
        <v>0</v>
      </c>
      <c r="R157" s="24">
        <f t="shared" si="39"/>
        <v>334</v>
      </c>
      <c r="S157" s="23">
        <v>0.7855185185185185</v>
      </c>
      <c r="T157" s="23">
        <v>0</v>
      </c>
      <c r="U157" s="23">
        <f t="shared" si="40"/>
        <v>0.7855185185185185</v>
      </c>
      <c r="V157" s="23">
        <v>46.5</v>
      </c>
      <c r="W157" s="52">
        <f t="shared" si="31"/>
        <v>2.8993055555555554</v>
      </c>
      <c r="X157" s="23">
        <f t="shared" si="50"/>
        <v>59.196567494931401</v>
      </c>
      <c r="Y157" s="21" t="str">
        <f t="shared" si="51"/>
        <v>è in grado</v>
      </c>
      <c r="Z157" s="21" t="str">
        <f t="shared" si="52"/>
        <v>non sottende</v>
      </c>
      <c r="AA157" s="23">
        <f t="shared" si="53"/>
        <v>16.038323353293414</v>
      </c>
      <c r="AB157" s="21" t="str">
        <f t="shared" si="54"/>
        <v>A</v>
      </c>
      <c r="AC157" s="21" t="str">
        <f t="shared" si="3"/>
        <v>SI</v>
      </c>
      <c r="AD157" s="21" t="str">
        <f t="shared" si="55"/>
        <v>Si</v>
      </c>
      <c r="AE157" s="21" t="s">
        <v>147</v>
      </c>
      <c r="AF157" s="41">
        <v>3.67</v>
      </c>
      <c r="AG157" s="41">
        <v>580</v>
      </c>
      <c r="AH157" s="41">
        <v>2309</v>
      </c>
      <c r="AI157" s="41" t="str">
        <f t="shared" si="47"/>
        <v xml:space="preserve"> </v>
      </c>
      <c r="AJ157" s="24">
        <v>245.85</v>
      </c>
      <c r="AK157" s="24">
        <f t="shared" si="56"/>
        <v>2.1700223713646531</v>
      </c>
      <c r="AL157" s="24">
        <f t="shared" si="57"/>
        <v>533.5</v>
      </c>
      <c r="AM157" s="21" t="s">
        <v>190</v>
      </c>
      <c r="AN157" s="56" t="s">
        <v>222</v>
      </c>
      <c r="AO157" s="47">
        <v>46543</v>
      </c>
      <c r="AP157" s="29" t="s">
        <v>854</v>
      </c>
      <c r="AQ157" s="29" t="s">
        <v>313</v>
      </c>
      <c r="AR157" s="29" t="s">
        <v>544</v>
      </c>
      <c r="AS157" s="29"/>
      <c r="AT157" s="26"/>
      <c r="AU157" s="38"/>
      <c r="AV157" s="38"/>
      <c r="AW157" s="38"/>
      <c r="AX157" s="38"/>
      <c r="AY157" s="38"/>
      <c r="AZ157" s="38"/>
      <c r="BA157" s="38"/>
      <c r="BB157" s="38"/>
      <c r="BC157" s="38"/>
      <c r="BD157" s="38"/>
      <c r="BE157" s="38"/>
      <c r="BF157" s="1"/>
      <c r="BG157" s="1"/>
    </row>
    <row r="158" spans="1:59" ht="14.25" customHeight="1" x14ac:dyDescent="0.25">
      <c r="A158" s="1"/>
      <c r="B158" s="19"/>
      <c r="C158" s="21" t="s">
        <v>869</v>
      </c>
      <c r="D158" s="21" t="s">
        <v>870</v>
      </c>
      <c r="E158" s="21" t="str">
        <f t="shared" si="0"/>
        <v>PP0200170024001B</v>
      </c>
      <c r="F158" s="21"/>
      <c r="G158" s="31" t="s">
        <v>850</v>
      </c>
      <c r="H158" s="21" t="s">
        <v>95</v>
      </c>
      <c r="I158" s="21" t="s">
        <v>871</v>
      </c>
      <c r="J158" s="21" t="s">
        <v>872</v>
      </c>
      <c r="K158" s="21" t="s">
        <v>850</v>
      </c>
      <c r="L158" s="21" t="s">
        <v>864</v>
      </c>
      <c r="M158" s="21"/>
      <c r="N158" s="22"/>
      <c r="O158" s="21" t="s">
        <v>151</v>
      </c>
      <c r="P158" s="21">
        <v>1531</v>
      </c>
      <c r="Q158" s="24">
        <v>24</v>
      </c>
      <c r="R158" s="24">
        <f t="shared" si="39"/>
        <v>1555</v>
      </c>
      <c r="S158" s="23">
        <v>3.6006851851851849</v>
      </c>
      <c r="T158" s="23">
        <v>9.5138888888888884E-2</v>
      </c>
      <c r="U158" s="23">
        <f t="shared" si="40"/>
        <v>3.695824074074074</v>
      </c>
      <c r="V158" s="23">
        <v>67.34</v>
      </c>
      <c r="W158" s="52">
        <f t="shared" si="31"/>
        <v>13.498263888888889</v>
      </c>
      <c r="X158" s="23">
        <f t="shared" si="50"/>
        <v>18.22056425044282</v>
      </c>
      <c r="Y158" s="21" t="str">
        <f t="shared" si="51"/>
        <v>è in grado</v>
      </c>
      <c r="Z158" s="21" t="str">
        <f t="shared" si="52"/>
        <v>non sottende</v>
      </c>
      <c r="AA158" s="23">
        <f t="shared" si="53"/>
        <v>4.9887897106109325</v>
      </c>
      <c r="AB158" s="21" t="str">
        <f t="shared" si="54"/>
        <v>A</v>
      </c>
      <c r="AC158" s="21" t="str">
        <f t="shared" si="3"/>
        <v>SI</v>
      </c>
      <c r="AD158" s="21" t="str">
        <f t="shared" si="55"/>
        <v>Si</v>
      </c>
      <c r="AE158" s="21" t="s">
        <v>147</v>
      </c>
      <c r="AF158" s="41">
        <v>1.59</v>
      </c>
      <c r="AG158" s="41">
        <v>289</v>
      </c>
      <c r="AH158" s="41">
        <v>917</v>
      </c>
      <c r="AI158" s="41" t="str">
        <f t="shared" si="47"/>
        <v xml:space="preserve"> </v>
      </c>
      <c r="AJ158" s="24">
        <v>271.95999999999998</v>
      </c>
      <c r="AK158" s="24">
        <f t="shared" si="56"/>
        <v>0.81504633034269747</v>
      </c>
      <c r="AL158" s="24">
        <f t="shared" si="57"/>
        <v>221.66</v>
      </c>
      <c r="AM158" s="21" t="s">
        <v>190</v>
      </c>
      <c r="AN158" s="56" t="s">
        <v>222</v>
      </c>
      <c r="AO158" s="47">
        <v>46543</v>
      </c>
      <c r="AP158" s="29" t="s">
        <v>854</v>
      </c>
      <c r="AQ158" s="29" t="s">
        <v>313</v>
      </c>
      <c r="AR158" s="29" t="s">
        <v>544</v>
      </c>
      <c r="AS158" s="29"/>
      <c r="AT158" s="26"/>
      <c r="AU158" s="38"/>
      <c r="AV158" s="38"/>
      <c r="AW158" s="38"/>
      <c r="AX158" s="38"/>
      <c r="AY158" s="38"/>
      <c r="AZ158" s="38"/>
      <c r="BA158" s="38"/>
      <c r="BB158" s="38"/>
      <c r="BC158" s="38"/>
      <c r="BD158" s="38"/>
      <c r="BE158" s="38"/>
      <c r="BF158" s="1"/>
      <c r="BG158" s="1"/>
    </row>
    <row r="159" spans="1:59" ht="14.25" customHeight="1" x14ac:dyDescent="0.25">
      <c r="A159" s="1"/>
      <c r="B159" s="19"/>
      <c r="C159" s="21" t="s">
        <v>873</v>
      </c>
      <c r="D159" s="21" t="s">
        <v>874</v>
      </c>
      <c r="E159" s="21" t="str">
        <f t="shared" si="0"/>
        <v>PP0200170014001B</v>
      </c>
      <c r="F159" s="21"/>
      <c r="G159" s="31" t="s">
        <v>850</v>
      </c>
      <c r="H159" s="21" t="s">
        <v>95</v>
      </c>
      <c r="I159" s="21" t="s">
        <v>875</v>
      </c>
      <c r="J159" s="21" t="s">
        <v>876</v>
      </c>
      <c r="K159" s="21" t="s">
        <v>850</v>
      </c>
      <c r="L159" s="21" t="s">
        <v>859</v>
      </c>
      <c r="M159" s="21"/>
      <c r="N159" s="22"/>
      <c r="O159" s="21" t="s">
        <v>151</v>
      </c>
      <c r="P159" s="21">
        <v>1786</v>
      </c>
      <c r="Q159" s="24">
        <v>0</v>
      </c>
      <c r="R159" s="24">
        <f t="shared" si="39"/>
        <v>1786</v>
      </c>
      <c r="S159" s="23">
        <v>4.2004074074074076</v>
      </c>
      <c r="T159" s="23">
        <v>0</v>
      </c>
      <c r="U159" s="23">
        <f t="shared" si="40"/>
        <v>4.2004074074074076</v>
      </c>
      <c r="V159" s="23">
        <v>323.48</v>
      </c>
      <c r="W159" s="52">
        <f t="shared" si="31"/>
        <v>15.503472222222221</v>
      </c>
      <c r="X159" s="23">
        <f t="shared" si="50"/>
        <v>77.011577360220784</v>
      </c>
      <c r="Y159" s="21" t="str">
        <f t="shared" si="51"/>
        <v>è in grado</v>
      </c>
      <c r="Z159" s="21" t="str">
        <f t="shared" si="52"/>
        <v>non sottende</v>
      </c>
      <c r="AA159" s="23">
        <f t="shared" si="53"/>
        <v>20.865003359462488</v>
      </c>
      <c r="AB159" s="21" t="str">
        <f t="shared" si="54"/>
        <v>A</v>
      </c>
      <c r="AC159" s="21" t="str">
        <f t="shared" si="3"/>
        <v>SI</v>
      </c>
      <c r="AD159" s="21" t="str">
        <f t="shared" si="55"/>
        <v>Si</v>
      </c>
      <c r="AE159" s="21" t="s">
        <v>147</v>
      </c>
      <c r="AF159" s="41">
        <v>35.14</v>
      </c>
      <c r="AG159" s="41">
        <v>2886</v>
      </c>
      <c r="AH159" s="41">
        <v>3027</v>
      </c>
      <c r="AI159" s="41" t="str">
        <f t="shared" si="47"/>
        <v xml:space="preserve"> </v>
      </c>
      <c r="AJ159" s="24">
        <v>176.79</v>
      </c>
      <c r="AK159" s="24">
        <f t="shared" si="56"/>
        <v>14.494711239323491</v>
      </c>
      <c r="AL159" s="24">
        <f t="shared" si="57"/>
        <v>2562.52</v>
      </c>
      <c r="AM159" s="21" t="s">
        <v>190</v>
      </c>
      <c r="AN159" s="56" t="s">
        <v>222</v>
      </c>
      <c r="AO159" s="47">
        <v>46543</v>
      </c>
      <c r="AP159" s="29" t="s">
        <v>854</v>
      </c>
      <c r="AQ159" s="29" t="s">
        <v>255</v>
      </c>
      <c r="AR159" s="29" t="s">
        <v>225</v>
      </c>
      <c r="AS159" s="29" t="s">
        <v>92</v>
      </c>
      <c r="AT159" s="26"/>
      <c r="AU159" s="38"/>
      <c r="AV159" s="38"/>
      <c r="AW159" s="38"/>
      <c r="AX159" s="38"/>
      <c r="AY159" s="38"/>
      <c r="AZ159" s="38"/>
      <c r="BA159" s="38"/>
      <c r="BB159" s="38"/>
      <c r="BC159" s="38"/>
      <c r="BD159" s="38"/>
      <c r="BE159" s="38"/>
      <c r="BF159" s="1"/>
      <c r="BG159" s="1"/>
    </row>
    <row r="160" spans="1:59" ht="14.25" customHeight="1" x14ac:dyDescent="0.25">
      <c r="A160" s="1"/>
      <c r="B160" s="19"/>
      <c r="C160" s="21" t="s">
        <v>877</v>
      </c>
      <c r="D160" s="21" t="s">
        <v>878</v>
      </c>
      <c r="E160" s="21" t="str">
        <f t="shared" si="0"/>
        <v>PP0200170013001B</v>
      </c>
      <c r="F160" s="21"/>
      <c r="G160" s="31" t="s">
        <v>850</v>
      </c>
      <c r="H160" s="21" t="s">
        <v>95</v>
      </c>
      <c r="I160" s="21" t="s">
        <v>879</v>
      </c>
      <c r="J160" s="21" t="s">
        <v>880</v>
      </c>
      <c r="K160" s="21" t="s">
        <v>850</v>
      </c>
      <c r="L160" s="21" t="s">
        <v>859</v>
      </c>
      <c r="M160" s="21"/>
      <c r="N160" s="22"/>
      <c r="O160" s="21" t="s">
        <v>151</v>
      </c>
      <c r="P160" s="21">
        <v>1011</v>
      </c>
      <c r="Q160" s="24">
        <v>307</v>
      </c>
      <c r="R160" s="24">
        <f t="shared" si="39"/>
        <v>1318</v>
      </c>
      <c r="S160" s="23">
        <v>2.3777222222222223</v>
      </c>
      <c r="T160" s="23">
        <v>6.4467592592592595</v>
      </c>
      <c r="U160" s="23">
        <f t="shared" si="40"/>
        <v>8.8244814814814809</v>
      </c>
      <c r="V160" s="23">
        <v>205.6</v>
      </c>
      <c r="W160" s="52">
        <f t="shared" si="31"/>
        <v>20.026685185185187</v>
      </c>
      <c r="X160" s="23">
        <f t="shared" si="50"/>
        <v>23.298819361960206</v>
      </c>
      <c r="Y160" s="21" t="str">
        <f t="shared" si="51"/>
        <v>è in grado</v>
      </c>
      <c r="Z160" s="21" t="str">
        <f t="shared" si="52"/>
        <v>non sottende</v>
      </c>
      <c r="AA160" s="23">
        <f t="shared" si="53"/>
        <v>10.266302091376227</v>
      </c>
      <c r="AB160" s="21" t="str">
        <f t="shared" si="54"/>
        <v>A</v>
      </c>
      <c r="AC160" s="21" t="str">
        <f t="shared" si="3"/>
        <v>SI</v>
      </c>
      <c r="AD160" s="21" t="str">
        <f t="shared" si="55"/>
        <v>Si</v>
      </c>
      <c r="AE160" s="21" t="s">
        <v>147</v>
      </c>
      <c r="AF160" s="41">
        <v>2.74</v>
      </c>
      <c r="AG160" s="41">
        <v>437</v>
      </c>
      <c r="AH160" s="41">
        <v>2602</v>
      </c>
      <c r="AI160" s="41" t="str">
        <f t="shared" si="47"/>
        <v xml:space="preserve"> </v>
      </c>
      <c r="AJ160" s="24">
        <v>211.56</v>
      </c>
      <c r="AK160" s="24">
        <f t="shared" si="56"/>
        <v>1.0937795424465873</v>
      </c>
      <c r="AL160" s="24">
        <f t="shared" si="57"/>
        <v>231.4</v>
      </c>
      <c r="AM160" s="21" t="s">
        <v>190</v>
      </c>
      <c r="AN160" s="56" t="s">
        <v>222</v>
      </c>
      <c r="AO160" s="47">
        <v>46543</v>
      </c>
      <c r="AP160" s="29" t="s">
        <v>854</v>
      </c>
      <c r="AQ160" s="29" t="s">
        <v>255</v>
      </c>
      <c r="AR160" s="29" t="s">
        <v>225</v>
      </c>
      <c r="AS160" s="29" t="s">
        <v>92</v>
      </c>
      <c r="AT160" s="26"/>
      <c r="AU160" s="38"/>
      <c r="AV160" s="38"/>
      <c r="AW160" s="38"/>
      <c r="AX160" s="38"/>
      <c r="AY160" s="38"/>
      <c r="AZ160" s="38"/>
      <c r="BA160" s="38"/>
      <c r="BB160" s="38"/>
      <c r="BC160" s="38"/>
      <c r="BD160" s="38"/>
      <c r="BE160" s="38"/>
      <c r="BF160" s="1"/>
      <c r="BG160" s="1"/>
    </row>
    <row r="161" spans="1:59" ht="14.25" customHeight="1" x14ac:dyDescent="0.25">
      <c r="A161" s="1"/>
      <c r="B161" s="19"/>
      <c r="C161" s="21" t="s">
        <v>881</v>
      </c>
      <c r="D161" s="21" t="s">
        <v>882</v>
      </c>
      <c r="E161" s="21" t="str">
        <f t="shared" si="0"/>
        <v>PP0200170025001B</v>
      </c>
      <c r="F161" s="21" t="s">
        <v>883</v>
      </c>
      <c r="G161" s="31" t="s">
        <v>850</v>
      </c>
      <c r="H161" s="21" t="s">
        <v>95</v>
      </c>
      <c r="I161" s="21" t="s">
        <v>884</v>
      </c>
      <c r="J161" s="21" t="s">
        <v>885</v>
      </c>
      <c r="K161" s="21" t="s">
        <v>850</v>
      </c>
      <c r="L161" s="21" t="s">
        <v>859</v>
      </c>
      <c r="M161" s="21"/>
      <c r="N161" s="22"/>
      <c r="O161" s="21" t="s">
        <v>151</v>
      </c>
      <c r="P161" s="21">
        <v>2877</v>
      </c>
      <c r="Q161" s="24">
        <v>307</v>
      </c>
      <c r="R161" s="24">
        <f t="shared" si="39"/>
        <v>3184</v>
      </c>
      <c r="S161" s="23">
        <v>6.7662777777777778</v>
      </c>
      <c r="T161" s="23">
        <v>6.4467592592592595</v>
      </c>
      <c r="U161" s="23">
        <f t="shared" si="40"/>
        <v>13.213037037037036</v>
      </c>
      <c r="V161" s="23">
        <v>64.739999999999995</v>
      </c>
      <c r="W161" s="52">
        <f t="shared" si="31"/>
        <v>33.192351851851853</v>
      </c>
      <c r="X161" s="23">
        <f t="shared" si="50"/>
        <v>4.8997062385074219</v>
      </c>
      <c r="Y161" s="21" t="str">
        <f t="shared" si="51"/>
        <v>è in grado</v>
      </c>
      <c r="Z161" s="21" t="str">
        <f t="shared" si="52"/>
        <v>non sottende</v>
      </c>
      <c r="AA161" s="23">
        <f t="shared" si="53"/>
        <v>1.9504493170280746</v>
      </c>
      <c r="AB161" s="21" t="str">
        <f t="shared" si="54"/>
        <v>B</v>
      </c>
      <c r="AC161" s="21" t="str">
        <f t="shared" si="3"/>
        <v>SI</v>
      </c>
      <c r="AD161" s="21" t="str">
        <f t="shared" si="55"/>
        <v>Si</v>
      </c>
      <c r="AE161" s="21" t="s">
        <v>490</v>
      </c>
      <c r="AF161" s="41">
        <v>2.09</v>
      </c>
      <c r="AG161" s="41">
        <v>739</v>
      </c>
      <c r="AH161" s="41">
        <v>1414</v>
      </c>
      <c r="AI161" s="41" t="str">
        <f t="shared" si="47"/>
        <v xml:space="preserve"> </v>
      </c>
      <c r="AJ161" s="24">
        <v>805.93</v>
      </c>
      <c r="AK161" s="24">
        <f t="shared" si="56"/>
        <v>0.8366235280979738</v>
      </c>
      <c r="AL161" s="24">
        <f t="shared" si="57"/>
        <v>674.26</v>
      </c>
      <c r="AM161" s="21" t="s">
        <v>190</v>
      </c>
      <c r="AN161" s="56" t="s">
        <v>222</v>
      </c>
      <c r="AO161" s="47">
        <v>46543</v>
      </c>
      <c r="AP161" s="29" t="s">
        <v>854</v>
      </c>
      <c r="AQ161" s="29" t="s">
        <v>255</v>
      </c>
      <c r="AR161" s="29" t="s">
        <v>225</v>
      </c>
      <c r="AS161" s="29" t="s">
        <v>92</v>
      </c>
      <c r="AT161" s="26"/>
      <c r="AU161" s="38"/>
      <c r="AV161" s="38"/>
      <c r="AW161" s="38"/>
      <c r="AX161" s="38"/>
      <c r="AY161" s="38"/>
      <c r="AZ161" s="38"/>
      <c r="BA161" s="38"/>
      <c r="BB161" s="38"/>
      <c r="BC161" s="38"/>
      <c r="BD161" s="38"/>
      <c r="BE161" s="38"/>
      <c r="BF161" s="1"/>
      <c r="BG161" s="1"/>
    </row>
    <row r="162" spans="1:59" ht="14.25" customHeight="1" x14ac:dyDescent="0.25">
      <c r="A162" s="1"/>
      <c r="B162" s="19"/>
      <c r="C162" s="21" t="s">
        <v>886</v>
      </c>
      <c r="D162" s="21" t="s">
        <v>887</v>
      </c>
      <c r="E162" s="21" t="str">
        <f t="shared" si="0"/>
        <v>PP0200170012001B</v>
      </c>
      <c r="F162" s="21"/>
      <c r="G162" s="31" t="s">
        <v>850</v>
      </c>
      <c r="H162" s="21" t="s">
        <v>95</v>
      </c>
      <c r="I162" s="21" t="s">
        <v>888</v>
      </c>
      <c r="J162" s="21" t="s">
        <v>889</v>
      </c>
      <c r="K162" s="21" t="s">
        <v>850</v>
      </c>
      <c r="L162" s="21" t="s">
        <v>859</v>
      </c>
      <c r="M162" s="21"/>
      <c r="N162" s="22"/>
      <c r="O162" s="21" t="s">
        <v>151</v>
      </c>
      <c r="P162" s="21">
        <v>913</v>
      </c>
      <c r="Q162" s="24">
        <v>307</v>
      </c>
      <c r="R162" s="24">
        <f t="shared" si="39"/>
        <v>1220</v>
      </c>
      <c r="S162" s="23">
        <f t="shared" ref="S162:S163" si="58">P162*254*0.8/86400</f>
        <v>2.1472407407407408</v>
      </c>
      <c r="T162" s="23">
        <v>6.4467592592592595</v>
      </c>
      <c r="U162" s="23">
        <f t="shared" si="40"/>
        <v>8.5940000000000012</v>
      </c>
      <c r="V162" s="23">
        <v>194.46</v>
      </c>
      <c r="W162" s="52">
        <f t="shared" si="31"/>
        <v>19.335240740740741</v>
      </c>
      <c r="X162" s="23">
        <f t="shared" si="50"/>
        <v>22.627414475215264</v>
      </c>
      <c r="Y162" s="21" t="str">
        <f t="shared" si="51"/>
        <v>è in grado</v>
      </c>
      <c r="Z162" s="21" t="str">
        <f t="shared" si="52"/>
        <v>non sottende</v>
      </c>
      <c r="AA162" s="40">
        <f t="shared" si="53"/>
        <v>10.05728362048572</v>
      </c>
      <c r="AB162" s="21" t="str">
        <f t="shared" si="54"/>
        <v>A</v>
      </c>
      <c r="AC162" s="21" t="str">
        <f t="shared" si="3"/>
        <v>SI</v>
      </c>
      <c r="AD162" s="21" t="str">
        <f t="shared" si="55"/>
        <v>Si</v>
      </c>
      <c r="AE162" s="21" t="s">
        <v>147</v>
      </c>
      <c r="AF162" s="41">
        <v>2.77</v>
      </c>
      <c r="AG162" s="41">
        <v>1980</v>
      </c>
      <c r="AH162" s="41">
        <v>2121</v>
      </c>
      <c r="AI162" s="41" t="str">
        <f t="shared" si="47"/>
        <v xml:space="preserve"> </v>
      </c>
      <c r="AJ162" s="24">
        <v>1463</v>
      </c>
      <c r="AK162" s="24">
        <v>1.22</v>
      </c>
      <c r="AL162" s="24">
        <f t="shared" si="57"/>
        <v>1785.54</v>
      </c>
      <c r="AM162" s="21" t="s">
        <v>190</v>
      </c>
      <c r="AN162" s="56" t="s">
        <v>222</v>
      </c>
      <c r="AO162" s="47">
        <v>46543</v>
      </c>
      <c r="AP162" s="29" t="s">
        <v>854</v>
      </c>
      <c r="AQ162" s="29" t="s">
        <v>255</v>
      </c>
      <c r="AR162" s="29" t="s">
        <v>225</v>
      </c>
      <c r="AS162" s="29" t="s">
        <v>92</v>
      </c>
      <c r="AT162" s="26"/>
      <c r="AU162" s="38"/>
      <c r="AV162" s="38"/>
      <c r="AW162" s="38"/>
      <c r="AX162" s="38"/>
      <c r="AY162" s="38"/>
      <c r="AZ162" s="38"/>
      <c r="BA162" s="38"/>
      <c r="BB162" s="38"/>
      <c r="BC162" s="38"/>
      <c r="BD162" s="38"/>
      <c r="BE162" s="38"/>
      <c r="BF162" s="1"/>
      <c r="BG162" s="1"/>
    </row>
    <row r="163" spans="1:59" ht="14.25" customHeight="1" x14ac:dyDescent="0.25">
      <c r="A163" s="1"/>
      <c r="B163" s="19"/>
      <c r="C163" s="21" t="s">
        <v>890</v>
      </c>
      <c r="D163" s="21" t="s">
        <v>891</v>
      </c>
      <c r="E163" s="21" t="str">
        <f t="shared" si="0"/>
        <v>PP0200170037001B</v>
      </c>
      <c r="F163" s="21"/>
      <c r="G163" s="31" t="s">
        <v>850</v>
      </c>
      <c r="H163" s="97" t="s">
        <v>95</v>
      </c>
      <c r="I163" s="97" t="s">
        <v>892</v>
      </c>
      <c r="J163" s="97" t="s">
        <v>893</v>
      </c>
      <c r="K163" s="21" t="s">
        <v>850</v>
      </c>
      <c r="L163" s="97" t="s">
        <v>859</v>
      </c>
      <c r="M163" s="21"/>
      <c r="N163" s="22"/>
      <c r="O163" s="21" t="s">
        <v>151</v>
      </c>
      <c r="P163" s="21">
        <v>793</v>
      </c>
      <c r="Q163" s="24">
        <v>307</v>
      </c>
      <c r="R163" s="24">
        <f t="shared" si="39"/>
        <v>1100</v>
      </c>
      <c r="S163" s="23">
        <f t="shared" si="58"/>
        <v>1.8650185185185186</v>
      </c>
      <c r="T163" s="23">
        <v>6.4467592592592595</v>
      </c>
      <c r="U163" s="23">
        <f t="shared" si="40"/>
        <v>8.3117777777777775</v>
      </c>
      <c r="V163" s="23">
        <v>1775</v>
      </c>
      <c r="W163" s="52">
        <f t="shared" si="31"/>
        <v>18.488574074074073</v>
      </c>
      <c r="X163" s="23">
        <f t="shared" si="50"/>
        <v>213.55238884581451</v>
      </c>
      <c r="Y163" s="21" t="str">
        <f t="shared" si="51"/>
        <v>è in grado</v>
      </c>
      <c r="Z163" s="21" t="str">
        <f t="shared" si="52"/>
        <v>non sottende</v>
      </c>
      <c r="AA163" s="40">
        <f t="shared" si="53"/>
        <v>96.005240473846214</v>
      </c>
      <c r="AB163" s="21" t="str">
        <f t="shared" si="54"/>
        <v>A</v>
      </c>
      <c r="AC163" s="21" t="str">
        <f t="shared" si="3"/>
        <v>SI</v>
      </c>
      <c r="AD163" s="21" t="str">
        <f t="shared" si="55"/>
        <v>Si</v>
      </c>
      <c r="AE163" s="21" t="s">
        <v>147</v>
      </c>
      <c r="AF163" s="41">
        <v>23.7</v>
      </c>
      <c r="AG163" s="41">
        <v>1838</v>
      </c>
      <c r="AH163" s="41">
        <v>2982</v>
      </c>
      <c r="AI163" s="41" t="str">
        <f t="shared" si="47"/>
        <v xml:space="preserve"> </v>
      </c>
      <c r="AJ163" s="24">
        <v>9.4</v>
      </c>
      <c r="AK163" s="24">
        <f t="shared" ref="AK163:AK190" si="59">((MIN(AG163:AH163))-V163)/AJ163</f>
        <v>6.7021276595744679</v>
      </c>
      <c r="AL163" s="24">
        <f t="shared" si="57"/>
        <v>63</v>
      </c>
      <c r="AM163" s="98"/>
      <c r="AN163" s="56" t="s">
        <v>222</v>
      </c>
      <c r="AO163" s="47">
        <v>46543</v>
      </c>
      <c r="AP163" s="29" t="s">
        <v>854</v>
      </c>
      <c r="AQ163" s="29" t="s">
        <v>255</v>
      </c>
      <c r="AR163" s="29" t="s">
        <v>225</v>
      </c>
      <c r="AS163" s="29" t="s">
        <v>92</v>
      </c>
      <c r="AT163" s="26"/>
      <c r="AU163" s="38"/>
      <c r="AV163" s="38"/>
      <c r="AW163" s="38"/>
      <c r="AX163" s="38"/>
      <c r="AY163" s="38"/>
      <c r="AZ163" s="38"/>
      <c r="BA163" s="38"/>
      <c r="BB163" s="38"/>
      <c r="BC163" s="38"/>
      <c r="BD163" s="38"/>
      <c r="BE163" s="38"/>
      <c r="BF163" s="1"/>
      <c r="BG163" s="1"/>
    </row>
    <row r="164" spans="1:59" ht="14.25" customHeight="1" x14ac:dyDescent="0.25">
      <c r="A164" s="1"/>
      <c r="B164" s="19"/>
      <c r="C164" s="21" t="s">
        <v>894</v>
      </c>
      <c r="D164" s="21" t="s">
        <v>895</v>
      </c>
      <c r="E164" s="21" t="str">
        <f t="shared" si="0"/>
        <v>PP0200170026001B</v>
      </c>
      <c r="F164" s="21"/>
      <c r="G164" s="99" t="s">
        <v>850</v>
      </c>
      <c r="H164" s="21" t="s">
        <v>95</v>
      </c>
      <c r="I164" s="21" t="s">
        <v>896</v>
      </c>
      <c r="J164" s="21" t="s">
        <v>897</v>
      </c>
      <c r="K164" s="21" t="s">
        <v>850</v>
      </c>
      <c r="L164" s="21" t="s">
        <v>864</v>
      </c>
      <c r="M164" s="100"/>
      <c r="N164" s="22"/>
      <c r="O164" s="21" t="s">
        <v>151</v>
      </c>
      <c r="P164" s="21">
        <v>27</v>
      </c>
      <c r="Q164" s="24">
        <v>0</v>
      </c>
      <c r="R164" s="24">
        <f t="shared" si="39"/>
        <v>27</v>
      </c>
      <c r="S164" s="23">
        <v>6.3500000000000001E-2</v>
      </c>
      <c r="T164" s="23">
        <v>0</v>
      </c>
      <c r="U164" s="23">
        <f t="shared" si="40"/>
        <v>6.3500000000000001E-2</v>
      </c>
      <c r="V164" s="23">
        <v>78.209999999999994</v>
      </c>
      <c r="W164" s="52">
        <f t="shared" si="31"/>
        <v>0.234375</v>
      </c>
      <c r="X164" s="23">
        <f t="shared" si="50"/>
        <v>1231.6535433070865</v>
      </c>
      <c r="Y164" s="21" t="str">
        <f t="shared" si="51"/>
        <v>è in grado</v>
      </c>
      <c r="Z164" s="21" t="str">
        <f t="shared" si="52"/>
        <v>non sottende</v>
      </c>
      <c r="AA164" s="40">
        <f t="shared" si="53"/>
        <v>333.69599999999997</v>
      </c>
      <c r="AB164" s="21" t="str">
        <f t="shared" si="54"/>
        <v>A</v>
      </c>
      <c r="AC164" s="21" t="str">
        <f t="shared" si="3"/>
        <v>SI</v>
      </c>
      <c r="AD164" s="21" t="str">
        <f t="shared" si="55"/>
        <v>Si</v>
      </c>
      <c r="AE164" s="21" t="s">
        <v>147</v>
      </c>
      <c r="AF164" s="41">
        <v>0.83</v>
      </c>
      <c r="AG164" s="41">
        <v>89</v>
      </c>
      <c r="AH164" s="41">
        <v>2343</v>
      </c>
      <c r="AI164" s="41" t="str">
        <f t="shared" si="47"/>
        <v xml:space="preserve"> </v>
      </c>
      <c r="AJ164" s="24">
        <v>31.52</v>
      </c>
      <c r="AK164" s="24">
        <f t="shared" si="59"/>
        <v>0.3423223350253809</v>
      </c>
      <c r="AL164" s="24">
        <f t="shared" si="57"/>
        <v>10.790000000000006</v>
      </c>
      <c r="AM164" s="21" t="s">
        <v>147</v>
      </c>
      <c r="AN164" s="56" t="s">
        <v>222</v>
      </c>
      <c r="AO164" s="47">
        <v>46543</v>
      </c>
      <c r="AP164" s="29" t="s">
        <v>854</v>
      </c>
      <c r="AQ164" s="29" t="s">
        <v>313</v>
      </c>
      <c r="AR164" s="29" t="s">
        <v>544</v>
      </c>
      <c r="AS164" s="29"/>
      <c r="AT164" s="26"/>
      <c r="AU164" s="38"/>
      <c r="AV164" s="38"/>
      <c r="AW164" s="38"/>
      <c r="AX164" s="38"/>
      <c r="AY164" s="38"/>
      <c r="AZ164" s="38"/>
      <c r="BA164" s="38"/>
      <c r="BB164" s="38"/>
      <c r="BC164" s="38"/>
      <c r="BD164" s="38"/>
      <c r="BE164" s="38"/>
      <c r="BF164" s="1"/>
      <c r="BG164" s="1"/>
    </row>
    <row r="165" spans="1:59" ht="14.25" customHeight="1" x14ac:dyDescent="0.25">
      <c r="A165" s="1"/>
      <c r="B165" s="19"/>
      <c r="C165" s="21" t="s">
        <v>898</v>
      </c>
      <c r="D165" s="21" t="s">
        <v>92</v>
      </c>
      <c r="E165" s="21" t="str">
        <f t="shared" si="0"/>
        <v>-001B</v>
      </c>
      <c r="F165" s="21"/>
      <c r="G165" s="99" t="s">
        <v>850</v>
      </c>
      <c r="H165" s="21" t="s">
        <v>95</v>
      </c>
      <c r="I165" s="21" t="s">
        <v>899</v>
      </c>
      <c r="J165" s="21" t="s">
        <v>900</v>
      </c>
      <c r="K165" s="21" t="s">
        <v>850</v>
      </c>
      <c r="L165" s="21" t="s">
        <v>901</v>
      </c>
      <c r="M165" s="101" t="s">
        <v>221</v>
      </c>
      <c r="N165" s="22"/>
      <c r="O165" s="21" t="s">
        <v>151</v>
      </c>
      <c r="P165" s="21">
        <v>1185</v>
      </c>
      <c r="Q165" s="24">
        <v>4</v>
      </c>
      <c r="R165" s="24">
        <f t="shared" si="39"/>
        <v>1189</v>
      </c>
      <c r="S165" s="23">
        <v>2.7869444444444444</v>
      </c>
      <c r="T165" s="23">
        <v>4.4444444444444446E-2</v>
      </c>
      <c r="U165" s="23">
        <f t="shared" si="40"/>
        <v>2.8313888888888887</v>
      </c>
      <c r="V165" s="23">
        <v>183.36</v>
      </c>
      <c r="W165" s="52">
        <f t="shared" si="31"/>
        <v>10.321180555555555</v>
      </c>
      <c r="X165" s="23">
        <f t="shared" si="50"/>
        <v>64.759737074462876</v>
      </c>
      <c r="Y165" s="21" t="str">
        <f t="shared" si="51"/>
        <v>è in grado</v>
      </c>
      <c r="Z165" s="21" t="str">
        <f t="shared" si="52"/>
        <v>non sottende</v>
      </c>
      <c r="AA165" s="40">
        <f t="shared" si="53"/>
        <v>17.765409587888985</v>
      </c>
      <c r="AB165" s="21" t="str">
        <f t="shared" si="54"/>
        <v>A</v>
      </c>
      <c r="AC165" s="21" t="str">
        <f t="shared" si="3"/>
        <v>SI</v>
      </c>
      <c r="AD165" s="21" t="str">
        <f t="shared" si="55"/>
        <v>Si</v>
      </c>
      <c r="AE165" s="21" t="s">
        <v>490</v>
      </c>
      <c r="AF165" s="41">
        <v>28.73</v>
      </c>
      <c r="AG165" s="41">
        <v>1961</v>
      </c>
      <c r="AH165" s="41">
        <v>2497</v>
      </c>
      <c r="AI165" s="41" t="str">
        <f t="shared" si="47"/>
        <v xml:space="preserve"> </v>
      </c>
      <c r="AJ165" s="24">
        <v>154.07</v>
      </c>
      <c r="AK165" s="24">
        <f t="shared" si="59"/>
        <v>11.537872395664309</v>
      </c>
      <c r="AL165" s="24">
        <f t="shared" si="57"/>
        <v>1777.6399999999999</v>
      </c>
      <c r="AM165" s="21" t="s">
        <v>190</v>
      </c>
      <c r="AN165" s="56" t="s">
        <v>222</v>
      </c>
      <c r="AO165" s="28" t="s">
        <v>902</v>
      </c>
      <c r="AP165" s="29" t="s">
        <v>223</v>
      </c>
      <c r="AQ165" s="29" t="s">
        <v>224</v>
      </c>
      <c r="AR165" s="29" t="s">
        <v>225</v>
      </c>
      <c r="AS165" s="29" t="s">
        <v>92</v>
      </c>
      <c r="AT165" s="26"/>
      <c r="AU165" s="38"/>
      <c r="AV165" s="38"/>
      <c r="AW165" s="38"/>
      <c r="AX165" s="38"/>
      <c r="AY165" s="38"/>
      <c r="AZ165" s="38"/>
      <c r="BA165" s="38"/>
      <c r="BB165" s="38"/>
      <c r="BC165" s="38"/>
      <c r="BD165" s="38"/>
      <c r="BE165" s="38"/>
      <c r="BF165" s="1"/>
      <c r="BG165" s="1"/>
    </row>
    <row r="166" spans="1:59" ht="14.25" customHeight="1" x14ac:dyDescent="0.25">
      <c r="A166" s="1"/>
      <c r="B166" s="19"/>
      <c r="C166" s="21" t="s">
        <v>903</v>
      </c>
      <c r="D166" s="21" t="s">
        <v>92</v>
      </c>
      <c r="E166" s="21" t="str">
        <f t="shared" si="0"/>
        <v>-001B</v>
      </c>
      <c r="F166" s="21"/>
      <c r="G166" s="99" t="s">
        <v>850</v>
      </c>
      <c r="H166" s="21" t="s">
        <v>95</v>
      </c>
      <c r="I166" s="21" t="s">
        <v>904</v>
      </c>
      <c r="J166" s="21" t="s">
        <v>905</v>
      </c>
      <c r="K166" s="21" t="s">
        <v>850</v>
      </c>
      <c r="L166" s="21" t="s">
        <v>906</v>
      </c>
      <c r="M166" s="101" t="s">
        <v>221</v>
      </c>
      <c r="N166" s="22"/>
      <c r="O166" s="21" t="s">
        <v>151</v>
      </c>
      <c r="P166" s="21">
        <v>241</v>
      </c>
      <c r="Q166" s="24">
        <v>0</v>
      </c>
      <c r="R166" s="24">
        <f t="shared" si="39"/>
        <v>241</v>
      </c>
      <c r="S166" s="23">
        <v>0.56679629629629635</v>
      </c>
      <c r="T166" s="23">
        <v>0</v>
      </c>
      <c r="U166" s="23">
        <f t="shared" si="40"/>
        <v>0.56679629629629635</v>
      </c>
      <c r="V166" s="23">
        <v>120.91</v>
      </c>
      <c r="W166" s="52">
        <f t="shared" si="31"/>
        <v>2.0920138888888888</v>
      </c>
      <c r="X166" s="23">
        <f t="shared" si="50"/>
        <v>213.32178913320479</v>
      </c>
      <c r="Y166" s="21" t="str">
        <f t="shared" si="51"/>
        <v>è in grado</v>
      </c>
      <c r="Z166" s="21" t="str">
        <f t="shared" si="52"/>
        <v>non sottende</v>
      </c>
      <c r="AA166" s="40">
        <f t="shared" si="53"/>
        <v>57.795983402489625</v>
      </c>
      <c r="AB166" s="21" t="str">
        <f t="shared" si="54"/>
        <v>A</v>
      </c>
      <c r="AC166" s="21" t="str">
        <f t="shared" si="3"/>
        <v>SI</v>
      </c>
      <c r="AD166" s="21" t="str">
        <f t="shared" si="55"/>
        <v>Si</v>
      </c>
      <c r="AE166" s="21" t="s">
        <v>147</v>
      </c>
      <c r="AF166" s="41">
        <v>5.17</v>
      </c>
      <c r="AG166" s="41">
        <v>471</v>
      </c>
      <c r="AH166" s="41">
        <v>520</v>
      </c>
      <c r="AI166" s="41" t="str">
        <f t="shared" si="47"/>
        <v xml:space="preserve"> </v>
      </c>
      <c r="AJ166" s="24">
        <v>178.97</v>
      </c>
      <c r="AK166" s="24">
        <f t="shared" si="59"/>
        <v>1.9561379002067387</v>
      </c>
      <c r="AL166" s="24">
        <f t="shared" si="57"/>
        <v>350.09000000000003</v>
      </c>
      <c r="AM166" s="21" t="s">
        <v>190</v>
      </c>
      <c r="AN166" s="56" t="s">
        <v>222</v>
      </c>
      <c r="AO166" s="28" t="s">
        <v>902</v>
      </c>
      <c r="AP166" s="29" t="s">
        <v>223</v>
      </c>
      <c r="AQ166" s="29" t="s">
        <v>224</v>
      </c>
      <c r="AR166" s="29" t="s">
        <v>225</v>
      </c>
      <c r="AS166" s="29" t="s">
        <v>92</v>
      </c>
      <c r="AT166" s="26"/>
      <c r="AU166" s="38"/>
      <c r="AV166" s="38"/>
      <c r="AW166" s="38"/>
      <c r="AX166" s="38"/>
      <c r="AY166" s="38"/>
      <c r="AZ166" s="38"/>
      <c r="BA166" s="38"/>
      <c r="BB166" s="38"/>
      <c r="BC166" s="38"/>
      <c r="BD166" s="38"/>
      <c r="BE166" s="38"/>
      <c r="BF166" s="1"/>
      <c r="BG166" s="1"/>
    </row>
    <row r="167" spans="1:59" ht="14.25" customHeight="1" x14ac:dyDescent="0.25">
      <c r="A167" s="1"/>
      <c r="B167" s="19"/>
      <c r="C167" s="21" t="s">
        <v>907</v>
      </c>
      <c r="D167" s="21" t="s">
        <v>908</v>
      </c>
      <c r="E167" s="21" t="str">
        <f t="shared" si="0"/>
        <v>PP0200170022001B</v>
      </c>
      <c r="F167" s="21"/>
      <c r="G167" s="99" t="s">
        <v>850</v>
      </c>
      <c r="H167" s="21" t="s">
        <v>95</v>
      </c>
      <c r="I167" s="21" t="s">
        <v>909</v>
      </c>
      <c r="J167" s="21" t="s">
        <v>910</v>
      </c>
      <c r="K167" s="21" t="s">
        <v>850</v>
      </c>
      <c r="L167" s="21" t="s">
        <v>911</v>
      </c>
      <c r="M167" s="100"/>
      <c r="N167" s="22"/>
      <c r="O167" s="21" t="s">
        <v>151</v>
      </c>
      <c r="P167" s="21">
        <v>1756</v>
      </c>
      <c r="Q167" s="24">
        <v>29</v>
      </c>
      <c r="R167" s="24">
        <f t="shared" si="39"/>
        <v>1785</v>
      </c>
      <c r="S167" s="23">
        <v>4.1298518518518526</v>
      </c>
      <c r="T167" s="23">
        <v>0.13</v>
      </c>
      <c r="U167" s="23">
        <f t="shared" si="40"/>
        <v>4.2598518518518524</v>
      </c>
      <c r="V167" s="23">
        <v>51.85</v>
      </c>
      <c r="W167" s="52">
        <f t="shared" si="31"/>
        <v>15.494791666666666</v>
      </c>
      <c r="X167" s="23">
        <f t="shared" si="50"/>
        <v>12.171784795158933</v>
      </c>
      <c r="Y167" s="21" t="str">
        <f t="shared" si="51"/>
        <v>è in grado</v>
      </c>
      <c r="Z167" s="21" t="str">
        <f t="shared" si="52"/>
        <v>non sottende</v>
      </c>
      <c r="AA167" s="40">
        <f t="shared" si="53"/>
        <v>3.3462857142857145</v>
      </c>
      <c r="AB167" s="21" t="str">
        <f t="shared" si="54"/>
        <v>A</v>
      </c>
      <c r="AC167" s="21" t="str">
        <f t="shared" si="3"/>
        <v>SI</v>
      </c>
      <c r="AD167" s="21" t="str">
        <f t="shared" si="55"/>
        <v>Si</v>
      </c>
      <c r="AE167" s="21" t="s">
        <v>147</v>
      </c>
      <c r="AF167" s="41">
        <v>14.95</v>
      </c>
      <c r="AG167" s="41">
        <v>2039</v>
      </c>
      <c r="AH167" s="41">
        <v>1713</v>
      </c>
      <c r="AI167" s="41" t="str">
        <f t="shared" si="47"/>
        <v>Manufatto limitante</v>
      </c>
      <c r="AJ167" s="24">
        <v>147.82</v>
      </c>
      <c r="AK167" s="24">
        <f t="shared" si="59"/>
        <v>11.237653903396023</v>
      </c>
      <c r="AL167" s="24">
        <f t="shared" si="57"/>
        <v>1661.15</v>
      </c>
      <c r="AM167" s="21" t="s">
        <v>190</v>
      </c>
      <c r="AN167" s="56" t="s">
        <v>222</v>
      </c>
      <c r="AO167" s="47">
        <v>46543</v>
      </c>
      <c r="AP167" s="29" t="s">
        <v>854</v>
      </c>
      <c r="AQ167" s="29" t="s">
        <v>313</v>
      </c>
      <c r="AR167" s="29" t="s">
        <v>544</v>
      </c>
      <c r="AS167" s="29"/>
      <c r="AT167" s="26"/>
      <c r="AU167" s="38"/>
      <c r="AV167" s="38"/>
      <c r="AW167" s="38"/>
      <c r="AX167" s="38"/>
      <c r="AY167" s="38"/>
      <c r="AZ167" s="38"/>
      <c r="BA167" s="38"/>
      <c r="BB167" s="38"/>
      <c r="BC167" s="38"/>
      <c r="BD167" s="38"/>
      <c r="BE167" s="38"/>
      <c r="BF167" s="1"/>
      <c r="BG167" s="1"/>
    </row>
    <row r="168" spans="1:59" ht="14.25" customHeight="1" x14ac:dyDescent="0.25">
      <c r="A168" s="1"/>
      <c r="B168" s="19"/>
      <c r="C168" s="21" t="s">
        <v>912</v>
      </c>
      <c r="D168" s="21" t="s">
        <v>913</v>
      </c>
      <c r="E168" s="21" t="str">
        <f t="shared" si="0"/>
        <v>PP0200170017001B</v>
      </c>
      <c r="F168" s="21"/>
      <c r="G168" s="99" t="s">
        <v>850</v>
      </c>
      <c r="H168" s="21" t="s">
        <v>95</v>
      </c>
      <c r="I168" s="21" t="s">
        <v>914</v>
      </c>
      <c r="J168" s="21" t="s">
        <v>915</v>
      </c>
      <c r="K168" s="21" t="s">
        <v>850</v>
      </c>
      <c r="L168" s="21" t="s">
        <v>911</v>
      </c>
      <c r="M168" s="100"/>
      <c r="N168" s="22"/>
      <c r="O168" s="21" t="s">
        <v>151</v>
      </c>
      <c r="P168" s="21">
        <v>4358</v>
      </c>
      <c r="Q168" s="24">
        <v>343</v>
      </c>
      <c r="R168" s="24">
        <f t="shared" si="39"/>
        <v>4701</v>
      </c>
      <c r="S168" s="23">
        <v>10.249370370370372</v>
      </c>
      <c r="T168" s="23">
        <v>6.6328703703703704</v>
      </c>
      <c r="U168" s="23">
        <f t="shared" si="40"/>
        <v>16.882240740740741</v>
      </c>
      <c r="V168" s="23">
        <v>100.18</v>
      </c>
      <c r="W168" s="52">
        <f t="shared" si="31"/>
        <v>44.013851851851854</v>
      </c>
      <c r="X168" s="23">
        <f t="shared" si="50"/>
        <v>5.9340464064253364</v>
      </c>
      <c r="Y168" s="21" t="str">
        <f t="shared" si="51"/>
        <v>è in grado</v>
      </c>
      <c r="Z168" s="21" t="str">
        <f t="shared" si="52"/>
        <v>non sottende</v>
      </c>
      <c r="AA168" s="40">
        <f t="shared" si="53"/>
        <v>2.276101631304623</v>
      </c>
      <c r="AB168" s="21" t="str">
        <f t="shared" si="54"/>
        <v>A</v>
      </c>
      <c r="AC168" s="21" t="str">
        <f t="shared" si="3"/>
        <v>SI</v>
      </c>
      <c r="AD168" s="21" t="str">
        <f t="shared" si="55"/>
        <v>Si</v>
      </c>
      <c r="AE168" s="21" t="s">
        <v>147</v>
      </c>
      <c r="AF168" s="41">
        <v>10.5</v>
      </c>
      <c r="AG168" s="41">
        <v>1746</v>
      </c>
      <c r="AH168" s="41">
        <v>5602</v>
      </c>
      <c r="AI168" s="41" t="str">
        <f t="shared" si="47"/>
        <v xml:space="preserve"> </v>
      </c>
      <c r="AJ168" s="24">
        <v>209.62</v>
      </c>
      <c r="AK168" s="24">
        <f t="shared" si="59"/>
        <v>7.8514454727602327</v>
      </c>
      <c r="AL168" s="24">
        <f t="shared" si="57"/>
        <v>1645.82</v>
      </c>
      <c r="AM168" s="21" t="s">
        <v>190</v>
      </c>
      <c r="AN168" s="56" t="s">
        <v>222</v>
      </c>
      <c r="AO168" s="47">
        <v>46543</v>
      </c>
      <c r="AP168" s="29" t="s">
        <v>854</v>
      </c>
      <c r="AQ168" s="29" t="s">
        <v>313</v>
      </c>
      <c r="AR168" s="29" t="s">
        <v>544</v>
      </c>
      <c r="AS168" s="29"/>
      <c r="AT168" s="26"/>
      <c r="AU168" s="38"/>
      <c r="AV168" s="38"/>
      <c r="AW168" s="38"/>
      <c r="AX168" s="38"/>
      <c r="AY168" s="38"/>
      <c r="AZ168" s="38"/>
      <c r="BA168" s="38"/>
      <c r="BB168" s="38"/>
      <c r="BC168" s="38"/>
      <c r="BD168" s="38"/>
      <c r="BE168" s="38"/>
      <c r="BF168" s="1"/>
      <c r="BG168" s="1"/>
    </row>
    <row r="169" spans="1:59" ht="14.25" customHeight="1" x14ac:dyDescent="0.25">
      <c r="A169" s="1"/>
      <c r="B169" s="19"/>
      <c r="C169" s="21" t="s">
        <v>916</v>
      </c>
      <c r="D169" s="21" t="s">
        <v>917</v>
      </c>
      <c r="E169" s="21" t="str">
        <f t="shared" si="0"/>
        <v>PP0200170027001B</v>
      </c>
      <c r="F169" s="21"/>
      <c r="G169" s="99" t="s">
        <v>850</v>
      </c>
      <c r="H169" s="21" t="s">
        <v>95</v>
      </c>
      <c r="I169" s="21" t="s">
        <v>918</v>
      </c>
      <c r="J169" s="21" t="s">
        <v>919</v>
      </c>
      <c r="K169" s="21" t="s">
        <v>850</v>
      </c>
      <c r="L169" s="21" t="s">
        <v>911</v>
      </c>
      <c r="M169" s="100"/>
      <c r="N169" s="22"/>
      <c r="O169" s="21" t="s">
        <v>151</v>
      </c>
      <c r="P169" s="21">
        <v>6220</v>
      </c>
      <c r="Q169" s="24">
        <v>3359</v>
      </c>
      <c r="R169" s="24">
        <f t="shared" si="39"/>
        <v>9579</v>
      </c>
      <c r="S169" s="24">
        <v>14.6</v>
      </c>
      <c r="T169" s="24">
        <v>14.4</v>
      </c>
      <c r="U169" s="24">
        <f t="shared" si="40"/>
        <v>29</v>
      </c>
      <c r="V169" s="24">
        <v>99.3</v>
      </c>
      <c r="W169" s="52">
        <f t="shared" si="31"/>
        <v>90.75</v>
      </c>
      <c r="X169" s="23">
        <f t="shared" si="50"/>
        <v>3.4241379310344828</v>
      </c>
      <c r="Y169" s="21" t="str">
        <f t="shared" si="51"/>
        <v>è in grado</v>
      </c>
      <c r="Z169" s="21" t="str">
        <f t="shared" si="52"/>
        <v>non sottende</v>
      </c>
      <c r="AA169" s="40">
        <f t="shared" si="53"/>
        <v>1.0942148760330579</v>
      </c>
      <c r="AB169" s="21" t="str">
        <f t="shared" si="54"/>
        <v>B</v>
      </c>
      <c r="AC169" s="21" t="str">
        <f t="shared" si="3"/>
        <v>SI</v>
      </c>
      <c r="AD169" s="21" t="str">
        <f t="shared" si="55"/>
        <v>Si</v>
      </c>
      <c r="AE169" s="21" t="s">
        <v>605</v>
      </c>
      <c r="AF169" s="41">
        <v>4.1399999999999997</v>
      </c>
      <c r="AG169" s="41">
        <v>823</v>
      </c>
      <c r="AH169" s="41">
        <v>361</v>
      </c>
      <c r="AI169" s="41" t="str">
        <f t="shared" si="47"/>
        <v>Manufatto limitante</v>
      </c>
      <c r="AJ169" s="24">
        <v>85.01</v>
      </c>
      <c r="AK169" s="24">
        <f t="shared" si="59"/>
        <v>3.0784613574873543</v>
      </c>
      <c r="AL169" s="24">
        <f t="shared" si="57"/>
        <v>261.7</v>
      </c>
      <c r="AM169" s="21" t="s">
        <v>190</v>
      </c>
      <c r="AN169" s="56" t="s">
        <v>222</v>
      </c>
      <c r="AO169" s="47">
        <v>46543</v>
      </c>
      <c r="AP169" s="29" t="s">
        <v>854</v>
      </c>
      <c r="AQ169" s="29" t="s">
        <v>543</v>
      </c>
      <c r="AR169" s="29" t="s">
        <v>544</v>
      </c>
      <c r="AS169" s="102"/>
      <c r="AT169" s="26"/>
      <c r="AU169" s="38"/>
      <c r="AV169" s="38"/>
      <c r="AW169" s="38"/>
      <c r="AX169" s="38"/>
      <c r="AY169" s="38"/>
      <c r="AZ169" s="38"/>
      <c r="BA169" s="38"/>
      <c r="BB169" s="38"/>
      <c r="BC169" s="38"/>
      <c r="BD169" s="38"/>
      <c r="BE169" s="38"/>
      <c r="BF169" s="1"/>
      <c r="BG169" s="1"/>
    </row>
    <row r="170" spans="1:59" ht="14.25" customHeight="1" x14ac:dyDescent="0.25">
      <c r="A170" s="1"/>
      <c r="B170" s="19"/>
      <c r="C170" s="21" t="s">
        <v>920</v>
      </c>
      <c r="D170" s="21" t="s">
        <v>92</v>
      </c>
      <c r="E170" s="21" t="str">
        <f t="shared" si="0"/>
        <v>-001B</v>
      </c>
      <c r="F170" s="21"/>
      <c r="G170" s="99" t="s">
        <v>850</v>
      </c>
      <c r="H170" s="21" t="s">
        <v>95</v>
      </c>
      <c r="I170" s="21" t="s">
        <v>921</v>
      </c>
      <c r="J170" s="21" t="s">
        <v>922</v>
      </c>
      <c r="K170" s="21" t="s">
        <v>850</v>
      </c>
      <c r="L170" s="21" t="s">
        <v>901</v>
      </c>
      <c r="M170" s="101" t="s">
        <v>221</v>
      </c>
      <c r="N170" s="22"/>
      <c r="O170" s="21" t="s">
        <v>151</v>
      </c>
      <c r="P170" s="21">
        <v>853</v>
      </c>
      <c r="Q170" s="24">
        <v>147</v>
      </c>
      <c r="R170" s="24">
        <f t="shared" si="39"/>
        <v>1000</v>
      </c>
      <c r="S170" s="23">
        <v>2.0061296296296294</v>
      </c>
      <c r="T170" s="23">
        <v>0.58287037037037037</v>
      </c>
      <c r="U170" s="23">
        <f t="shared" si="40"/>
        <v>2.5889999999999995</v>
      </c>
      <c r="V170" s="23">
        <v>40.61</v>
      </c>
      <c r="W170" s="52">
        <f t="shared" si="31"/>
        <v>8.6805555555555554</v>
      </c>
      <c r="X170" s="23">
        <f t="shared" si="50"/>
        <v>15.685592893008886</v>
      </c>
      <c r="Y170" s="21" t="str">
        <f t="shared" si="51"/>
        <v>è in grado</v>
      </c>
      <c r="Z170" s="21" t="str">
        <f t="shared" si="52"/>
        <v>non sottende</v>
      </c>
      <c r="AA170" s="40">
        <f t="shared" si="53"/>
        <v>4.6782719999999998</v>
      </c>
      <c r="AB170" s="21" t="str">
        <f t="shared" si="54"/>
        <v>A</v>
      </c>
      <c r="AC170" s="21" t="str">
        <f t="shared" si="3"/>
        <v>SI</v>
      </c>
      <c r="AD170" s="21" t="str">
        <f t="shared" si="55"/>
        <v>Si</v>
      </c>
      <c r="AE170" s="21" t="s">
        <v>147</v>
      </c>
      <c r="AF170" s="41">
        <v>13.72</v>
      </c>
      <c r="AG170" s="41">
        <v>1328</v>
      </c>
      <c r="AH170" s="41">
        <v>3586</v>
      </c>
      <c r="AI170" s="41" t="str">
        <f t="shared" si="47"/>
        <v xml:space="preserve"> </v>
      </c>
      <c r="AJ170" s="24">
        <v>177.82</v>
      </c>
      <c r="AK170" s="24">
        <f t="shared" si="59"/>
        <v>7.2398492857946248</v>
      </c>
      <c r="AL170" s="24">
        <f t="shared" si="57"/>
        <v>1287.3900000000001</v>
      </c>
      <c r="AM170" s="21" t="s">
        <v>190</v>
      </c>
      <c r="AN170" s="56" t="s">
        <v>222</v>
      </c>
      <c r="AO170" s="28" t="s">
        <v>902</v>
      </c>
      <c r="AP170" s="29" t="s">
        <v>223</v>
      </c>
      <c r="AQ170" s="29" t="s">
        <v>224</v>
      </c>
      <c r="AR170" s="29" t="s">
        <v>225</v>
      </c>
      <c r="AS170" s="29" t="s">
        <v>92</v>
      </c>
      <c r="AT170" s="26"/>
      <c r="AU170" s="38"/>
      <c r="AV170" s="38"/>
      <c r="AW170" s="38"/>
      <c r="AX170" s="38"/>
      <c r="AY170" s="38"/>
      <c r="AZ170" s="38"/>
      <c r="BA170" s="38"/>
      <c r="BB170" s="38"/>
      <c r="BC170" s="38"/>
      <c r="BD170" s="38"/>
      <c r="BE170" s="38"/>
      <c r="BF170" s="1"/>
      <c r="BG170" s="1"/>
    </row>
    <row r="171" spans="1:59" ht="14.25" customHeight="1" x14ac:dyDescent="0.25">
      <c r="A171" s="1"/>
      <c r="B171" s="19"/>
      <c r="C171" s="21" t="s">
        <v>923</v>
      </c>
      <c r="D171" s="21" t="s">
        <v>924</v>
      </c>
      <c r="E171" s="21" t="str">
        <f t="shared" si="0"/>
        <v>PP0200170023001B</v>
      </c>
      <c r="F171" s="21"/>
      <c r="G171" s="99" t="s">
        <v>850</v>
      </c>
      <c r="H171" s="21" t="s">
        <v>95</v>
      </c>
      <c r="I171" s="21" t="s">
        <v>925</v>
      </c>
      <c r="J171" s="21" t="s">
        <v>926</v>
      </c>
      <c r="K171" s="21" t="s">
        <v>850</v>
      </c>
      <c r="L171" s="21" t="s">
        <v>901</v>
      </c>
      <c r="M171" s="101" t="s">
        <v>221</v>
      </c>
      <c r="N171" s="22"/>
      <c r="O171" s="21" t="s">
        <v>151</v>
      </c>
      <c r="P171" s="21">
        <v>572</v>
      </c>
      <c r="Q171" s="24">
        <v>0</v>
      </c>
      <c r="R171" s="24">
        <f t="shared" si="39"/>
        <v>572</v>
      </c>
      <c r="S171" s="23">
        <v>1.3452592592592594</v>
      </c>
      <c r="T171" s="23">
        <v>0</v>
      </c>
      <c r="U171" s="23">
        <f t="shared" si="40"/>
        <v>1.3452592592592594</v>
      </c>
      <c r="V171" s="23">
        <v>281.73</v>
      </c>
      <c r="W171" s="52">
        <f t="shared" si="31"/>
        <v>4.9652777777777777</v>
      </c>
      <c r="X171" s="23">
        <f t="shared" si="50"/>
        <v>209.42431584163867</v>
      </c>
      <c r="Y171" s="21" t="str">
        <f t="shared" si="51"/>
        <v>è in grado</v>
      </c>
      <c r="Z171" s="21" t="str">
        <f t="shared" si="52"/>
        <v>non sottende</v>
      </c>
      <c r="AA171" s="40">
        <f t="shared" si="53"/>
        <v>56.740027972027974</v>
      </c>
      <c r="AB171" s="21" t="str">
        <f t="shared" si="54"/>
        <v>A</v>
      </c>
      <c r="AC171" s="21" t="str">
        <f t="shared" si="3"/>
        <v>SI</v>
      </c>
      <c r="AD171" s="21" t="str">
        <f t="shared" si="55"/>
        <v>Si</v>
      </c>
      <c r="AE171" s="21" t="s">
        <v>147</v>
      </c>
      <c r="AF171" s="41">
        <v>15.08</v>
      </c>
      <c r="AG171" s="41">
        <v>1536</v>
      </c>
      <c r="AH171" s="41">
        <v>5996</v>
      </c>
      <c r="AI171" s="41" t="str">
        <f t="shared" si="47"/>
        <v xml:space="preserve"> </v>
      </c>
      <c r="AJ171" s="24">
        <v>166.75</v>
      </c>
      <c r="AK171" s="24">
        <f t="shared" si="59"/>
        <v>7.5218590704647674</v>
      </c>
      <c r="AL171" s="24">
        <f t="shared" si="57"/>
        <v>1254.27</v>
      </c>
      <c r="AM171" s="21" t="s">
        <v>190</v>
      </c>
      <c r="AN171" s="56" t="s">
        <v>222</v>
      </c>
      <c r="AO171" s="28" t="s">
        <v>902</v>
      </c>
      <c r="AP171" s="29" t="s">
        <v>927</v>
      </c>
      <c r="AQ171" s="29" t="s">
        <v>224</v>
      </c>
      <c r="AR171" s="29" t="s">
        <v>225</v>
      </c>
      <c r="AS171" s="29" t="s">
        <v>92</v>
      </c>
      <c r="AT171" s="26"/>
      <c r="AU171" s="38"/>
      <c r="AV171" s="38"/>
      <c r="AW171" s="38"/>
      <c r="AX171" s="38"/>
      <c r="AY171" s="38"/>
      <c r="AZ171" s="38"/>
      <c r="BA171" s="38"/>
      <c r="BB171" s="38"/>
      <c r="BC171" s="38"/>
      <c r="BD171" s="38"/>
      <c r="BE171" s="38"/>
      <c r="BF171" s="1"/>
      <c r="BG171" s="1"/>
    </row>
    <row r="172" spans="1:59" ht="14.25" customHeight="1" x14ac:dyDescent="0.25">
      <c r="A172" s="1"/>
      <c r="B172" s="19"/>
      <c r="C172" s="21" t="s">
        <v>928</v>
      </c>
      <c r="D172" s="21" t="s">
        <v>929</v>
      </c>
      <c r="E172" s="21" t="str">
        <f t="shared" si="0"/>
        <v>PP0200170007001B</v>
      </c>
      <c r="F172" s="21"/>
      <c r="G172" s="99" t="s">
        <v>850</v>
      </c>
      <c r="H172" s="21" t="s">
        <v>95</v>
      </c>
      <c r="I172" s="21" t="s">
        <v>930</v>
      </c>
      <c r="J172" s="21" t="s">
        <v>931</v>
      </c>
      <c r="K172" s="21" t="s">
        <v>850</v>
      </c>
      <c r="L172" s="21" t="s">
        <v>864</v>
      </c>
      <c r="M172" s="101" t="s">
        <v>221</v>
      </c>
      <c r="N172" s="22"/>
      <c r="O172" s="21" t="s">
        <v>151</v>
      </c>
      <c r="P172" s="21">
        <v>504</v>
      </c>
      <c r="Q172" s="24">
        <v>0</v>
      </c>
      <c r="R172" s="24">
        <f t="shared" si="39"/>
        <v>504</v>
      </c>
      <c r="S172" s="23">
        <v>1.1853333333333333</v>
      </c>
      <c r="T172" s="23">
        <v>0</v>
      </c>
      <c r="U172" s="23">
        <f t="shared" si="40"/>
        <v>1.1853333333333333</v>
      </c>
      <c r="V172" s="23">
        <v>257.55</v>
      </c>
      <c r="W172" s="52">
        <f t="shared" si="31"/>
        <v>4.375</v>
      </c>
      <c r="X172" s="23">
        <f t="shared" si="50"/>
        <v>217.28065241844769</v>
      </c>
      <c r="Y172" s="21" t="str">
        <f t="shared" si="51"/>
        <v>è in grado</v>
      </c>
      <c r="Z172" s="21" t="str">
        <f t="shared" si="52"/>
        <v>non sottende</v>
      </c>
      <c r="AA172" s="40">
        <f t="shared" si="53"/>
        <v>58.868571428571428</v>
      </c>
      <c r="AB172" s="21" t="str">
        <f t="shared" si="54"/>
        <v>A</v>
      </c>
      <c r="AC172" s="21" t="str">
        <f t="shared" si="3"/>
        <v>SI</v>
      </c>
      <c r="AD172" s="21" t="str">
        <f t="shared" si="55"/>
        <v>Si</v>
      </c>
      <c r="AE172" s="21" t="s">
        <v>147</v>
      </c>
      <c r="AF172" s="41">
        <v>9.3800000000000008</v>
      </c>
      <c r="AG172" s="41">
        <v>949</v>
      </c>
      <c r="AH172" s="41">
        <v>4336</v>
      </c>
      <c r="AI172" s="41" t="str">
        <f t="shared" si="47"/>
        <v xml:space="preserve"> </v>
      </c>
      <c r="AJ172" s="24">
        <v>142.27000000000001</v>
      </c>
      <c r="AK172" s="24">
        <f t="shared" si="59"/>
        <v>4.8601251142194419</v>
      </c>
      <c r="AL172" s="24">
        <f t="shared" si="57"/>
        <v>691.45</v>
      </c>
      <c r="AM172" s="21" t="s">
        <v>190</v>
      </c>
      <c r="AN172" s="56" t="s">
        <v>222</v>
      </c>
      <c r="AO172" s="28" t="s">
        <v>902</v>
      </c>
      <c r="AP172" s="29" t="s">
        <v>927</v>
      </c>
      <c r="AQ172" s="29" t="s">
        <v>224</v>
      </c>
      <c r="AR172" s="29" t="s">
        <v>225</v>
      </c>
      <c r="AS172" s="29" t="s">
        <v>92</v>
      </c>
      <c r="AT172" s="26"/>
      <c r="AU172" s="38"/>
      <c r="AV172" s="38"/>
      <c r="AW172" s="38"/>
      <c r="AX172" s="38"/>
      <c r="AY172" s="38"/>
      <c r="AZ172" s="38"/>
      <c r="BA172" s="38"/>
      <c r="BB172" s="38"/>
      <c r="BC172" s="38"/>
      <c r="BD172" s="38"/>
      <c r="BE172" s="38"/>
      <c r="BF172" s="1"/>
      <c r="BG172" s="1"/>
    </row>
    <row r="173" spans="1:59" ht="14.25" customHeight="1" x14ac:dyDescent="0.25">
      <c r="A173" s="1"/>
      <c r="B173" s="19"/>
      <c r="C173" s="21" t="s">
        <v>932</v>
      </c>
      <c r="D173" s="21" t="s">
        <v>92</v>
      </c>
      <c r="E173" s="21" t="str">
        <f t="shared" si="0"/>
        <v>-001B</v>
      </c>
      <c r="F173" s="21"/>
      <c r="G173" s="99" t="s">
        <v>850</v>
      </c>
      <c r="H173" s="21" t="s">
        <v>95</v>
      </c>
      <c r="I173" s="21" t="s">
        <v>933</v>
      </c>
      <c r="J173" s="21" t="s">
        <v>934</v>
      </c>
      <c r="K173" s="21" t="s">
        <v>850</v>
      </c>
      <c r="L173" s="21" t="s">
        <v>864</v>
      </c>
      <c r="M173" s="101" t="s">
        <v>221</v>
      </c>
      <c r="N173" s="22"/>
      <c r="O173" s="21" t="s">
        <v>151</v>
      </c>
      <c r="P173" s="21">
        <v>1051</v>
      </c>
      <c r="Q173" s="24">
        <v>0</v>
      </c>
      <c r="R173" s="24">
        <f t="shared" si="39"/>
        <v>1051</v>
      </c>
      <c r="S173" s="23">
        <v>2.4717962962962967</v>
      </c>
      <c r="T173" s="23">
        <v>0</v>
      </c>
      <c r="U173" s="23">
        <f t="shared" si="40"/>
        <v>2.4717962962962967</v>
      </c>
      <c r="V173" s="23">
        <v>89.51</v>
      </c>
      <c r="W173" s="52">
        <f t="shared" si="31"/>
        <v>9.1232638888888893</v>
      </c>
      <c r="X173" s="23">
        <f t="shared" si="50"/>
        <v>36.212530997849811</v>
      </c>
      <c r="Y173" s="21" t="str">
        <f t="shared" si="51"/>
        <v>è in grado</v>
      </c>
      <c r="Z173" s="21" t="str">
        <f t="shared" si="52"/>
        <v>non sottende</v>
      </c>
      <c r="AA173" s="40">
        <f t="shared" si="53"/>
        <v>9.8111817316841101</v>
      </c>
      <c r="AB173" s="21" t="str">
        <f t="shared" si="54"/>
        <v>A</v>
      </c>
      <c r="AC173" s="21" t="str">
        <f t="shared" si="3"/>
        <v>SI</v>
      </c>
      <c r="AD173" s="21" t="str">
        <f t="shared" si="55"/>
        <v>Si</v>
      </c>
      <c r="AE173" s="21" t="s">
        <v>147</v>
      </c>
      <c r="AF173" s="41">
        <v>16.22</v>
      </c>
      <c r="AG173" s="41">
        <v>1466</v>
      </c>
      <c r="AH173" s="41">
        <v>1870</v>
      </c>
      <c r="AI173" s="41" t="str">
        <f t="shared" si="47"/>
        <v xml:space="preserve"> </v>
      </c>
      <c r="AJ173" s="24">
        <v>164.88</v>
      </c>
      <c r="AK173" s="24">
        <f t="shared" si="59"/>
        <v>8.3484352256186316</v>
      </c>
      <c r="AL173" s="24">
        <f t="shared" si="57"/>
        <v>1376.49</v>
      </c>
      <c r="AM173" s="21" t="s">
        <v>190</v>
      </c>
      <c r="AN173" s="56" t="s">
        <v>222</v>
      </c>
      <c r="AO173" s="28" t="s">
        <v>902</v>
      </c>
      <c r="AP173" s="29" t="s">
        <v>223</v>
      </c>
      <c r="AQ173" s="29" t="s">
        <v>224</v>
      </c>
      <c r="AR173" s="29" t="s">
        <v>225</v>
      </c>
      <c r="AS173" s="29" t="s">
        <v>92</v>
      </c>
      <c r="AT173" s="26"/>
      <c r="AU173" s="38"/>
      <c r="AV173" s="38"/>
      <c r="AW173" s="38"/>
      <c r="AX173" s="38"/>
      <c r="AY173" s="38"/>
      <c r="AZ173" s="38"/>
      <c r="BA173" s="38"/>
      <c r="BB173" s="38"/>
      <c r="BC173" s="38"/>
      <c r="BD173" s="38"/>
      <c r="BE173" s="38"/>
      <c r="BF173" s="1"/>
      <c r="BG173" s="1"/>
    </row>
    <row r="174" spans="1:59" ht="14.25" customHeight="1" x14ac:dyDescent="0.25">
      <c r="A174" s="1"/>
      <c r="B174" s="19"/>
      <c r="C174" s="21" t="s">
        <v>935</v>
      </c>
      <c r="D174" s="21" t="s">
        <v>936</v>
      </c>
      <c r="E174" s="21" t="str">
        <f t="shared" si="0"/>
        <v>PP0200170010001B</v>
      </c>
      <c r="F174" s="21" t="s">
        <v>937</v>
      </c>
      <c r="G174" s="99" t="s">
        <v>850</v>
      </c>
      <c r="H174" s="21" t="s">
        <v>95</v>
      </c>
      <c r="I174" s="21" t="s">
        <v>938</v>
      </c>
      <c r="J174" s="21" t="s">
        <v>939</v>
      </c>
      <c r="K174" s="21" t="s">
        <v>850</v>
      </c>
      <c r="L174" s="21" t="s">
        <v>864</v>
      </c>
      <c r="M174" s="100"/>
      <c r="N174" s="22"/>
      <c r="O174" s="21" t="s">
        <v>151</v>
      </c>
      <c r="P174" s="21">
        <v>11627</v>
      </c>
      <c r="Q174" s="24">
        <v>1069</v>
      </c>
      <c r="R174" s="24">
        <f t="shared" si="39"/>
        <v>12696</v>
      </c>
      <c r="S174" s="23">
        <v>27.344981481481483</v>
      </c>
      <c r="T174" s="23">
        <v>33.93</v>
      </c>
      <c r="U174" s="23">
        <f t="shared" si="40"/>
        <v>61.274981481481483</v>
      </c>
      <c r="V174" s="23">
        <v>287.25</v>
      </c>
      <c r="W174" s="52">
        <f t="shared" si="31"/>
        <v>149.89494444444443</v>
      </c>
      <c r="X174" s="23">
        <f t="shared" si="50"/>
        <v>4.6878839137113841</v>
      </c>
      <c r="Y174" s="21" t="str">
        <f t="shared" si="51"/>
        <v>è in grado</v>
      </c>
      <c r="Z174" s="21" t="str">
        <f t="shared" si="52"/>
        <v>sottende</v>
      </c>
      <c r="AA174" s="40">
        <f t="shared" si="53"/>
        <v>1.9163421492608343</v>
      </c>
      <c r="AB174" s="21" t="str">
        <f t="shared" si="54"/>
        <v>B</v>
      </c>
      <c r="AC174" s="21" t="str">
        <f t="shared" si="3"/>
        <v>SI</v>
      </c>
      <c r="AD174" s="21" t="str">
        <f t="shared" si="55"/>
        <v>Si</v>
      </c>
      <c r="AE174" s="21" t="s">
        <v>605</v>
      </c>
      <c r="AF174" s="41">
        <v>1.68</v>
      </c>
      <c r="AG174" s="41">
        <v>878</v>
      </c>
      <c r="AH174" s="41">
        <v>3279</v>
      </c>
      <c r="AI174" s="41" t="str">
        <f t="shared" si="47"/>
        <v xml:space="preserve"> </v>
      </c>
      <c r="AJ174" s="24">
        <v>452.63</v>
      </c>
      <c r="AK174" s="24">
        <f t="shared" si="59"/>
        <v>1.3051499016857036</v>
      </c>
      <c r="AL174" s="24">
        <f t="shared" si="57"/>
        <v>590.75</v>
      </c>
      <c r="AM174" s="21" t="s">
        <v>190</v>
      </c>
      <c r="AN174" s="56" t="s">
        <v>222</v>
      </c>
      <c r="AO174" s="47">
        <v>46543</v>
      </c>
      <c r="AP174" s="29" t="s">
        <v>854</v>
      </c>
      <c r="AQ174" s="29" t="s">
        <v>313</v>
      </c>
      <c r="AR174" s="29" t="s">
        <v>544</v>
      </c>
      <c r="AS174" s="29"/>
      <c r="AT174" s="26"/>
      <c r="AU174" s="38"/>
      <c r="AV174" s="38"/>
      <c r="AW174" s="38"/>
      <c r="AX174" s="38"/>
      <c r="AY174" s="38"/>
      <c r="AZ174" s="38"/>
      <c r="BA174" s="38"/>
      <c r="BB174" s="38"/>
      <c r="BC174" s="38"/>
      <c r="BD174" s="38"/>
      <c r="BE174" s="38"/>
      <c r="BF174" s="1"/>
      <c r="BG174" s="1"/>
    </row>
    <row r="175" spans="1:59" ht="14.25" customHeight="1" x14ac:dyDescent="0.25">
      <c r="A175" s="1"/>
      <c r="B175" s="19"/>
      <c r="C175" s="21" t="s">
        <v>940</v>
      </c>
      <c r="D175" s="21" t="s">
        <v>941</v>
      </c>
      <c r="E175" s="21" t="str">
        <f t="shared" si="0"/>
        <v>PP0200170011001B</v>
      </c>
      <c r="F175" s="21" t="s">
        <v>937</v>
      </c>
      <c r="G175" s="99" t="s">
        <v>850</v>
      </c>
      <c r="H175" s="21" t="s">
        <v>95</v>
      </c>
      <c r="I175" s="21" t="s">
        <v>942</v>
      </c>
      <c r="J175" s="21" t="s">
        <v>943</v>
      </c>
      <c r="K175" s="21" t="s">
        <v>850</v>
      </c>
      <c r="L175" s="21" t="s">
        <v>944</v>
      </c>
      <c r="M175" s="100"/>
      <c r="N175" s="22"/>
      <c r="O175" s="21" t="s">
        <v>151</v>
      </c>
      <c r="P175" s="21">
        <v>19013</v>
      </c>
      <c r="Q175" s="24">
        <v>1303</v>
      </c>
      <c r="R175" s="24">
        <f t="shared" si="39"/>
        <v>20316</v>
      </c>
      <c r="S175" s="23">
        <v>44.715759259259265</v>
      </c>
      <c r="T175" s="23">
        <v>34.880000000000003</v>
      </c>
      <c r="U175" s="23">
        <f t="shared" si="40"/>
        <v>79.595759259259268</v>
      </c>
      <c r="V175" s="23">
        <v>287.8</v>
      </c>
      <c r="W175" s="52">
        <f t="shared" si="31"/>
        <v>203.90727777777778</v>
      </c>
      <c r="X175" s="23">
        <f t="shared" si="50"/>
        <v>3.6157705219266516</v>
      </c>
      <c r="Y175" s="21" t="str">
        <f t="shared" si="51"/>
        <v>è in grado</v>
      </c>
      <c r="Z175" s="21" t="str">
        <f t="shared" si="52"/>
        <v>sottende</v>
      </c>
      <c r="AA175" s="40">
        <f t="shared" si="53"/>
        <v>1.4114258359804606</v>
      </c>
      <c r="AB175" s="21" t="str">
        <f t="shared" si="54"/>
        <v>B</v>
      </c>
      <c r="AC175" s="21" t="str">
        <f t="shared" si="3"/>
        <v>SI</v>
      </c>
      <c r="AD175" s="21" t="str">
        <f t="shared" si="55"/>
        <v>Si</v>
      </c>
      <c r="AE175" s="21" t="s">
        <v>605</v>
      </c>
      <c r="AF175" s="41">
        <v>0.3</v>
      </c>
      <c r="AG175" s="41">
        <v>354</v>
      </c>
      <c r="AH175" s="41">
        <v>1906</v>
      </c>
      <c r="AI175" s="41" t="str">
        <f t="shared" si="47"/>
        <v xml:space="preserve"> </v>
      </c>
      <c r="AJ175" s="24">
        <v>679.91</v>
      </c>
      <c r="AK175" s="24">
        <f t="shared" si="59"/>
        <v>9.7365827830153975E-2</v>
      </c>
      <c r="AL175" s="24">
        <f t="shared" si="57"/>
        <v>66.199999999999989</v>
      </c>
      <c r="AM175" s="21" t="s">
        <v>190</v>
      </c>
      <c r="AN175" s="56" t="s">
        <v>222</v>
      </c>
      <c r="AO175" s="47">
        <v>46543</v>
      </c>
      <c r="AP175" s="29" t="s">
        <v>854</v>
      </c>
      <c r="AQ175" s="29" t="s">
        <v>543</v>
      </c>
      <c r="AR175" s="29" t="s">
        <v>544</v>
      </c>
      <c r="AS175" s="29"/>
      <c r="AT175" s="26"/>
      <c r="AU175" s="38"/>
      <c r="AV175" s="38"/>
      <c r="AW175" s="38"/>
      <c r="AX175" s="38"/>
      <c r="AY175" s="38"/>
      <c r="AZ175" s="38"/>
      <c r="BA175" s="38"/>
      <c r="BB175" s="38"/>
      <c r="BC175" s="38"/>
      <c r="BD175" s="38"/>
      <c r="BE175" s="38"/>
      <c r="BF175" s="1"/>
      <c r="BG175" s="1"/>
    </row>
    <row r="176" spans="1:59" ht="14.25" customHeight="1" x14ac:dyDescent="0.25">
      <c r="A176" s="1"/>
      <c r="B176" s="19"/>
      <c r="C176" s="21" t="s">
        <v>945</v>
      </c>
      <c r="D176" s="21" t="s">
        <v>946</v>
      </c>
      <c r="E176" s="21" t="str">
        <f t="shared" si="0"/>
        <v>PP0200170028001B</v>
      </c>
      <c r="F176" s="21" t="s">
        <v>947</v>
      </c>
      <c r="G176" s="103" t="s">
        <v>850</v>
      </c>
      <c r="H176" s="21" t="s">
        <v>95</v>
      </c>
      <c r="I176" s="21" t="s">
        <v>948</v>
      </c>
      <c r="J176" s="21" t="s">
        <v>949</v>
      </c>
      <c r="K176" s="21" t="s">
        <v>850</v>
      </c>
      <c r="L176" s="21" t="s">
        <v>944</v>
      </c>
      <c r="M176" s="100"/>
      <c r="N176" s="22"/>
      <c r="O176" s="21" t="s">
        <v>151</v>
      </c>
      <c r="P176" s="21">
        <v>19013</v>
      </c>
      <c r="Q176" s="24">
        <v>1303</v>
      </c>
      <c r="R176" s="24">
        <f t="shared" si="39"/>
        <v>20316</v>
      </c>
      <c r="S176" s="23">
        <v>44.715759259259265</v>
      </c>
      <c r="T176" s="23">
        <v>34.880000000000003</v>
      </c>
      <c r="U176" s="23">
        <f t="shared" si="40"/>
        <v>79.595759259259268</v>
      </c>
      <c r="V176" s="23">
        <v>294.39999999999998</v>
      </c>
      <c r="W176" s="52">
        <f t="shared" si="31"/>
        <v>203.90727777777778</v>
      </c>
      <c r="X176" s="23">
        <f t="shared" si="50"/>
        <v>3.6986895123530443</v>
      </c>
      <c r="Y176" s="21" t="str">
        <f t="shared" si="51"/>
        <v>è in grado</v>
      </c>
      <c r="Z176" s="21" t="str">
        <f t="shared" si="52"/>
        <v>sottende</v>
      </c>
      <c r="AA176" s="40">
        <f t="shared" si="53"/>
        <v>1.4437934889251132</v>
      </c>
      <c r="AB176" s="21" t="str">
        <f t="shared" si="54"/>
        <v>B</v>
      </c>
      <c r="AC176" s="21" t="str">
        <f t="shared" si="3"/>
        <v>SI</v>
      </c>
      <c r="AD176" s="21" t="str">
        <f t="shared" si="55"/>
        <v>Si</v>
      </c>
      <c r="AE176" s="21" t="s">
        <v>605</v>
      </c>
      <c r="AF176" s="41">
        <v>10.19</v>
      </c>
      <c r="AG176" s="41">
        <v>2498</v>
      </c>
      <c r="AH176" s="41">
        <v>3326</v>
      </c>
      <c r="AI176" s="41" t="str">
        <f t="shared" si="47"/>
        <v xml:space="preserve"> </v>
      </c>
      <c r="AJ176" s="24">
        <v>393.06</v>
      </c>
      <c r="AK176" s="24">
        <f t="shared" si="59"/>
        <v>5.6062687630387211</v>
      </c>
      <c r="AL176" s="24">
        <f t="shared" si="57"/>
        <v>2203.6</v>
      </c>
      <c r="AM176" s="21" t="s">
        <v>190</v>
      </c>
      <c r="AN176" s="56" t="s">
        <v>222</v>
      </c>
      <c r="AO176" s="77">
        <v>46543</v>
      </c>
      <c r="AP176" s="29" t="s">
        <v>854</v>
      </c>
      <c r="AQ176" s="29" t="s">
        <v>543</v>
      </c>
      <c r="AR176" s="29" t="s">
        <v>544</v>
      </c>
      <c r="AS176" s="29"/>
      <c r="AT176" s="26"/>
      <c r="AU176" s="43"/>
      <c r="AV176" s="43"/>
      <c r="AW176" s="43"/>
      <c r="AX176" s="43"/>
      <c r="AY176" s="43"/>
      <c r="AZ176" s="43"/>
      <c r="BA176" s="43"/>
      <c r="BB176" s="43"/>
      <c r="BC176" s="43"/>
      <c r="BD176" s="43"/>
      <c r="BE176" s="43"/>
      <c r="BF176" s="1"/>
      <c r="BG176" s="1"/>
    </row>
    <row r="177" spans="1:59" ht="14.25" customHeight="1" x14ac:dyDescent="0.25">
      <c r="A177" s="1"/>
      <c r="B177" s="19"/>
      <c r="C177" s="21" t="s">
        <v>950</v>
      </c>
      <c r="D177" s="21" t="s">
        <v>951</v>
      </c>
      <c r="E177" s="21" t="str">
        <f t="shared" si="0"/>
        <v>PP0200170029001B</v>
      </c>
      <c r="F177" s="31"/>
      <c r="G177" s="99" t="s">
        <v>850</v>
      </c>
      <c r="H177" s="21" t="s">
        <v>952</v>
      </c>
      <c r="I177" s="21" t="s">
        <v>953</v>
      </c>
      <c r="J177" s="21" t="s">
        <v>954</v>
      </c>
      <c r="K177" s="21" t="s">
        <v>850</v>
      </c>
      <c r="L177" s="21" t="s">
        <v>853</v>
      </c>
      <c r="M177" s="104"/>
      <c r="N177" s="22"/>
      <c r="O177" s="31" t="s">
        <v>151</v>
      </c>
      <c r="P177" s="21">
        <v>134</v>
      </c>
      <c r="Q177" s="24">
        <v>0</v>
      </c>
      <c r="R177" s="24">
        <f t="shared" si="39"/>
        <v>134</v>
      </c>
      <c r="S177" s="23">
        <v>0.31514814814814818</v>
      </c>
      <c r="T177" s="23">
        <v>0</v>
      </c>
      <c r="U177" s="23">
        <f t="shared" si="40"/>
        <v>0.31514814814814818</v>
      </c>
      <c r="V177" s="23">
        <v>43.63</v>
      </c>
      <c r="W177" s="52">
        <f t="shared" si="31"/>
        <v>1.1631944444444444</v>
      </c>
      <c r="X177" s="23">
        <f t="shared" si="50"/>
        <v>138.44282524385943</v>
      </c>
      <c r="Y177" s="21" t="str">
        <f t="shared" si="51"/>
        <v>è in grado</v>
      </c>
      <c r="Z177" s="21" t="str">
        <f t="shared" si="52"/>
        <v>non sottende</v>
      </c>
      <c r="AA177" s="40">
        <f t="shared" si="53"/>
        <v>37.508776119402988</v>
      </c>
      <c r="AB177" s="21" t="str">
        <f t="shared" si="54"/>
        <v>A</v>
      </c>
      <c r="AC177" s="21" t="str">
        <f t="shared" si="3"/>
        <v>SI</v>
      </c>
      <c r="AD177" s="21" t="str">
        <f t="shared" si="55"/>
        <v>Si</v>
      </c>
      <c r="AE177" s="21" t="s">
        <v>147</v>
      </c>
      <c r="AF177" s="41">
        <v>3.52</v>
      </c>
      <c r="AG177" s="41">
        <v>429</v>
      </c>
      <c r="AH177" s="41">
        <v>788</v>
      </c>
      <c r="AI177" s="41" t="str">
        <f t="shared" si="47"/>
        <v xml:space="preserve"> </v>
      </c>
      <c r="AJ177" s="24">
        <v>225.6</v>
      </c>
      <c r="AK177" s="24">
        <f t="shared" si="59"/>
        <v>1.7082003546099291</v>
      </c>
      <c r="AL177" s="24">
        <f t="shared" si="57"/>
        <v>385.37</v>
      </c>
      <c r="AM177" s="21" t="s">
        <v>190</v>
      </c>
      <c r="AN177" s="56" t="s">
        <v>222</v>
      </c>
      <c r="AO177" s="77">
        <v>46543</v>
      </c>
      <c r="AP177" s="29" t="s">
        <v>854</v>
      </c>
      <c r="AQ177" s="29" t="s">
        <v>955</v>
      </c>
      <c r="AR177" s="29" t="s">
        <v>225</v>
      </c>
      <c r="AS177" s="29" t="s">
        <v>92</v>
      </c>
      <c r="AT177" s="26"/>
      <c r="AU177" s="38"/>
      <c r="AV177" s="38"/>
      <c r="AW177" s="38"/>
      <c r="AX177" s="38"/>
      <c r="AY177" s="38"/>
      <c r="AZ177" s="38"/>
      <c r="BA177" s="38"/>
      <c r="BB177" s="38"/>
      <c r="BC177" s="38"/>
      <c r="BD177" s="38"/>
      <c r="BE177" s="38"/>
      <c r="BF177" s="1"/>
      <c r="BG177" s="1"/>
    </row>
    <row r="178" spans="1:59" ht="14.25" customHeight="1" x14ac:dyDescent="0.25">
      <c r="A178" s="1"/>
      <c r="B178" s="19"/>
      <c r="C178" s="21" t="s">
        <v>956</v>
      </c>
      <c r="D178" s="21" t="s">
        <v>957</v>
      </c>
      <c r="E178" s="21" t="str">
        <f t="shared" si="0"/>
        <v>PP0200170006001B</v>
      </c>
      <c r="F178" s="21" t="s">
        <v>937</v>
      </c>
      <c r="G178" s="103" t="s">
        <v>850</v>
      </c>
      <c r="H178" s="21" t="s">
        <v>95</v>
      </c>
      <c r="I178" s="21" t="s">
        <v>958</v>
      </c>
      <c r="J178" s="21" t="s">
        <v>959</v>
      </c>
      <c r="K178" s="21" t="s">
        <v>850</v>
      </c>
      <c r="L178" s="21" t="s">
        <v>864</v>
      </c>
      <c r="M178" s="100"/>
      <c r="N178" s="22"/>
      <c r="O178" s="21" t="s">
        <v>151</v>
      </c>
      <c r="P178" s="21">
        <v>6560</v>
      </c>
      <c r="Q178" s="24">
        <v>12</v>
      </c>
      <c r="R178" s="24">
        <f t="shared" si="39"/>
        <v>6572</v>
      </c>
      <c r="S178" s="23">
        <v>15.428148148148148</v>
      </c>
      <c r="T178" s="23">
        <v>0.02</v>
      </c>
      <c r="U178" s="23">
        <f t="shared" si="40"/>
        <v>15.448148148148148</v>
      </c>
      <c r="V178" s="23">
        <v>286.3</v>
      </c>
      <c r="W178" s="52">
        <f t="shared" si="31"/>
        <v>57.048611111111114</v>
      </c>
      <c r="X178" s="23">
        <f t="shared" si="50"/>
        <v>18.53296571565572</v>
      </c>
      <c r="Y178" s="21" t="str">
        <f t="shared" si="51"/>
        <v>è in grado</v>
      </c>
      <c r="Z178" s="21" t="str">
        <f t="shared" si="52"/>
        <v>non sottende</v>
      </c>
      <c r="AA178" s="40">
        <f t="shared" si="53"/>
        <v>5.018527084601339</v>
      </c>
      <c r="AB178" s="21" t="str">
        <f t="shared" si="54"/>
        <v>A</v>
      </c>
      <c r="AC178" s="21" t="str">
        <f t="shared" si="3"/>
        <v>SI</v>
      </c>
      <c r="AD178" s="21" t="str">
        <f t="shared" si="55"/>
        <v>Si</v>
      </c>
      <c r="AE178" s="21" t="s">
        <v>147</v>
      </c>
      <c r="AF178" s="41">
        <v>70.11</v>
      </c>
      <c r="AG178" s="41">
        <v>3779</v>
      </c>
      <c r="AH178" s="41">
        <v>8790</v>
      </c>
      <c r="AI178" s="41" t="str">
        <f t="shared" si="47"/>
        <v xml:space="preserve"> </v>
      </c>
      <c r="AJ178" s="24">
        <v>106.49</v>
      </c>
      <c r="AK178" s="24">
        <f t="shared" si="59"/>
        <v>32.798384824866183</v>
      </c>
      <c r="AL178" s="24">
        <f t="shared" si="57"/>
        <v>3492.7</v>
      </c>
      <c r="AM178" s="21" t="s">
        <v>190</v>
      </c>
      <c r="AN178" s="56" t="s">
        <v>222</v>
      </c>
      <c r="AO178" s="47">
        <v>46543</v>
      </c>
      <c r="AP178" s="29" t="s">
        <v>854</v>
      </c>
      <c r="AQ178" s="29" t="s">
        <v>313</v>
      </c>
      <c r="AR178" s="29" t="s">
        <v>544</v>
      </c>
      <c r="AS178" s="29"/>
      <c r="AT178" s="26"/>
      <c r="AU178" s="38"/>
      <c r="AV178" s="38"/>
      <c r="AW178" s="38"/>
      <c r="AX178" s="38"/>
      <c r="AY178" s="38"/>
      <c r="AZ178" s="38"/>
      <c r="BA178" s="38"/>
      <c r="BB178" s="38"/>
      <c r="BC178" s="38"/>
      <c r="BD178" s="38"/>
      <c r="BE178" s="38"/>
      <c r="BF178" s="1"/>
      <c r="BG178" s="1"/>
    </row>
    <row r="179" spans="1:59" ht="14.25" customHeight="1" x14ac:dyDescent="0.25">
      <c r="A179" s="1"/>
      <c r="B179" s="19"/>
      <c r="C179" s="21" t="s">
        <v>960</v>
      </c>
      <c r="D179" s="21" t="s">
        <v>961</v>
      </c>
      <c r="E179" s="21" t="str">
        <f t="shared" si="0"/>
        <v>PP0200170005001B</v>
      </c>
      <c r="F179" s="21"/>
      <c r="G179" s="103" t="s">
        <v>850</v>
      </c>
      <c r="H179" s="21" t="s">
        <v>95</v>
      </c>
      <c r="I179" s="21" t="s">
        <v>962</v>
      </c>
      <c r="J179" s="21" t="s">
        <v>963</v>
      </c>
      <c r="K179" s="21" t="s">
        <v>850</v>
      </c>
      <c r="L179" s="21" t="s">
        <v>864</v>
      </c>
      <c r="M179" s="100"/>
      <c r="N179" s="22"/>
      <c r="O179" s="21" t="s">
        <v>151</v>
      </c>
      <c r="P179" s="21">
        <v>1717</v>
      </c>
      <c r="Q179" s="24">
        <v>0</v>
      </c>
      <c r="R179" s="24">
        <f t="shared" si="39"/>
        <v>1717</v>
      </c>
      <c r="S179" s="23">
        <v>4.0381296296296298</v>
      </c>
      <c r="T179" s="23">
        <v>0</v>
      </c>
      <c r="U179" s="23">
        <f t="shared" si="40"/>
        <v>4.0381296296296298</v>
      </c>
      <c r="V179" s="23">
        <v>327.2</v>
      </c>
      <c r="W179" s="52">
        <f t="shared" si="31"/>
        <v>14.904513888888889</v>
      </c>
      <c r="X179" s="23">
        <f t="shared" si="50"/>
        <v>81.027611793138547</v>
      </c>
      <c r="Y179" s="21" t="str">
        <f t="shared" si="51"/>
        <v>è in grado</v>
      </c>
      <c r="Z179" s="21" t="str">
        <f t="shared" si="52"/>
        <v>non sottende</v>
      </c>
      <c r="AA179" s="40">
        <f t="shared" si="53"/>
        <v>21.953080955154338</v>
      </c>
      <c r="AB179" s="21" t="str">
        <f t="shared" si="54"/>
        <v>A</v>
      </c>
      <c r="AC179" s="21" t="str">
        <f t="shared" si="3"/>
        <v>SI</v>
      </c>
      <c r="AD179" s="21" t="str">
        <f t="shared" si="55"/>
        <v>Si</v>
      </c>
      <c r="AE179" s="21" t="s">
        <v>147</v>
      </c>
      <c r="AF179" s="41">
        <v>28.21</v>
      </c>
      <c r="AG179" s="41">
        <v>2325</v>
      </c>
      <c r="AH179" s="41">
        <v>4684</v>
      </c>
      <c r="AI179" s="41" t="str">
        <f t="shared" si="47"/>
        <v xml:space="preserve"> </v>
      </c>
      <c r="AJ179" s="24">
        <v>135.15</v>
      </c>
      <c r="AK179" s="24">
        <f t="shared" si="59"/>
        <v>14.782093969663336</v>
      </c>
      <c r="AL179" s="24">
        <f t="shared" si="57"/>
        <v>1997.8</v>
      </c>
      <c r="AM179" s="21" t="s">
        <v>190</v>
      </c>
      <c r="AN179" s="56" t="s">
        <v>222</v>
      </c>
      <c r="AO179" s="47">
        <v>46543</v>
      </c>
      <c r="AP179" s="29" t="s">
        <v>854</v>
      </c>
      <c r="AQ179" s="29" t="s">
        <v>313</v>
      </c>
      <c r="AR179" s="29" t="s">
        <v>544</v>
      </c>
      <c r="AS179" s="29"/>
      <c r="AT179" s="26"/>
      <c r="AU179" s="38"/>
      <c r="AV179" s="38"/>
      <c r="AW179" s="38"/>
      <c r="AX179" s="38"/>
      <c r="AY179" s="38"/>
      <c r="AZ179" s="38"/>
      <c r="BA179" s="38"/>
      <c r="BB179" s="38"/>
      <c r="BC179" s="38"/>
      <c r="BD179" s="38"/>
      <c r="BE179" s="38"/>
      <c r="BF179" s="1"/>
      <c r="BG179" s="1"/>
    </row>
    <row r="180" spans="1:59" ht="14.25" customHeight="1" x14ac:dyDescent="0.25">
      <c r="A180" s="1"/>
      <c r="B180" s="19"/>
      <c r="C180" s="21" t="s">
        <v>964</v>
      </c>
      <c r="D180" s="21" t="s">
        <v>965</v>
      </c>
      <c r="E180" s="21" t="str">
        <f t="shared" si="0"/>
        <v>PP0200170004001B</v>
      </c>
      <c r="F180" s="21"/>
      <c r="G180" s="103" t="s">
        <v>850</v>
      </c>
      <c r="H180" s="21" t="s">
        <v>95</v>
      </c>
      <c r="I180" s="21" t="s">
        <v>966</v>
      </c>
      <c r="J180" s="21" t="s">
        <v>967</v>
      </c>
      <c r="K180" s="21" t="s">
        <v>850</v>
      </c>
      <c r="L180" s="21" t="s">
        <v>864</v>
      </c>
      <c r="M180" s="100"/>
      <c r="N180" s="22"/>
      <c r="O180" s="21" t="s">
        <v>151</v>
      </c>
      <c r="P180" s="21">
        <v>1673</v>
      </c>
      <c r="Q180" s="24">
        <v>24</v>
      </c>
      <c r="R180" s="24">
        <f t="shared" si="39"/>
        <v>1697</v>
      </c>
      <c r="S180" s="23">
        <v>3.9346481481481486</v>
      </c>
      <c r="T180" s="23">
        <v>9.5138888888888884E-2</v>
      </c>
      <c r="U180" s="23">
        <f t="shared" si="40"/>
        <v>4.0297870370370372</v>
      </c>
      <c r="V180" s="23">
        <v>77.48</v>
      </c>
      <c r="W180" s="52">
        <f t="shared" si="31"/>
        <v>14.730902777777779</v>
      </c>
      <c r="X180" s="23">
        <f t="shared" si="50"/>
        <v>19.226822481658576</v>
      </c>
      <c r="Y180" s="21" t="str">
        <f t="shared" si="51"/>
        <v>è in grado</v>
      </c>
      <c r="Z180" s="21" t="str">
        <f t="shared" si="52"/>
        <v>non sottende</v>
      </c>
      <c r="AA180" s="40">
        <f t="shared" si="53"/>
        <v>5.2596912197996462</v>
      </c>
      <c r="AB180" s="21" t="str">
        <f t="shared" si="54"/>
        <v>A</v>
      </c>
      <c r="AC180" s="21" t="str">
        <f t="shared" si="3"/>
        <v>SI</v>
      </c>
      <c r="AD180" s="21" t="str">
        <f t="shared" si="55"/>
        <v>Si</v>
      </c>
      <c r="AE180" s="21" t="s">
        <v>147</v>
      </c>
      <c r="AF180" s="41">
        <v>2.82</v>
      </c>
      <c r="AG180" s="41">
        <v>446</v>
      </c>
      <c r="AH180" s="41">
        <v>505</v>
      </c>
      <c r="AI180" s="41" t="str">
        <f t="shared" si="47"/>
        <v xml:space="preserve"> </v>
      </c>
      <c r="AJ180" s="24">
        <v>233.76</v>
      </c>
      <c r="AK180" s="24">
        <f t="shared" si="59"/>
        <v>1.5764887063655031</v>
      </c>
      <c r="AL180" s="24">
        <f t="shared" si="57"/>
        <v>368.52</v>
      </c>
      <c r="AM180" s="21" t="s">
        <v>190</v>
      </c>
      <c r="AN180" s="56" t="s">
        <v>222</v>
      </c>
      <c r="AO180" s="47">
        <v>46543</v>
      </c>
      <c r="AP180" s="29" t="s">
        <v>854</v>
      </c>
      <c r="AQ180" s="29" t="s">
        <v>313</v>
      </c>
      <c r="AR180" s="29" t="s">
        <v>544</v>
      </c>
      <c r="AS180" s="29"/>
      <c r="AT180" s="26"/>
      <c r="AU180" s="38"/>
      <c r="AV180" s="38"/>
      <c r="AW180" s="38"/>
      <c r="AX180" s="38"/>
      <c r="AY180" s="38"/>
      <c r="AZ180" s="38"/>
      <c r="BA180" s="38"/>
      <c r="BB180" s="38"/>
      <c r="BC180" s="38"/>
      <c r="BD180" s="38"/>
      <c r="BE180" s="38"/>
      <c r="BF180" s="1"/>
      <c r="BG180" s="1"/>
    </row>
    <row r="181" spans="1:59" ht="14.25" customHeight="1" x14ac:dyDescent="0.25">
      <c r="A181" s="1"/>
      <c r="B181" s="19"/>
      <c r="C181" s="21" t="s">
        <v>968</v>
      </c>
      <c r="D181" s="21" t="s">
        <v>969</v>
      </c>
      <c r="E181" s="21" t="str">
        <f t="shared" si="0"/>
        <v>PP0200170009001B</v>
      </c>
      <c r="F181" s="21" t="s">
        <v>937</v>
      </c>
      <c r="G181" s="103" t="s">
        <v>850</v>
      </c>
      <c r="H181" s="21" t="s">
        <v>95</v>
      </c>
      <c r="I181" s="21" t="s">
        <v>970</v>
      </c>
      <c r="J181" s="21" t="s">
        <v>971</v>
      </c>
      <c r="K181" s="21" t="s">
        <v>850</v>
      </c>
      <c r="L181" s="21" t="s">
        <v>864</v>
      </c>
      <c r="M181" s="101" t="s">
        <v>221</v>
      </c>
      <c r="N181" s="22"/>
      <c r="O181" s="21" t="s">
        <v>151</v>
      </c>
      <c r="P181" s="21">
        <v>10029</v>
      </c>
      <c r="Q181" s="24">
        <v>1069</v>
      </c>
      <c r="R181" s="24">
        <f t="shared" si="39"/>
        <v>11098</v>
      </c>
      <c r="S181" s="23">
        <v>23.586722222222221</v>
      </c>
      <c r="T181" s="23">
        <v>33.93</v>
      </c>
      <c r="U181" s="23">
        <f t="shared" si="40"/>
        <v>57.516722222222221</v>
      </c>
      <c r="V181" s="23">
        <v>202.45</v>
      </c>
      <c r="W181" s="52">
        <f t="shared" si="31"/>
        <v>138.62016666666665</v>
      </c>
      <c r="X181" s="23">
        <f t="shared" si="50"/>
        <v>3.5198459192061051</v>
      </c>
      <c r="Y181" s="21" t="str">
        <f t="shared" si="51"/>
        <v>è in grado</v>
      </c>
      <c r="Z181" s="21" t="str">
        <f t="shared" si="52"/>
        <v>sottende</v>
      </c>
      <c r="AA181" s="40">
        <f t="shared" si="53"/>
        <v>1.4604657090538775</v>
      </c>
      <c r="AB181" s="21" t="str">
        <f t="shared" si="54"/>
        <v>B</v>
      </c>
      <c r="AC181" s="21" t="str">
        <f t="shared" si="3"/>
        <v>SI</v>
      </c>
      <c r="AD181" s="21" t="str">
        <f t="shared" si="55"/>
        <v>Si</v>
      </c>
      <c r="AE181" s="21" t="s">
        <v>605</v>
      </c>
      <c r="AF181" s="41">
        <v>107.59</v>
      </c>
      <c r="AG181" s="41">
        <v>8682</v>
      </c>
      <c r="AH181" s="41">
        <v>8297</v>
      </c>
      <c r="AI181" s="41" t="str">
        <f t="shared" si="47"/>
        <v>Manufatto limitante</v>
      </c>
      <c r="AJ181" s="24">
        <v>120.74</v>
      </c>
      <c r="AK181" s="24">
        <f t="shared" si="59"/>
        <v>67.041162829219815</v>
      </c>
      <c r="AL181" s="24">
        <f t="shared" si="57"/>
        <v>8094.55</v>
      </c>
      <c r="AM181" s="21" t="s">
        <v>190</v>
      </c>
      <c r="AN181" s="56" t="s">
        <v>222</v>
      </c>
      <c r="AO181" s="28" t="s">
        <v>902</v>
      </c>
      <c r="AP181" s="29" t="s">
        <v>927</v>
      </c>
      <c r="AQ181" s="29" t="s">
        <v>224</v>
      </c>
      <c r="AR181" s="29" t="s">
        <v>225</v>
      </c>
      <c r="AS181" s="29" t="s">
        <v>92</v>
      </c>
      <c r="AT181" s="26"/>
      <c r="AU181" s="38"/>
      <c r="AV181" s="38"/>
      <c r="AW181" s="38"/>
      <c r="AX181" s="38"/>
      <c r="AY181" s="38"/>
      <c r="AZ181" s="38"/>
      <c r="BA181" s="38"/>
      <c r="BB181" s="38"/>
      <c r="BC181" s="38"/>
      <c r="BD181" s="38"/>
      <c r="BE181" s="38"/>
      <c r="BF181" s="1"/>
      <c r="BG181" s="1"/>
    </row>
    <row r="182" spans="1:59" ht="14.25" customHeight="1" x14ac:dyDescent="0.25">
      <c r="A182" s="1"/>
      <c r="B182" s="19"/>
      <c r="C182" s="21" t="s">
        <v>972</v>
      </c>
      <c r="D182" s="21" t="s">
        <v>973</v>
      </c>
      <c r="E182" s="21" t="str">
        <f t="shared" si="0"/>
        <v>PP0200170008001B</v>
      </c>
      <c r="F182" s="21"/>
      <c r="G182" s="103" t="s">
        <v>850</v>
      </c>
      <c r="H182" s="21" t="s">
        <v>95</v>
      </c>
      <c r="I182" s="21" t="s">
        <v>974</v>
      </c>
      <c r="J182" s="21" t="s">
        <v>975</v>
      </c>
      <c r="K182" s="21" t="s">
        <v>850</v>
      </c>
      <c r="L182" s="21" t="s">
        <v>864</v>
      </c>
      <c r="M182" s="21"/>
      <c r="N182" s="22"/>
      <c r="O182" s="21" t="s">
        <v>151</v>
      </c>
      <c r="P182" s="21">
        <v>2799</v>
      </c>
      <c r="Q182" s="24">
        <v>62</v>
      </c>
      <c r="R182" s="24">
        <f t="shared" si="39"/>
        <v>2861</v>
      </c>
      <c r="S182" s="23">
        <v>6.5828333333333333</v>
      </c>
      <c r="T182" s="23">
        <v>0.26666666666666666</v>
      </c>
      <c r="U182" s="23">
        <f t="shared" si="40"/>
        <v>6.8494999999999999</v>
      </c>
      <c r="V182" s="23">
        <v>434.66</v>
      </c>
      <c r="W182" s="52">
        <f t="shared" si="31"/>
        <v>24.835069444444443</v>
      </c>
      <c r="X182" s="23">
        <f t="shared" si="50"/>
        <v>63.458646616541358</v>
      </c>
      <c r="Y182" s="21" t="str">
        <f t="shared" si="51"/>
        <v>è in grado</v>
      </c>
      <c r="Z182" s="21" t="str">
        <f t="shared" si="52"/>
        <v>non sottende</v>
      </c>
      <c r="AA182" s="40">
        <f t="shared" si="53"/>
        <v>17.501863684026567</v>
      </c>
      <c r="AB182" s="21" t="str">
        <f t="shared" si="54"/>
        <v>A</v>
      </c>
      <c r="AC182" s="21" t="str">
        <f t="shared" si="3"/>
        <v>SI</v>
      </c>
      <c r="AD182" s="21" t="str">
        <f t="shared" si="55"/>
        <v>Si</v>
      </c>
      <c r="AE182" s="21" t="s">
        <v>147</v>
      </c>
      <c r="AF182" s="41">
        <v>50.19</v>
      </c>
      <c r="AG182" s="41">
        <v>4143</v>
      </c>
      <c r="AH182" s="41">
        <v>7522</v>
      </c>
      <c r="AI182" s="41" t="str">
        <f t="shared" si="47"/>
        <v xml:space="preserve"> </v>
      </c>
      <c r="AJ182" s="24">
        <v>125.07</v>
      </c>
      <c r="AK182" s="24">
        <f t="shared" si="59"/>
        <v>29.650115935076361</v>
      </c>
      <c r="AL182" s="24">
        <f t="shared" si="57"/>
        <v>3708.34</v>
      </c>
      <c r="AM182" s="21" t="s">
        <v>190</v>
      </c>
      <c r="AN182" s="56" t="s">
        <v>222</v>
      </c>
      <c r="AO182" s="47">
        <v>46543</v>
      </c>
      <c r="AP182" s="29" t="s">
        <v>854</v>
      </c>
      <c r="AQ182" s="29" t="s">
        <v>313</v>
      </c>
      <c r="AR182" s="29" t="s">
        <v>544</v>
      </c>
      <c r="AS182" s="29"/>
      <c r="AT182" s="26"/>
      <c r="AU182" s="38"/>
      <c r="AV182" s="38"/>
      <c r="AW182" s="38"/>
      <c r="AX182" s="38"/>
      <c r="AY182" s="38"/>
      <c r="AZ182" s="38"/>
      <c r="BA182" s="38"/>
      <c r="BB182" s="38"/>
      <c r="BC182" s="38"/>
      <c r="BD182" s="38"/>
      <c r="BE182" s="38"/>
      <c r="BF182" s="1"/>
      <c r="BG182" s="1"/>
    </row>
    <row r="183" spans="1:59" ht="14.25" customHeight="1" x14ac:dyDescent="0.25">
      <c r="A183" s="1"/>
      <c r="B183" s="19"/>
      <c r="C183" s="21" t="s">
        <v>976</v>
      </c>
      <c r="D183" s="21" t="s">
        <v>977</v>
      </c>
      <c r="E183" s="21" t="str">
        <f t="shared" si="0"/>
        <v>PP0200170001001B</v>
      </c>
      <c r="F183" s="105" t="s">
        <v>978</v>
      </c>
      <c r="G183" s="103" t="s">
        <v>850</v>
      </c>
      <c r="H183" s="21" t="s">
        <v>95</v>
      </c>
      <c r="I183" s="21" t="s">
        <v>979</v>
      </c>
      <c r="J183" s="21" t="s">
        <v>980</v>
      </c>
      <c r="K183" s="21" t="s">
        <v>850</v>
      </c>
      <c r="L183" s="21" t="s">
        <v>864</v>
      </c>
      <c r="M183" s="100"/>
      <c r="N183" s="22"/>
      <c r="O183" s="21" t="s">
        <v>151</v>
      </c>
      <c r="P183" s="21">
        <v>618</v>
      </c>
      <c r="Q183" s="24">
        <v>0</v>
      </c>
      <c r="R183" s="24">
        <f t="shared" si="39"/>
        <v>618</v>
      </c>
      <c r="S183" s="23">
        <v>1.4534444444444445</v>
      </c>
      <c r="T183" s="23">
        <v>0</v>
      </c>
      <c r="U183" s="23">
        <f t="shared" si="40"/>
        <v>1.4534444444444445</v>
      </c>
      <c r="V183" s="23">
        <v>23.61</v>
      </c>
      <c r="W183" s="52">
        <f t="shared" si="31"/>
        <v>5.364583333333333</v>
      </c>
      <c r="X183" s="23">
        <f t="shared" si="50"/>
        <v>16.24417093494381</v>
      </c>
      <c r="Y183" s="21" t="str">
        <f t="shared" si="51"/>
        <v>è in grado</v>
      </c>
      <c r="Z183" s="21" t="str">
        <f t="shared" si="52"/>
        <v>non sottende</v>
      </c>
      <c r="AA183" s="40">
        <f t="shared" si="53"/>
        <v>4.4010873786407769</v>
      </c>
      <c r="AB183" s="21" t="str">
        <f t="shared" si="54"/>
        <v>A</v>
      </c>
      <c r="AC183" s="21" t="str">
        <f t="shared" si="3"/>
        <v>SI</v>
      </c>
      <c r="AD183" s="21" t="str">
        <f t="shared" si="55"/>
        <v>Si</v>
      </c>
      <c r="AE183" s="21" t="s">
        <v>147</v>
      </c>
      <c r="AF183" s="41">
        <v>10.15</v>
      </c>
      <c r="AG183" s="41">
        <v>900</v>
      </c>
      <c r="AH183" s="41">
        <v>1875</v>
      </c>
      <c r="AI183" s="41" t="str">
        <f t="shared" si="47"/>
        <v xml:space="preserve"> </v>
      </c>
      <c r="AJ183" s="24">
        <v>195.7</v>
      </c>
      <c r="AK183" s="24">
        <f t="shared" si="59"/>
        <v>4.478231987736331</v>
      </c>
      <c r="AL183" s="24">
        <f t="shared" si="57"/>
        <v>876.39</v>
      </c>
      <c r="AM183" s="21" t="s">
        <v>190</v>
      </c>
      <c r="AN183" s="56" t="s">
        <v>222</v>
      </c>
      <c r="AO183" s="47">
        <v>46543</v>
      </c>
      <c r="AP183" s="29" t="s">
        <v>854</v>
      </c>
      <c r="AQ183" s="29" t="s">
        <v>313</v>
      </c>
      <c r="AR183" s="29" t="s">
        <v>544</v>
      </c>
      <c r="AS183" s="29"/>
      <c r="AT183" s="26"/>
      <c r="AU183" s="38"/>
      <c r="AV183" s="38"/>
      <c r="AW183" s="38"/>
      <c r="AX183" s="38"/>
      <c r="AY183" s="38"/>
      <c r="AZ183" s="38"/>
      <c r="BA183" s="38"/>
      <c r="BB183" s="38"/>
      <c r="BC183" s="38"/>
      <c r="BD183" s="38"/>
      <c r="BE183" s="38"/>
      <c r="BF183" s="1"/>
      <c r="BG183" s="1"/>
    </row>
    <row r="184" spans="1:59" ht="14.25" customHeight="1" x14ac:dyDescent="0.25">
      <c r="A184" s="1"/>
      <c r="B184" s="19"/>
      <c r="C184" s="21" t="s">
        <v>981</v>
      </c>
      <c r="D184" s="21" t="s">
        <v>982</v>
      </c>
      <c r="E184" s="21" t="str">
        <f t="shared" si="0"/>
        <v>PP0200170038001B</v>
      </c>
      <c r="F184" s="21"/>
      <c r="G184" s="103" t="s">
        <v>850</v>
      </c>
      <c r="H184" s="21" t="s">
        <v>95</v>
      </c>
      <c r="I184" s="21" t="s">
        <v>983</v>
      </c>
      <c r="J184" s="21" t="s">
        <v>984</v>
      </c>
      <c r="K184" s="21" t="s">
        <v>850</v>
      </c>
      <c r="L184" s="21" t="s">
        <v>864</v>
      </c>
      <c r="M184" s="100"/>
      <c r="N184" s="22"/>
      <c r="O184" s="21" t="s">
        <v>151</v>
      </c>
      <c r="P184" s="21">
        <v>8</v>
      </c>
      <c r="Q184" s="24">
        <v>0</v>
      </c>
      <c r="R184" s="24">
        <f t="shared" si="39"/>
        <v>8</v>
      </c>
      <c r="S184" s="23">
        <v>0.02</v>
      </c>
      <c r="T184" s="23">
        <v>0</v>
      </c>
      <c r="U184" s="23">
        <f t="shared" si="40"/>
        <v>0.02</v>
      </c>
      <c r="V184" s="23">
        <v>45.7</v>
      </c>
      <c r="W184" s="52">
        <f t="shared" si="31"/>
        <v>6.9444444444444448E-2</v>
      </c>
      <c r="X184" s="23">
        <f t="shared" si="50"/>
        <v>2285</v>
      </c>
      <c r="Y184" s="21" t="str">
        <f t="shared" si="51"/>
        <v>è in grado</v>
      </c>
      <c r="Z184" s="21" t="str">
        <f t="shared" si="52"/>
        <v>non sottende</v>
      </c>
      <c r="AA184" s="40">
        <f t="shared" si="53"/>
        <v>658.08</v>
      </c>
      <c r="AB184" s="21" t="str">
        <f t="shared" si="54"/>
        <v>A</v>
      </c>
      <c r="AC184" s="21" t="str">
        <f t="shared" si="3"/>
        <v>SI</v>
      </c>
      <c r="AD184" s="21" t="str">
        <f t="shared" si="55"/>
        <v>Si</v>
      </c>
      <c r="AE184" s="21" t="s">
        <v>147</v>
      </c>
      <c r="AF184" s="41">
        <v>0.193</v>
      </c>
      <c r="AG184" s="41">
        <v>46</v>
      </c>
      <c r="AH184" s="41">
        <v>266</v>
      </c>
      <c r="AI184" s="41" t="str">
        <f t="shared" si="47"/>
        <v xml:space="preserve"> </v>
      </c>
      <c r="AJ184" s="24">
        <v>2</v>
      </c>
      <c r="AK184" s="24">
        <f t="shared" si="59"/>
        <v>0.14999999999999858</v>
      </c>
      <c r="AL184" s="24">
        <f t="shared" si="57"/>
        <v>0.29999999999999716</v>
      </c>
      <c r="AM184" s="21" t="s">
        <v>147</v>
      </c>
      <c r="AN184" s="56" t="s">
        <v>222</v>
      </c>
      <c r="AO184" s="47">
        <v>46543</v>
      </c>
      <c r="AP184" s="29" t="s">
        <v>854</v>
      </c>
      <c r="AQ184" s="29" t="s">
        <v>313</v>
      </c>
      <c r="AR184" s="29" t="s">
        <v>544</v>
      </c>
      <c r="AS184" s="29"/>
      <c r="AT184" s="26"/>
      <c r="AU184" s="38"/>
      <c r="AV184" s="38"/>
      <c r="AW184" s="38"/>
      <c r="AX184" s="38"/>
      <c r="AY184" s="38"/>
      <c r="AZ184" s="38"/>
      <c r="BA184" s="38"/>
      <c r="BB184" s="38"/>
      <c r="BC184" s="38"/>
      <c r="BD184" s="38"/>
      <c r="BE184" s="38"/>
      <c r="BF184" s="1"/>
      <c r="BG184" s="1"/>
    </row>
    <row r="185" spans="1:59" ht="14.25" customHeight="1" x14ac:dyDescent="0.25">
      <c r="A185" s="1"/>
      <c r="B185" s="19"/>
      <c r="C185" s="21" t="s">
        <v>985</v>
      </c>
      <c r="D185" s="21" t="s">
        <v>986</v>
      </c>
      <c r="E185" s="21" t="str">
        <f t="shared" si="0"/>
        <v>PP0200170016001B</v>
      </c>
      <c r="F185" s="21"/>
      <c r="G185" s="103" t="s">
        <v>850</v>
      </c>
      <c r="H185" s="21" t="s">
        <v>95</v>
      </c>
      <c r="I185" s="21" t="s">
        <v>987</v>
      </c>
      <c r="J185" s="21" t="s">
        <v>988</v>
      </c>
      <c r="K185" s="21" t="s">
        <v>850</v>
      </c>
      <c r="L185" s="21" t="s">
        <v>906</v>
      </c>
      <c r="M185" s="101" t="s">
        <v>221</v>
      </c>
      <c r="N185" s="22"/>
      <c r="O185" s="21" t="s">
        <v>151</v>
      </c>
      <c r="P185" s="21">
        <v>400</v>
      </c>
      <c r="Q185" s="24">
        <v>0</v>
      </c>
      <c r="R185" s="24">
        <f t="shared" si="39"/>
        <v>400</v>
      </c>
      <c r="S185" s="23">
        <v>0.94074074074074066</v>
      </c>
      <c r="T185" s="23">
        <v>0</v>
      </c>
      <c r="U185" s="23">
        <f t="shared" si="40"/>
        <v>0.94074074074074066</v>
      </c>
      <c r="V185" s="23">
        <v>94.65</v>
      </c>
      <c r="W185" s="52">
        <f t="shared" si="31"/>
        <v>3.4722222222222223</v>
      </c>
      <c r="X185" s="23">
        <f t="shared" si="50"/>
        <v>100.61220472440947</v>
      </c>
      <c r="Y185" s="21" t="str">
        <f t="shared" si="51"/>
        <v>è in grado</v>
      </c>
      <c r="Z185" s="21" t="str">
        <f t="shared" si="52"/>
        <v>non sottende</v>
      </c>
      <c r="AA185" s="40">
        <f t="shared" si="53"/>
        <v>27.2592</v>
      </c>
      <c r="AB185" s="21" t="str">
        <f t="shared" si="54"/>
        <v>A</v>
      </c>
      <c r="AC185" s="21" t="str">
        <f t="shared" si="3"/>
        <v>SI</v>
      </c>
      <c r="AD185" s="21" t="str">
        <f t="shared" si="55"/>
        <v>Si</v>
      </c>
      <c r="AE185" s="21" t="s">
        <v>147</v>
      </c>
      <c r="AF185" s="41">
        <v>5.29</v>
      </c>
      <c r="AG185" s="41">
        <v>923</v>
      </c>
      <c r="AH185" s="41">
        <v>648</v>
      </c>
      <c r="AI185" s="41" t="str">
        <f t="shared" si="47"/>
        <v>Manufatto limitante</v>
      </c>
      <c r="AJ185" s="24">
        <v>158.72999999999999</v>
      </c>
      <c r="AK185" s="24">
        <f t="shared" si="59"/>
        <v>3.4861084861084866</v>
      </c>
      <c r="AL185" s="24">
        <f t="shared" si="57"/>
        <v>553.35</v>
      </c>
      <c r="AM185" s="21" t="s">
        <v>190</v>
      </c>
      <c r="AN185" s="56" t="s">
        <v>222</v>
      </c>
      <c r="AO185" s="28" t="s">
        <v>902</v>
      </c>
      <c r="AP185" s="29" t="s">
        <v>927</v>
      </c>
      <c r="AQ185" s="29" t="s">
        <v>224</v>
      </c>
      <c r="AR185" s="29" t="s">
        <v>225</v>
      </c>
      <c r="AS185" s="29" t="s">
        <v>92</v>
      </c>
      <c r="AT185" s="26"/>
      <c r="AU185" s="38"/>
      <c r="AV185" s="38"/>
      <c r="AW185" s="38"/>
      <c r="AX185" s="38"/>
      <c r="AY185" s="38"/>
      <c r="AZ185" s="38"/>
      <c r="BA185" s="38"/>
      <c r="BB185" s="38"/>
      <c r="BC185" s="38"/>
      <c r="BD185" s="38"/>
      <c r="BE185" s="38"/>
      <c r="BF185" s="1"/>
      <c r="BG185" s="1"/>
    </row>
    <row r="186" spans="1:59" ht="14.25" customHeight="1" x14ac:dyDescent="0.25">
      <c r="A186" s="1"/>
      <c r="B186" s="19"/>
      <c r="C186" s="21" t="s">
        <v>989</v>
      </c>
      <c r="D186" s="21" t="s">
        <v>990</v>
      </c>
      <c r="E186" s="21" t="str">
        <f t="shared" si="0"/>
        <v>PP0200170021001B</v>
      </c>
      <c r="F186" s="21"/>
      <c r="G186" s="103" t="s">
        <v>850</v>
      </c>
      <c r="H186" s="21" t="s">
        <v>952</v>
      </c>
      <c r="I186" s="21" t="s">
        <v>991</v>
      </c>
      <c r="J186" s="21" t="s">
        <v>992</v>
      </c>
      <c r="K186" s="21" t="s">
        <v>850</v>
      </c>
      <c r="L186" s="21" t="s">
        <v>853</v>
      </c>
      <c r="M186" s="100"/>
      <c r="N186" s="22"/>
      <c r="O186" s="21" t="s">
        <v>151</v>
      </c>
      <c r="P186" s="21">
        <v>688</v>
      </c>
      <c r="Q186" s="24">
        <v>28</v>
      </c>
      <c r="R186" s="24">
        <f t="shared" si="39"/>
        <v>716</v>
      </c>
      <c r="S186" s="23">
        <v>1.6180740740740742</v>
      </c>
      <c r="T186" s="23">
        <v>0.11018518518518519</v>
      </c>
      <c r="U186" s="23">
        <f t="shared" si="40"/>
        <v>1.7282592592592594</v>
      </c>
      <c r="V186" s="23">
        <v>35.11</v>
      </c>
      <c r="W186" s="52">
        <f t="shared" si="31"/>
        <v>6.2152777777777777</v>
      </c>
      <c r="X186" s="23">
        <f t="shared" si="50"/>
        <v>20.315239054497138</v>
      </c>
      <c r="Y186" s="21" t="str">
        <f t="shared" si="51"/>
        <v>è in grado</v>
      </c>
      <c r="Z186" s="21" t="str">
        <f t="shared" si="52"/>
        <v>non sottende</v>
      </c>
      <c r="AA186" s="40">
        <f t="shared" si="53"/>
        <v>5.6489832402234637</v>
      </c>
      <c r="AB186" s="21" t="str">
        <f t="shared" si="54"/>
        <v>A</v>
      </c>
      <c r="AC186" s="21" t="str">
        <f t="shared" si="3"/>
        <v>SI</v>
      </c>
      <c r="AD186" s="21" t="str">
        <f t="shared" si="55"/>
        <v>Si</v>
      </c>
      <c r="AE186" s="21" t="s">
        <v>147</v>
      </c>
      <c r="AF186" s="41">
        <v>21.73</v>
      </c>
      <c r="AG186" s="41">
        <v>1722</v>
      </c>
      <c r="AH186" s="41">
        <v>1693</v>
      </c>
      <c r="AI186" s="41" t="str">
        <f t="shared" si="47"/>
        <v>Manufatto limitante</v>
      </c>
      <c r="AJ186" s="24">
        <v>160.87</v>
      </c>
      <c r="AK186" s="24">
        <f t="shared" si="59"/>
        <v>10.305774849257164</v>
      </c>
      <c r="AL186" s="24">
        <f t="shared" si="57"/>
        <v>1657.89</v>
      </c>
      <c r="AM186" s="21" t="s">
        <v>190</v>
      </c>
      <c r="AN186" s="56" t="s">
        <v>222</v>
      </c>
      <c r="AO186" s="47">
        <v>46543</v>
      </c>
      <c r="AP186" s="29" t="s">
        <v>854</v>
      </c>
      <c r="AQ186" s="29" t="s">
        <v>955</v>
      </c>
      <c r="AR186" s="29" t="s">
        <v>225</v>
      </c>
      <c r="AS186" s="29" t="s">
        <v>92</v>
      </c>
      <c r="AT186" s="26"/>
      <c r="AU186" s="38"/>
      <c r="AV186" s="38"/>
      <c r="AW186" s="38"/>
      <c r="AX186" s="38"/>
      <c r="AY186" s="38"/>
      <c r="AZ186" s="38"/>
      <c r="BA186" s="38"/>
      <c r="BB186" s="38"/>
      <c r="BC186" s="38"/>
      <c r="BD186" s="38"/>
      <c r="BE186" s="38"/>
      <c r="BF186" s="1"/>
      <c r="BG186" s="1"/>
    </row>
    <row r="187" spans="1:59" ht="14.25" customHeight="1" x14ac:dyDescent="0.25">
      <c r="A187" s="1"/>
      <c r="B187" s="19"/>
      <c r="C187" s="21" t="s">
        <v>993</v>
      </c>
      <c r="D187" s="21" t="s">
        <v>92</v>
      </c>
      <c r="E187" s="21" t="str">
        <f t="shared" si="0"/>
        <v>-001B</v>
      </c>
      <c r="F187" s="21"/>
      <c r="G187" s="21" t="s">
        <v>850</v>
      </c>
      <c r="H187" s="31" t="s">
        <v>95</v>
      </c>
      <c r="I187" s="31" t="s">
        <v>994</v>
      </c>
      <c r="J187" s="31" t="s">
        <v>995</v>
      </c>
      <c r="K187" s="31" t="s">
        <v>850</v>
      </c>
      <c r="L187" s="38" t="s">
        <v>906</v>
      </c>
      <c r="M187" s="76" t="s">
        <v>221</v>
      </c>
      <c r="N187" s="22"/>
      <c r="O187" s="21" t="s">
        <v>151</v>
      </c>
      <c r="P187" s="21">
        <v>1409</v>
      </c>
      <c r="Q187" s="24">
        <v>28</v>
      </c>
      <c r="R187" s="24">
        <f t="shared" si="39"/>
        <v>1437</v>
      </c>
      <c r="S187" s="23">
        <v>3.3137592592592591</v>
      </c>
      <c r="T187" s="23">
        <v>0.11018518518518519</v>
      </c>
      <c r="U187" s="23">
        <f t="shared" si="40"/>
        <v>3.4239444444444445</v>
      </c>
      <c r="V187" s="23">
        <v>34.33</v>
      </c>
      <c r="W187" s="52">
        <f t="shared" si="31"/>
        <v>12.473958333333334</v>
      </c>
      <c r="X187" s="23">
        <f t="shared" si="50"/>
        <v>10.026447729227174</v>
      </c>
      <c r="Y187" s="21" t="str">
        <f t="shared" si="51"/>
        <v>è in grado</v>
      </c>
      <c r="Z187" s="21" t="str">
        <f t="shared" si="52"/>
        <v>non sottende</v>
      </c>
      <c r="AA187" s="40">
        <f t="shared" si="53"/>
        <v>2.7521336116910229</v>
      </c>
      <c r="AB187" s="21" t="str">
        <f t="shared" si="54"/>
        <v>A</v>
      </c>
      <c r="AC187" s="21" t="str">
        <f t="shared" si="3"/>
        <v>SI</v>
      </c>
      <c r="AD187" s="21" t="str">
        <f t="shared" si="55"/>
        <v>Si</v>
      </c>
      <c r="AE187" s="21" t="s">
        <v>147</v>
      </c>
      <c r="AF187" s="41">
        <v>8.7899999999999991</v>
      </c>
      <c r="AG187" s="41">
        <v>684</v>
      </c>
      <c r="AH187" s="41">
        <v>2910</v>
      </c>
      <c r="AI187" s="41" t="str">
        <f t="shared" si="47"/>
        <v xml:space="preserve"> </v>
      </c>
      <c r="AJ187" s="24">
        <v>185.72</v>
      </c>
      <c r="AK187" s="24">
        <f t="shared" si="59"/>
        <v>3.4981154426017658</v>
      </c>
      <c r="AL187" s="24">
        <f t="shared" si="57"/>
        <v>649.66999999999996</v>
      </c>
      <c r="AM187" s="21" t="s">
        <v>190</v>
      </c>
      <c r="AN187" s="56" t="s">
        <v>222</v>
      </c>
      <c r="AO187" s="28" t="s">
        <v>902</v>
      </c>
      <c r="AP187" s="29" t="s">
        <v>223</v>
      </c>
      <c r="AQ187" s="29" t="s">
        <v>224</v>
      </c>
      <c r="AR187" s="29" t="s">
        <v>225</v>
      </c>
      <c r="AS187" s="29" t="s">
        <v>92</v>
      </c>
      <c r="AT187" s="26"/>
      <c r="AU187" s="43"/>
      <c r="AV187" s="43"/>
      <c r="AW187" s="43"/>
      <c r="AX187" s="43"/>
      <c r="AY187" s="43"/>
      <c r="AZ187" s="43"/>
      <c r="BA187" s="43"/>
      <c r="BB187" s="43"/>
      <c r="BC187" s="43"/>
      <c r="BD187" s="43"/>
      <c r="BE187" s="43"/>
      <c r="BF187" s="1"/>
      <c r="BG187" s="1"/>
    </row>
    <row r="188" spans="1:59" ht="14.25" customHeight="1" x14ac:dyDescent="0.25">
      <c r="A188" s="1"/>
      <c r="B188" s="79"/>
      <c r="C188" s="31" t="s">
        <v>996</v>
      </c>
      <c r="D188" s="21" t="s">
        <v>997</v>
      </c>
      <c r="E188" s="21" t="str">
        <f t="shared" si="0"/>
        <v>PP0200170019001B</v>
      </c>
      <c r="F188" s="31"/>
      <c r="G188" s="31" t="s">
        <v>850</v>
      </c>
      <c r="H188" s="31" t="s">
        <v>95</v>
      </c>
      <c r="I188" s="21" t="s">
        <v>998</v>
      </c>
      <c r="J188" s="21" t="s">
        <v>999</v>
      </c>
      <c r="K188" s="31" t="s">
        <v>850</v>
      </c>
      <c r="L188" s="38" t="s">
        <v>1000</v>
      </c>
      <c r="M188" s="31"/>
      <c r="N188" s="32"/>
      <c r="O188" s="31" t="s">
        <v>151</v>
      </c>
      <c r="P188" s="31">
        <v>50</v>
      </c>
      <c r="Q188" s="33">
        <v>19</v>
      </c>
      <c r="R188" s="33">
        <f t="shared" si="39"/>
        <v>69</v>
      </c>
      <c r="S188" s="34">
        <v>0.11759259259259258</v>
      </c>
      <c r="T188" s="34">
        <v>1.7909722222222222</v>
      </c>
      <c r="U188" s="34">
        <f t="shared" si="40"/>
        <v>1.9085648148148149</v>
      </c>
      <c r="V188" s="34">
        <v>223.28</v>
      </c>
      <c r="W188" s="52">
        <f t="shared" si="31"/>
        <v>3.9347222222222222</v>
      </c>
      <c r="X188" s="34">
        <f t="shared" si="50"/>
        <v>116.98842935112189</v>
      </c>
      <c r="Y188" s="31" t="str">
        <f t="shared" si="51"/>
        <v>è in grado</v>
      </c>
      <c r="Z188" s="31" t="str">
        <f t="shared" si="52"/>
        <v>non sottende</v>
      </c>
      <c r="AA188" s="45">
        <f t="shared" si="53"/>
        <v>56.7460642428521</v>
      </c>
      <c r="AB188" s="31" t="str">
        <f t="shared" si="54"/>
        <v>A</v>
      </c>
      <c r="AC188" s="21" t="str">
        <f t="shared" si="3"/>
        <v>SI</v>
      </c>
      <c r="AD188" s="31" t="str">
        <f t="shared" si="55"/>
        <v>Si</v>
      </c>
      <c r="AE188" s="31" t="s">
        <v>147</v>
      </c>
      <c r="AF188" s="80">
        <v>18.72</v>
      </c>
      <c r="AG188" s="80">
        <v>2998</v>
      </c>
      <c r="AH188" s="80">
        <v>1779</v>
      </c>
      <c r="AI188" s="41" t="str">
        <f t="shared" si="47"/>
        <v>Manufatto limitante</v>
      </c>
      <c r="AJ188" s="33">
        <v>103.77</v>
      </c>
      <c r="AK188" s="24">
        <f t="shared" si="59"/>
        <v>14.992001541871447</v>
      </c>
      <c r="AL188" s="24">
        <f t="shared" si="57"/>
        <v>1555.72</v>
      </c>
      <c r="AM188" s="31" t="s">
        <v>190</v>
      </c>
      <c r="AN188" s="56" t="s">
        <v>222</v>
      </c>
      <c r="AO188" s="46">
        <v>46543</v>
      </c>
      <c r="AP188" s="36" t="s">
        <v>854</v>
      </c>
      <c r="AQ188" s="29" t="s">
        <v>543</v>
      </c>
      <c r="AR188" s="36" t="s">
        <v>544</v>
      </c>
      <c r="AS188" s="29"/>
      <c r="AT188" s="26"/>
      <c r="AU188" s="38"/>
      <c r="AV188" s="38"/>
      <c r="AW188" s="38"/>
      <c r="AX188" s="38"/>
      <c r="AY188" s="38"/>
      <c r="AZ188" s="38"/>
      <c r="BA188" s="38"/>
      <c r="BB188" s="38"/>
      <c r="BC188" s="38"/>
      <c r="BD188" s="38"/>
      <c r="BE188" s="38"/>
      <c r="BF188" s="1"/>
      <c r="BG188" s="1"/>
    </row>
    <row r="189" spans="1:59" ht="14.25" customHeight="1" x14ac:dyDescent="0.25">
      <c r="A189" s="1"/>
      <c r="B189" s="19"/>
      <c r="C189" s="21" t="s">
        <v>1001</v>
      </c>
      <c r="D189" s="21" t="s">
        <v>92</v>
      </c>
      <c r="E189" s="21" t="str">
        <f t="shared" si="0"/>
        <v>-001B</v>
      </c>
      <c r="F189" s="21"/>
      <c r="G189" s="21" t="s">
        <v>850</v>
      </c>
      <c r="H189" s="21" t="s">
        <v>95</v>
      </c>
      <c r="I189" s="21" t="s">
        <v>1002</v>
      </c>
      <c r="J189" s="21" t="s">
        <v>1003</v>
      </c>
      <c r="K189" s="21" t="s">
        <v>850</v>
      </c>
      <c r="L189" s="38" t="s">
        <v>906</v>
      </c>
      <c r="M189" s="76" t="s">
        <v>221</v>
      </c>
      <c r="N189" s="22"/>
      <c r="O189" s="21" t="s">
        <v>151</v>
      </c>
      <c r="P189" s="21">
        <v>131</v>
      </c>
      <c r="Q189" s="24">
        <v>0</v>
      </c>
      <c r="R189" s="24">
        <f t="shared" si="39"/>
        <v>131</v>
      </c>
      <c r="S189" s="23">
        <v>0.30809259259259258</v>
      </c>
      <c r="T189" s="23">
        <v>0</v>
      </c>
      <c r="U189" s="23">
        <f t="shared" si="40"/>
        <v>0.30809259259259258</v>
      </c>
      <c r="V189" s="23">
        <v>198.94</v>
      </c>
      <c r="W189" s="52">
        <f t="shared" si="31"/>
        <v>1.1371527777777777</v>
      </c>
      <c r="X189" s="23">
        <f t="shared" si="50"/>
        <v>645.71497265131939</v>
      </c>
      <c r="Y189" s="21" t="str">
        <f t="shared" si="51"/>
        <v>è in grado</v>
      </c>
      <c r="Z189" s="21" t="str">
        <f t="shared" si="52"/>
        <v>non sottende</v>
      </c>
      <c r="AA189" s="40">
        <f t="shared" si="53"/>
        <v>174.94570992366414</v>
      </c>
      <c r="AB189" s="21" t="str">
        <f t="shared" si="54"/>
        <v>A</v>
      </c>
      <c r="AC189" s="21" t="str">
        <f t="shared" si="3"/>
        <v>SI</v>
      </c>
      <c r="AD189" s="21" t="str">
        <f t="shared" si="55"/>
        <v>Si</v>
      </c>
      <c r="AE189" s="21" t="s">
        <v>147</v>
      </c>
      <c r="AF189" s="41">
        <v>2.35</v>
      </c>
      <c r="AG189" s="41">
        <v>245</v>
      </c>
      <c r="AH189" s="41">
        <v>522</v>
      </c>
      <c r="AI189" s="41" t="str">
        <f t="shared" si="47"/>
        <v xml:space="preserve"> </v>
      </c>
      <c r="AJ189" s="24">
        <v>49.24</v>
      </c>
      <c r="AK189" s="24">
        <f t="shared" si="59"/>
        <v>0.93541835905767667</v>
      </c>
      <c r="AL189" s="24">
        <f t="shared" si="57"/>
        <v>46.06</v>
      </c>
      <c r="AM189" s="21" t="s">
        <v>190</v>
      </c>
      <c r="AN189" s="56" t="s">
        <v>222</v>
      </c>
      <c r="AO189" s="28" t="s">
        <v>902</v>
      </c>
      <c r="AP189" s="29" t="s">
        <v>223</v>
      </c>
      <c r="AQ189" s="29" t="s">
        <v>224</v>
      </c>
      <c r="AR189" s="29" t="s">
        <v>225</v>
      </c>
      <c r="AS189" s="29" t="s">
        <v>92</v>
      </c>
      <c r="AT189" s="26"/>
      <c r="AU189" s="38"/>
      <c r="AV189" s="38"/>
      <c r="AW189" s="38"/>
      <c r="AX189" s="38"/>
      <c r="AY189" s="38"/>
      <c r="AZ189" s="38"/>
      <c r="BA189" s="38"/>
      <c r="BB189" s="38"/>
      <c r="BC189" s="38"/>
      <c r="BD189" s="38"/>
      <c r="BE189" s="38"/>
      <c r="BF189" s="1"/>
      <c r="BG189" s="1"/>
    </row>
    <row r="190" spans="1:59" ht="14.25" customHeight="1" x14ac:dyDescent="0.25">
      <c r="A190" s="1"/>
      <c r="B190" s="50"/>
      <c r="C190" s="50" t="s">
        <v>1004</v>
      </c>
      <c r="D190" s="50" t="s">
        <v>1005</v>
      </c>
      <c r="E190" s="50" t="str">
        <f t="shared" si="0"/>
        <v>PP0200170030001B</v>
      </c>
      <c r="F190" s="50"/>
      <c r="G190" s="50" t="s">
        <v>850</v>
      </c>
      <c r="H190" s="50" t="s">
        <v>95</v>
      </c>
      <c r="I190" s="50" t="s">
        <v>1006</v>
      </c>
      <c r="J190" s="50" t="s">
        <v>1007</v>
      </c>
      <c r="K190" s="50" t="s">
        <v>850</v>
      </c>
      <c r="L190" s="1" t="s">
        <v>864</v>
      </c>
      <c r="M190" s="50"/>
      <c r="N190" s="52"/>
      <c r="O190" s="50" t="s">
        <v>151</v>
      </c>
      <c r="P190" s="50">
        <v>2441</v>
      </c>
      <c r="Q190" s="53">
        <v>24</v>
      </c>
      <c r="R190" s="53">
        <f t="shared" si="39"/>
        <v>2465</v>
      </c>
      <c r="S190" s="54">
        <v>5.7408703703703701</v>
      </c>
      <c r="T190" s="54">
        <v>9.5138888888888884E-2</v>
      </c>
      <c r="U190" s="54">
        <f t="shared" si="40"/>
        <v>5.8360092592592592</v>
      </c>
      <c r="V190" s="54">
        <v>397</v>
      </c>
      <c r="W190" s="52">
        <f t="shared" si="31"/>
        <v>21.397569444444443</v>
      </c>
      <c r="X190" s="54">
        <f t="shared" si="50"/>
        <v>68.02593730812373</v>
      </c>
      <c r="Y190" s="50" t="str">
        <f t="shared" si="51"/>
        <v>è in grado</v>
      </c>
      <c r="Z190" s="50" t="str">
        <f t="shared" si="52"/>
        <v>non sottende</v>
      </c>
      <c r="AA190" s="106">
        <f t="shared" si="53"/>
        <v>18.553509127789049</v>
      </c>
      <c r="AB190" s="50" t="str">
        <f t="shared" si="54"/>
        <v>A</v>
      </c>
      <c r="AC190" s="50" t="str">
        <f t="shared" si="3"/>
        <v>SI</v>
      </c>
      <c r="AD190" s="50" t="str">
        <f t="shared" si="55"/>
        <v>Si</v>
      </c>
      <c r="AE190" s="50" t="s">
        <v>147</v>
      </c>
      <c r="AF190" s="55">
        <v>13.84</v>
      </c>
      <c r="AG190" s="55">
        <v>1333</v>
      </c>
      <c r="AH190" s="55">
        <v>1299</v>
      </c>
      <c r="AI190" s="55" t="str">
        <f t="shared" si="47"/>
        <v>Manufatto limitante</v>
      </c>
      <c r="AJ190" s="53">
        <v>138.4</v>
      </c>
      <c r="AK190" s="53">
        <f t="shared" si="59"/>
        <v>6.5173410404624272</v>
      </c>
      <c r="AL190" s="53">
        <f t="shared" si="57"/>
        <v>902</v>
      </c>
      <c r="AM190" s="50" t="s">
        <v>190</v>
      </c>
      <c r="AN190" s="56" t="s">
        <v>222</v>
      </c>
      <c r="AO190" s="57">
        <v>46543</v>
      </c>
      <c r="AP190" s="58" t="s">
        <v>854</v>
      </c>
      <c r="AQ190" s="58" t="s">
        <v>313</v>
      </c>
      <c r="AR190" s="107" t="s">
        <v>544</v>
      </c>
      <c r="AS190" s="58"/>
      <c r="AT190" s="64"/>
      <c r="AU190" s="1"/>
      <c r="AV190" s="1"/>
      <c r="AW190" s="1"/>
      <c r="AX190" s="1"/>
      <c r="AY190" s="1"/>
      <c r="AZ190" s="1"/>
      <c r="BA190" s="1"/>
      <c r="BB190" s="1"/>
      <c r="BC190" s="1"/>
      <c r="BD190" s="1"/>
      <c r="BE190" s="1"/>
      <c r="BF190" s="1"/>
      <c r="BG190" s="1"/>
    </row>
    <row r="191" spans="1:59" ht="14.25" customHeight="1" x14ac:dyDescent="0.25">
      <c r="A191" s="1"/>
      <c r="B191" s="50"/>
      <c r="C191" s="7" t="s">
        <v>1008</v>
      </c>
      <c r="D191" s="50"/>
      <c r="E191" s="50" t="str">
        <f t="shared" si="0"/>
        <v>001B</v>
      </c>
      <c r="F191" s="50" t="s">
        <v>1009</v>
      </c>
      <c r="G191" s="50" t="s">
        <v>1010</v>
      </c>
      <c r="H191" s="50" t="s">
        <v>95</v>
      </c>
      <c r="I191" s="50" t="s">
        <v>1011</v>
      </c>
      <c r="J191" s="50" t="s">
        <v>1012</v>
      </c>
      <c r="K191" s="108" t="s">
        <v>1013</v>
      </c>
      <c r="L191" s="50"/>
      <c r="M191" s="109" t="s">
        <v>221</v>
      </c>
      <c r="N191" s="52"/>
      <c r="O191" s="50" t="s">
        <v>151</v>
      </c>
      <c r="P191" s="50"/>
      <c r="Q191" s="53"/>
      <c r="R191" s="53"/>
      <c r="S191" s="54"/>
      <c r="T191" s="54"/>
      <c r="U191" s="54"/>
      <c r="V191" s="54"/>
      <c r="W191" s="52">
        <f t="shared" si="31"/>
        <v>0</v>
      </c>
      <c r="X191" s="54"/>
      <c r="Y191" s="50"/>
      <c r="Z191" s="50"/>
      <c r="AA191" s="106"/>
      <c r="AB191" s="50"/>
      <c r="AC191" s="50" t="str">
        <f t="shared" si="3"/>
        <v>NO</v>
      </c>
      <c r="AD191" s="50"/>
      <c r="AE191" s="50"/>
      <c r="AF191" s="55"/>
      <c r="AG191" s="55"/>
      <c r="AH191" s="55"/>
      <c r="AI191" s="55"/>
      <c r="AJ191" s="53"/>
      <c r="AK191" s="53"/>
      <c r="AL191" s="53"/>
      <c r="AM191" s="50"/>
      <c r="AN191" s="56" t="s">
        <v>222</v>
      </c>
      <c r="AO191" s="66"/>
      <c r="AP191" s="58" t="s">
        <v>223</v>
      </c>
      <c r="AQ191" s="58" t="s">
        <v>224</v>
      </c>
      <c r="AR191" s="58" t="s">
        <v>225</v>
      </c>
      <c r="AS191" s="58" t="s">
        <v>92</v>
      </c>
      <c r="AT191" s="50"/>
      <c r="AU191" s="1"/>
      <c r="AV191" s="1"/>
      <c r="AW191" s="1"/>
      <c r="AX191" s="1"/>
      <c r="AY191" s="1"/>
      <c r="AZ191" s="1"/>
      <c r="BA191" s="1"/>
      <c r="BB191" s="1"/>
      <c r="BC191" s="1"/>
      <c r="BD191" s="1"/>
      <c r="BE191" s="1"/>
      <c r="BF191" s="1"/>
      <c r="BG191" s="1"/>
    </row>
    <row r="192" spans="1:59" ht="14.25" customHeight="1" x14ac:dyDescent="0.25">
      <c r="A192" s="1"/>
      <c r="B192" s="50"/>
      <c r="C192" s="50" t="s">
        <v>1014</v>
      </c>
      <c r="D192" s="50" t="s">
        <v>1015</v>
      </c>
      <c r="E192" s="50" t="str">
        <f t="shared" si="0"/>
        <v>PP0200160003001B</v>
      </c>
      <c r="F192" s="50"/>
      <c r="G192" s="50" t="s">
        <v>1010</v>
      </c>
      <c r="H192" s="50" t="s">
        <v>95</v>
      </c>
      <c r="I192" s="50" t="s">
        <v>1016</v>
      </c>
      <c r="J192" s="50" t="s">
        <v>1017</v>
      </c>
      <c r="K192" s="108" t="s">
        <v>1013</v>
      </c>
      <c r="L192" s="50" t="s">
        <v>1018</v>
      </c>
      <c r="M192" s="110"/>
      <c r="N192" s="52"/>
      <c r="O192" s="50" t="s">
        <v>159</v>
      </c>
      <c r="P192" s="50">
        <v>1906</v>
      </c>
      <c r="Q192" s="50">
        <v>2</v>
      </c>
      <c r="R192" s="50">
        <f t="shared" ref="R192:R275" si="60">P192+Q192</f>
        <v>1908</v>
      </c>
      <c r="S192" s="54">
        <v>4.4800000000000004</v>
      </c>
      <c r="T192" s="50">
        <v>0.06</v>
      </c>
      <c r="U192" s="54">
        <f t="shared" ref="U192:U203" si="61">T192+S192</f>
        <v>4.54</v>
      </c>
      <c r="V192" s="54">
        <v>43</v>
      </c>
      <c r="W192" s="52">
        <f t="shared" si="31"/>
        <v>16.5625</v>
      </c>
      <c r="X192" s="54">
        <f t="shared" ref="X192:X201" si="62">V192/U192</f>
        <v>9.4713656387665193</v>
      </c>
      <c r="Y192" s="50" t="str">
        <f t="shared" ref="Y192:Y201" si="63">IF(V192&gt;W192, "è in grado", "non è in grado")</f>
        <v>è in grado</v>
      </c>
      <c r="Z192" s="50" t="str">
        <f t="shared" ref="Z192:Z201" si="64">IF(R192&gt;10000, "sottende", "non sottende")</f>
        <v>non sottende</v>
      </c>
      <c r="AA192" s="54">
        <f t="shared" ref="AA192:AA201" si="65">V192/W192</f>
        <v>2.5962264150943395</v>
      </c>
      <c r="AB192" s="50" t="str">
        <f t="shared" ref="AB192:AB201" si="66">IF(R192&gt;10000, "B", IF(AA192&gt;=2, "A", "B"))</f>
        <v>A</v>
      </c>
      <c r="AC192" s="50" t="str">
        <f t="shared" si="3"/>
        <v>SI</v>
      </c>
      <c r="AD192" s="50" t="str">
        <f t="shared" ref="AD192:AD201" si="67">IF(V192&gt;20, "Si", "No")</f>
        <v>Si</v>
      </c>
      <c r="AE192" s="50" t="s">
        <v>490</v>
      </c>
      <c r="AF192" s="55">
        <v>120</v>
      </c>
      <c r="AG192" s="55">
        <v>4737</v>
      </c>
      <c r="AH192" s="55">
        <v>4354</v>
      </c>
      <c r="AI192" s="55" t="str">
        <f>IF(AG192&gt;AH192, "Manufatto limitante", " ")</f>
        <v>Manufatto limitante</v>
      </c>
      <c r="AJ192" s="53">
        <v>73.3</v>
      </c>
      <c r="AK192" s="53">
        <f>((MIN(AG192:AH192))-V192)/AJ192</f>
        <v>58.813096862210095</v>
      </c>
      <c r="AL192" s="53">
        <f t="shared" ref="AL192:AL193" si="68">MIN(AG192:AH192)-V192</f>
        <v>4311</v>
      </c>
      <c r="AM192" s="50" t="s">
        <v>190</v>
      </c>
      <c r="AN192" s="56" t="s">
        <v>236</v>
      </c>
      <c r="AO192" s="67">
        <v>47312</v>
      </c>
      <c r="AP192" s="58" t="s">
        <v>1019</v>
      </c>
      <c r="AQ192" s="58" t="s">
        <v>313</v>
      </c>
      <c r="AR192" s="58" t="s">
        <v>544</v>
      </c>
      <c r="AS192" s="58"/>
      <c r="AT192" s="50" t="s">
        <v>1020</v>
      </c>
      <c r="AU192" s="1"/>
      <c r="AV192" s="1"/>
      <c r="AW192" s="1"/>
      <c r="AX192" s="1"/>
      <c r="AY192" s="1"/>
      <c r="AZ192" s="1"/>
      <c r="BA192" s="1"/>
      <c r="BB192" s="1"/>
      <c r="BC192" s="1"/>
      <c r="BD192" s="1"/>
      <c r="BE192" s="1"/>
      <c r="BF192" s="1"/>
      <c r="BG192" s="1"/>
    </row>
    <row r="193" spans="1:59" ht="14.25" customHeight="1" x14ac:dyDescent="0.25">
      <c r="A193" s="1"/>
      <c r="B193" s="50"/>
      <c r="C193" s="50" t="s">
        <v>1021</v>
      </c>
      <c r="D193" s="50" t="s">
        <v>1022</v>
      </c>
      <c r="E193" s="50" t="str">
        <f t="shared" si="0"/>
        <v>PP0200160004001B</v>
      </c>
      <c r="F193" s="50" t="s">
        <v>1023</v>
      </c>
      <c r="G193" s="50" t="s">
        <v>1010</v>
      </c>
      <c r="H193" s="50" t="s">
        <v>95</v>
      </c>
      <c r="I193" s="50" t="s">
        <v>1024</v>
      </c>
      <c r="J193" s="50" t="s">
        <v>1025</v>
      </c>
      <c r="K193" s="108" t="s">
        <v>1013</v>
      </c>
      <c r="L193" s="50" t="s">
        <v>1026</v>
      </c>
      <c r="M193" s="110"/>
      <c r="N193" s="52"/>
      <c r="O193" s="50" t="s">
        <v>151</v>
      </c>
      <c r="P193" s="50">
        <v>430</v>
      </c>
      <c r="Q193" s="50">
        <v>2</v>
      </c>
      <c r="R193" s="54">
        <f t="shared" si="60"/>
        <v>432</v>
      </c>
      <c r="S193" s="54">
        <v>1.01</v>
      </c>
      <c r="T193" s="54">
        <v>0.06</v>
      </c>
      <c r="U193" s="54">
        <f t="shared" si="61"/>
        <v>1.07</v>
      </c>
      <c r="V193" s="54">
        <v>67.3</v>
      </c>
      <c r="W193" s="52">
        <f t="shared" si="31"/>
        <v>3.75</v>
      </c>
      <c r="X193" s="54">
        <f t="shared" si="62"/>
        <v>62.89719626168224</v>
      </c>
      <c r="Y193" s="54" t="str">
        <f t="shared" si="63"/>
        <v>è in grado</v>
      </c>
      <c r="Z193" s="54" t="str">
        <f t="shared" si="64"/>
        <v>non sottende</v>
      </c>
      <c r="AA193" s="54">
        <f t="shared" si="65"/>
        <v>17.946666666666665</v>
      </c>
      <c r="AB193" s="54" t="str">
        <f t="shared" si="66"/>
        <v>A</v>
      </c>
      <c r="AC193" s="50" t="str">
        <f t="shared" si="3"/>
        <v>SI</v>
      </c>
      <c r="AD193" s="54" t="str">
        <f t="shared" si="67"/>
        <v>Si</v>
      </c>
      <c r="AE193" s="54" t="s">
        <v>490</v>
      </c>
      <c r="AF193" s="54">
        <v>8.65</v>
      </c>
      <c r="AG193" s="54">
        <v>846</v>
      </c>
      <c r="AH193" s="54">
        <v>1607</v>
      </c>
      <c r="AI193" s="50"/>
      <c r="AJ193" s="50">
        <v>205</v>
      </c>
      <c r="AK193" s="50">
        <v>3.81</v>
      </c>
      <c r="AL193" s="54">
        <f t="shared" si="68"/>
        <v>778.7</v>
      </c>
      <c r="AM193" s="50" t="s">
        <v>190</v>
      </c>
      <c r="AN193" s="56" t="s">
        <v>222</v>
      </c>
      <c r="AO193" s="67">
        <v>47312</v>
      </c>
      <c r="AP193" s="58" t="s">
        <v>1019</v>
      </c>
      <c r="AQ193" s="58" t="s">
        <v>1027</v>
      </c>
      <c r="AR193" s="58">
        <v>2035</v>
      </c>
      <c r="AS193" s="58" t="s">
        <v>1028</v>
      </c>
      <c r="AT193" s="50"/>
      <c r="AU193" s="1"/>
      <c r="AV193" s="1"/>
      <c r="AW193" s="1"/>
      <c r="AX193" s="1"/>
      <c r="AY193" s="1"/>
      <c r="AZ193" s="1"/>
      <c r="BA193" s="1"/>
      <c r="BB193" s="1"/>
      <c r="BC193" s="1"/>
      <c r="BD193" s="1"/>
      <c r="BE193" s="1"/>
      <c r="BF193" s="1"/>
      <c r="BG193" s="1"/>
    </row>
    <row r="194" spans="1:59" ht="14.25" customHeight="1" x14ac:dyDescent="0.25">
      <c r="A194" s="1"/>
      <c r="B194" s="50"/>
      <c r="C194" s="50" t="s">
        <v>1029</v>
      </c>
      <c r="D194" s="50"/>
      <c r="E194" s="50" t="str">
        <f t="shared" si="0"/>
        <v>001B</v>
      </c>
      <c r="F194" s="50" t="s">
        <v>1030</v>
      </c>
      <c r="G194" s="50" t="s">
        <v>1010</v>
      </c>
      <c r="H194" s="50" t="s">
        <v>95</v>
      </c>
      <c r="I194" s="50" t="s">
        <v>1031</v>
      </c>
      <c r="J194" s="50" t="s">
        <v>1032</v>
      </c>
      <c r="K194" s="108" t="s">
        <v>1013</v>
      </c>
      <c r="L194" s="50" t="s">
        <v>1018</v>
      </c>
      <c r="M194" s="109" t="s">
        <v>221</v>
      </c>
      <c r="N194" s="52"/>
      <c r="O194" s="50" t="s">
        <v>159</v>
      </c>
      <c r="P194" s="54">
        <v>100</v>
      </c>
      <c r="Q194" s="54">
        <v>0</v>
      </c>
      <c r="R194" s="54">
        <f t="shared" si="60"/>
        <v>100</v>
      </c>
      <c r="S194" s="54">
        <v>0.24</v>
      </c>
      <c r="T194" s="54">
        <v>0</v>
      </c>
      <c r="U194" s="54">
        <f t="shared" si="61"/>
        <v>0.24</v>
      </c>
      <c r="V194" s="54">
        <v>24.5</v>
      </c>
      <c r="W194" s="52">
        <f t="shared" si="31"/>
        <v>0.86805555555555558</v>
      </c>
      <c r="X194" s="54">
        <f t="shared" si="62"/>
        <v>102.08333333333334</v>
      </c>
      <c r="Y194" s="54" t="str">
        <f t="shared" si="63"/>
        <v>è in grado</v>
      </c>
      <c r="Z194" s="54" t="str">
        <f t="shared" si="64"/>
        <v>non sottende</v>
      </c>
      <c r="AA194" s="54">
        <f t="shared" si="65"/>
        <v>28.224</v>
      </c>
      <c r="AB194" s="54" t="str">
        <f t="shared" si="66"/>
        <v>A</v>
      </c>
      <c r="AC194" s="50" t="str">
        <f t="shared" si="3"/>
        <v>SI</v>
      </c>
      <c r="AD194" s="54" t="str">
        <f t="shared" si="67"/>
        <v>Si</v>
      </c>
      <c r="AE194" s="54" t="s">
        <v>490</v>
      </c>
      <c r="AF194" s="54">
        <v>0.54</v>
      </c>
      <c r="AG194" s="54">
        <v>65.3</v>
      </c>
      <c r="AH194" s="54">
        <v>681</v>
      </c>
      <c r="AI194" s="54"/>
      <c r="AJ194" s="54">
        <v>264</v>
      </c>
      <c r="AK194" s="54">
        <v>0.23</v>
      </c>
      <c r="AL194" s="54">
        <v>60.8</v>
      </c>
      <c r="AM194" s="54" t="s">
        <v>190</v>
      </c>
      <c r="AN194" s="56" t="s">
        <v>222</v>
      </c>
      <c r="AO194" s="81"/>
      <c r="AP194" s="58" t="s">
        <v>223</v>
      </c>
      <c r="AQ194" s="58" t="s">
        <v>224</v>
      </c>
      <c r="AR194" s="58" t="s">
        <v>225</v>
      </c>
      <c r="AS194" s="58" t="s">
        <v>92</v>
      </c>
      <c r="AT194" s="50"/>
      <c r="AU194" s="1"/>
      <c r="AV194" s="1"/>
      <c r="AW194" s="1"/>
      <c r="AX194" s="1"/>
      <c r="AY194" s="1"/>
      <c r="AZ194" s="1"/>
      <c r="BA194" s="1"/>
      <c r="BB194" s="1"/>
      <c r="BC194" s="1"/>
      <c r="BD194" s="1"/>
      <c r="BE194" s="1"/>
      <c r="BF194" s="1"/>
      <c r="BG194" s="1"/>
    </row>
    <row r="195" spans="1:59" ht="14.25" customHeight="1" x14ac:dyDescent="0.25">
      <c r="A195" s="1"/>
      <c r="B195" s="50"/>
      <c r="C195" s="50" t="s">
        <v>1033</v>
      </c>
      <c r="D195" s="50" t="s">
        <v>1034</v>
      </c>
      <c r="E195" s="50" t="str">
        <f t="shared" si="0"/>
        <v>PP0200160006001B</v>
      </c>
      <c r="F195" s="50" t="s">
        <v>1035</v>
      </c>
      <c r="G195" s="50" t="s">
        <v>1010</v>
      </c>
      <c r="H195" s="50" t="s">
        <v>95</v>
      </c>
      <c r="I195" s="50" t="s">
        <v>1036</v>
      </c>
      <c r="J195" s="50" t="s">
        <v>1037</v>
      </c>
      <c r="K195" s="50" t="s">
        <v>1013</v>
      </c>
      <c r="L195" s="70" t="s">
        <v>1018</v>
      </c>
      <c r="M195" s="50"/>
      <c r="N195" s="52"/>
      <c r="O195" s="50" t="s">
        <v>159</v>
      </c>
      <c r="P195" s="54">
        <v>1590</v>
      </c>
      <c r="Q195" s="54">
        <v>22</v>
      </c>
      <c r="R195" s="54">
        <f t="shared" si="60"/>
        <v>1612</v>
      </c>
      <c r="S195" s="54">
        <v>3.74</v>
      </c>
      <c r="T195" s="54">
        <v>3.08</v>
      </c>
      <c r="U195" s="54">
        <f t="shared" si="61"/>
        <v>6.82</v>
      </c>
      <c r="V195" s="54">
        <v>36.5</v>
      </c>
      <c r="W195" s="52">
        <f t="shared" si="31"/>
        <v>17.380000000000003</v>
      </c>
      <c r="X195" s="54">
        <f t="shared" si="62"/>
        <v>5.3519061583577709</v>
      </c>
      <c r="Y195" s="54" t="str">
        <f t="shared" si="63"/>
        <v>è in grado</v>
      </c>
      <c r="Z195" s="54" t="str">
        <f t="shared" si="64"/>
        <v>non sottende</v>
      </c>
      <c r="AA195" s="54">
        <f t="shared" si="65"/>
        <v>2.1001150747986186</v>
      </c>
      <c r="AB195" s="54" t="str">
        <f t="shared" si="66"/>
        <v>A</v>
      </c>
      <c r="AC195" s="50" t="str">
        <f t="shared" si="3"/>
        <v>SI</v>
      </c>
      <c r="AD195" s="54" t="str">
        <f t="shared" si="67"/>
        <v>Si</v>
      </c>
      <c r="AE195" s="54" t="s">
        <v>490</v>
      </c>
      <c r="AF195" s="54">
        <v>30.89</v>
      </c>
      <c r="AG195" s="54">
        <v>1900</v>
      </c>
      <c r="AH195" s="54">
        <v>4354</v>
      </c>
      <c r="AI195" s="54"/>
      <c r="AJ195" s="54">
        <v>167</v>
      </c>
      <c r="AK195" s="54">
        <v>12.36</v>
      </c>
      <c r="AL195" s="54">
        <v>2070</v>
      </c>
      <c r="AM195" s="54" t="s">
        <v>190</v>
      </c>
      <c r="AN195" s="56" t="s">
        <v>532</v>
      </c>
      <c r="AO195" s="67">
        <v>47312</v>
      </c>
      <c r="AP195" s="58" t="s">
        <v>1019</v>
      </c>
      <c r="AQ195" s="58" t="s">
        <v>313</v>
      </c>
      <c r="AR195" s="58"/>
      <c r="AS195" s="58"/>
      <c r="AT195" s="50"/>
      <c r="AU195" s="1"/>
      <c r="AV195" s="1"/>
      <c r="AW195" s="1"/>
      <c r="AX195" s="1"/>
      <c r="AY195" s="1"/>
      <c r="AZ195" s="1"/>
      <c r="BA195" s="1"/>
      <c r="BB195" s="1"/>
      <c r="BC195" s="1"/>
      <c r="BD195" s="1"/>
      <c r="BE195" s="1"/>
      <c r="BF195" s="1"/>
      <c r="BG195" s="1"/>
    </row>
    <row r="196" spans="1:59" ht="14.25" customHeight="1" x14ac:dyDescent="0.25">
      <c r="A196" s="1"/>
      <c r="B196" s="50"/>
      <c r="C196" s="50" t="s">
        <v>1038</v>
      </c>
      <c r="D196" s="50" t="s">
        <v>1039</v>
      </c>
      <c r="E196" s="50" t="str">
        <f t="shared" si="0"/>
        <v>PP0200160002001B</v>
      </c>
      <c r="F196" s="50"/>
      <c r="G196" s="50" t="s">
        <v>1010</v>
      </c>
      <c r="H196" s="50" t="s">
        <v>95</v>
      </c>
      <c r="I196" s="50" t="s">
        <v>1040</v>
      </c>
      <c r="J196" s="50" t="s">
        <v>1041</v>
      </c>
      <c r="K196" s="50" t="s">
        <v>1013</v>
      </c>
      <c r="L196" s="50" t="s">
        <v>1018</v>
      </c>
      <c r="M196" s="50"/>
      <c r="N196" s="52"/>
      <c r="O196" s="50" t="s">
        <v>118</v>
      </c>
      <c r="P196" s="50">
        <v>4528</v>
      </c>
      <c r="Q196" s="53">
        <v>56.4</v>
      </c>
      <c r="R196" s="53">
        <f t="shared" si="60"/>
        <v>4584.3999999999996</v>
      </c>
      <c r="S196" s="54">
        <v>10.65</v>
      </c>
      <c r="T196" s="54">
        <v>4.3499999999999996</v>
      </c>
      <c r="U196" s="54">
        <f t="shared" si="61"/>
        <v>15</v>
      </c>
      <c r="V196" s="54">
        <v>543.15</v>
      </c>
      <c r="W196" s="52">
        <f t="shared" si="31"/>
        <v>40.650000000000006</v>
      </c>
      <c r="X196" s="54">
        <f t="shared" si="62"/>
        <v>36.21</v>
      </c>
      <c r="Y196" s="50" t="str">
        <f t="shared" si="63"/>
        <v>è in grado</v>
      </c>
      <c r="Z196" s="50" t="str">
        <f t="shared" si="64"/>
        <v>non sottende</v>
      </c>
      <c r="AA196" s="106">
        <f t="shared" si="65"/>
        <v>13.361623616236161</v>
      </c>
      <c r="AB196" s="50" t="str">
        <f t="shared" si="66"/>
        <v>A</v>
      </c>
      <c r="AC196" s="50" t="str">
        <f t="shared" si="3"/>
        <v>SI</v>
      </c>
      <c r="AD196" s="50" t="str">
        <f t="shared" si="67"/>
        <v>Si</v>
      </c>
      <c r="AE196" s="50" t="s">
        <v>343</v>
      </c>
      <c r="AF196" s="55">
        <v>84</v>
      </c>
      <c r="AG196" s="55">
        <v>1835</v>
      </c>
      <c r="AH196" s="55">
        <v>3164</v>
      </c>
      <c r="AI196" s="55" t="str">
        <f t="shared" ref="AI196:AI308" si="69">IF(AG196&gt;AH196, "Manufatto limitante", " ")</f>
        <v xml:space="preserve"> </v>
      </c>
      <c r="AJ196" s="53">
        <v>133.99</v>
      </c>
      <c r="AK196" s="53">
        <f t="shared" ref="AK196:AK247" si="70">((MIN(AG196:AH196))-V196)/AJ196</f>
        <v>9.6413911485931774</v>
      </c>
      <c r="AL196" s="53">
        <f t="shared" ref="AL196:AL256" si="71">MIN(AG196:AH196)-V196</f>
        <v>1291.8499999999999</v>
      </c>
      <c r="AM196" s="50" t="s">
        <v>190</v>
      </c>
      <c r="AN196" s="56" t="s">
        <v>236</v>
      </c>
      <c r="AO196" s="67">
        <v>47312</v>
      </c>
      <c r="AP196" s="58" t="s">
        <v>1019</v>
      </c>
      <c r="AQ196" s="58" t="s">
        <v>313</v>
      </c>
      <c r="AR196" s="58" t="s">
        <v>544</v>
      </c>
      <c r="AS196" s="58"/>
      <c r="AT196" s="50" t="s">
        <v>1020</v>
      </c>
      <c r="AU196" s="1"/>
      <c r="AV196" s="1"/>
      <c r="AW196" s="1"/>
      <c r="AX196" s="1"/>
      <c r="AY196" s="1"/>
      <c r="AZ196" s="1"/>
      <c r="BA196" s="1"/>
      <c r="BB196" s="1"/>
      <c r="BC196" s="1"/>
      <c r="BD196" s="1"/>
      <c r="BE196" s="1"/>
      <c r="BF196" s="1"/>
      <c r="BG196" s="1"/>
    </row>
    <row r="197" spans="1:59" ht="14.25" customHeight="1" x14ac:dyDescent="0.25">
      <c r="A197" s="1"/>
      <c r="B197" s="50"/>
      <c r="C197" s="50" t="s">
        <v>1042</v>
      </c>
      <c r="D197" s="50" t="s">
        <v>1043</v>
      </c>
      <c r="E197" s="50" t="str">
        <f t="shared" si="0"/>
        <v>PP0200160001001B</v>
      </c>
      <c r="F197" s="50"/>
      <c r="G197" s="50" t="s">
        <v>1010</v>
      </c>
      <c r="H197" s="50" t="s">
        <v>95</v>
      </c>
      <c r="I197" s="50" t="s">
        <v>1044</v>
      </c>
      <c r="J197" s="50" t="s">
        <v>1045</v>
      </c>
      <c r="K197" s="50" t="s">
        <v>1013</v>
      </c>
      <c r="L197" s="50" t="s">
        <v>1018</v>
      </c>
      <c r="M197" s="50"/>
      <c r="N197" s="52"/>
      <c r="O197" s="50" t="s">
        <v>151</v>
      </c>
      <c r="P197" s="50">
        <v>29</v>
      </c>
      <c r="Q197" s="53">
        <v>0</v>
      </c>
      <c r="R197" s="53">
        <f t="shared" si="60"/>
        <v>29</v>
      </c>
      <c r="S197" s="54">
        <v>7.0000000000000007E-2</v>
      </c>
      <c r="T197" s="54">
        <v>0</v>
      </c>
      <c r="U197" s="54">
        <f t="shared" si="61"/>
        <v>7.0000000000000007E-2</v>
      </c>
      <c r="V197" s="54">
        <v>64.39</v>
      </c>
      <c r="W197" s="52">
        <f t="shared" si="31"/>
        <v>0.2517361111111111</v>
      </c>
      <c r="X197" s="54">
        <f t="shared" si="62"/>
        <v>919.85714285714278</v>
      </c>
      <c r="Y197" s="50" t="str">
        <f t="shared" si="63"/>
        <v>è in grado</v>
      </c>
      <c r="Z197" s="50" t="str">
        <f t="shared" si="64"/>
        <v>non sottende</v>
      </c>
      <c r="AA197" s="106">
        <f t="shared" si="65"/>
        <v>255.78372413793105</v>
      </c>
      <c r="AB197" s="50" t="str">
        <f t="shared" si="66"/>
        <v>A</v>
      </c>
      <c r="AC197" s="50" t="str">
        <f t="shared" si="3"/>
        <v>SI</v>
      </c>
      <c r="AD197" s="50" t="str">
        <f t="shared" si="67"/>
        <v>Si</v>
      </c>
      <c r="AE197" s="50" t="s">
        <v>490</v>
      </c>
      <c r="AF197" s="55">
        <v>0.83</v>
      </c>
      <c r="AG197" s="55">
        <v>103</v>
      </c>
      <c r="AH197" s="55">
        <v>1357</v>
      </c>
      <c r="AI197" s="55" t="str">
        <f t="shared" si="69"/>
        <v xml:space="preserve"> </v>
      </c>
      <c r="AJ197" s="53">
        <v>107.67</v>
      </c>
      <c r="AK197" s="53">
        <f t="shared" si="70"/>
        <v>0.358595709111173</v>
      </c>
      <c r="AL197" s="53">
        <f t="shared" si="71"/>
        <v>38.61</v>
      </c>
      <c r="AM197" s="50" t="s">
        <v>190</v>
      </c>
      <c r="AN197" s="56" t="s">
        <v>222</v>
      </c>
      <c r="AO197" s="67">
        <v>47312</v>
      </c>
      <c r="AP197" s="58" t="s">
        <v>1019</v>
      </c>
      <c r="AQ197" s="58" t="s">
        <v>313</v>
      </c>
      <c r="AR197" s="58" t="s">
        <v>544</v>
      </c>
      <c r="AS197" s="58"/>
      <c r="AT197" s="50" t="s">
        <v>1020</v>
      </c>
      <c r="AU197" s="1"/>
      <c r="AV197" s="1"/>
      <c r="AW197" s="1"/>
      <c r="AX197" s="1"/>
      <c r="AY197" s="1"/>
      <c r="AZ197" s="1"/>
      <c r="BA197" s="1"/>
      <c r="BB197" s="1"/>
      <c r="BC197" s="1"/>
      <c r="BD197" s="1"/>
      <c r="BE197" s="1"/>
      <c r="BF197" s="1"/>
      <c r="BG197" s="1"/>
    </row>
    <row r="198" spans="1:59" ht="14.25" customHeight="1" x14ac:dyDescent="0.25">
      <c r="A198" s="1"/>
      <c r="B198" s="50"/>
      <c r="C198" s="50" t="s">
        <v>1046</v>
      </c>
      <c r="D198" s="50" t="s">
        <v>1047</v>
      </c>
      <c r="E198" s="50" t="str">
        <f t="shared" si="0"/>
        <v>PP0200160005001B</v>
      </c>
      <c r="F198" s="50" t="s">
        <v>1048</v>
      </c>
      <c r="G198" s="50" t="s">
        <v>1010</v>
      </c>
      <c r="H198" s="50" t="s">
        <v>95</v>
      </c>
      <c r="I198" s="50" t="s">
        <v>1049</v>
      </c>
      <c r="J198" s="50" t="s">
        <v>1050</v>
      </c>
      <c r="K198" s="50" t="s">
        <v>1013</v>
      </c>
      <c r="L198" s="1" t="s">
        <v>1051</v>
      </c>
      <c r="M198" s="50"/>
      <c r="N198" s="55"/>
      <c r="O198" s="50"/>
      <c r="P198" s="50">
        <v>300</v>
      </c>
      <c r="Q198" s="50">
        <v>0</v>
      </c>
      <c r="R198" s="50">
        <f t="shared" si="60"/>
        <v>300</v>
      </c>
      <c r="S198" s="50">
        <v>0.71</v>
      </c>
      <c r="T198" s="50">
        <v>0</v>
      </c>
      <c r="U198" s="50">
        <f t="shared" si="61"/>
        <v>0.71</v>
      </c>
      <c r="V198" s="50">
        <v>174.6</v>
      </c>
      <c r="W198" s="52">
        <f t="shared" si="31"/>
        <v>2.6041666666666665</v>
      </c>
      <c r="X198" s="50">
        <f t="shared" si="62"/>
        <v>245.91549295774649</v>
      </c>
      <c r="Y198" s="50" t="str">
        <f t="shared" si="63"/>
        <v>è in grado</v>
      </c>
      <c r="Z198" s="50" t="str">
        <f t="shared" si="64"/>
        <v>non sottende</v>
      </c>
      <c r="AA198" s="50">
        <f t="shared" si="65"/>
        <v>67.046400000000006</v>
      </c>
      <c r="AB198" s="50" t="str">
        <f t="shared" si="66"/>
        <v>A</v>
      </c>
      <c r="AC198" s="50" t="str">
        <f t="shared" si="3"/>
        <v>SI</v>
      </c>
      <c r="AD198" s="50" t="str">
        <f t="shared" si="67"/>
        <v>Si</v>
      </c>
      <c r="AE198" s="50" t="s">
        <v>343</v>
      </c>
      <c r="AF198" s="50">
        <v>4.79</v>
      </c>
      <c r="AG198" s="50">
        <v>469</v>
      </c>
      <c r="AH198" s="50">
        <v>1171</v>
      </c>
      <c r="AI198" s="50" t="str">
        <f t="shared" si="69"/>
        <v xml:space="preserve"> </v>
      </c>
      <c r="AJ198" s="50">
        <v>2.11</v>
      </c>
      <c r="AK198" s="53">
        <f t="shared" si="70"/>
        <v>139.52606635071089</v>
      </c>
      <c r="AL198" s="50">
        <f t="shared" si="71"/>
        <v>294.39999999999998</v>
      </c>
      <c r="AM198" s="50" t="s">
        <v>190</v>
      </c>
      <c r="AN198" s="56" t="s">
        <v>222</v>
      </c>
      <c r="AO198" s="67">
        <v>47312</v>
      </c>
      <c r="AP198" s="58" t="s">
        <v>1019</v>
      </c>
      <c r="AQ198" s="58" t="s">
        <v>255</v>
      </c>
      <c r="AR198" s="58" t="s">
        <v>225</v>
      </c>
      <c r="AS198" s="58" t="s">
        <v>92</v>
      </c>
      <c r="AT198" s="50"/>
      <c r="AU198" s="1"/>
      <c r="AV198" s="1"/>
      <c r="AW198" s="1"/>
      <c r="AX198" s="1"/>
      <c r="AY198" s="1"/>
      <c r="AZ198" s="1"/>
      <c r="BA198" s="1"/>
      <c r="BB198" s="1"/>
      <c r="BC198" s="1"/>
      <c r="BD198" s="1"/>
      <c r="BE198" s="1"/>
      <c r="BF198" s="1"/>
      <c r="BG198" s="1"/>
    </row>
    <row r="199" spans="1:59" ht="14.25" customHeight="1" x14ac:dyDescent="0.25">
      <c r="A199" s="1"/>
      <c r="B199" s="50"/>
      <c r="C199" s="50" t="s">
        <v>1052</v>
      </c>
      <c r="D199" s="50" t="s">
        <v>1053</v>
      </c>
      <c r="E199" s="50" t="str">
        <f t="shared" si="0"/>
        <v>PP0200220001001B</v>
      </c>
      <c r="F199" s="50"/>
      <c r="G199" s="50" t="s">
        <v>127</v>
      </c>
      <c r="H199" s="50" t="s">
        <v>95</v>
      </c>
      <c r="I199" s="50" t="s">
        <v>1054</v>
      </c>
      <c r="J199" s="50" t="s">
        <v>1055</v>
      </c>
      <c r="K199" s="50" t="s">
        <v>127</v>
      </c>
      <c r="L199" s="50" t="s">
        <v>1056</v>
      </c>
      <c r="M199" s="50" t="s">
        <v>286</v>
      </c>
      <c r="N199" s="52"/>
      <c r="O199" s="50" t="s">
        <v>118</v>
      </c>
      <c r="P199" s="50">
        <v>3183</v>
      </c>
      <c r="Q199" s="53">
        <v>8</v>
      </c>
      <c r="R199" s="53">
        <f t="shared" si="60"/>
        <v>3191</v>
      </c>
      <c r="S199" s="54">
        <v>7.49</v>
      </c>
      <c r="T199" s="54">
        <v>0.25</v>
      </c>
      <c r="U199" s="54">
        <f t="shared" si="61"/>
        <v>7.74</v>
      </c>
      <c r="V199" s="54">
        <v>30</v>
      </c>
      <c r="W199" s="52">
        <f t="shared" si="31"/>
        <v>27.699652777777779</v>
      </c>
      <c r="X199" s="54">
        <f t="shared" si="62"/>
        <v>3.8759689922480618</v>
      </c>
      <c r="Y199" s="50" t="str">
        <f t="shared" si="63"/>
        <v>è in grado</v>
      </c>
      <c r="Z199" s="50" t="str">
        <f t="shared" si="64"/>
        <v>non sottende</v>
      </c>
      <c r="AA199" s="106">
        <f t="shared" si="65"/>
        <v>1.0830460670636164</v>
      </c>
      <c r="AB199" s="50" t="str">
        <f t="shared" si="66"/>
        <v>B</v>
      </c>
      <c r="AC199" s="50" t="str">
        <f t="shared" si="3"/>
        <v>SI</v>
      </c>
      <c r="AD199" s="50" t="str">
        <f t="shared" si="67"/>
        <v>Si</v>
      </c>
      <c r="AE199" s="50" t="s">
        <v>343</v>
      </c>
      <c r="AF199" s="55">
        <v>90.7</v>
      </c>
      <c r="AG199" s="55">
        <v>4555</v>
      </c>
      <c r="AH199" s="55">
        <v>2785</v>
      </c>
      <c r="AI199" s="55" t="str">
        <f t="shared" si="69"/>
        <v>Manufatto limitante</v>
      </c>
      <c r="AJ199" s="53">
        <v>57.32</v>
      </c>
      <c r="AK199" s="53">
        <f t="shared" si="70"/>
        <v>48.063503140265176</v>
      </c>
      <c r="AL199" s="53">
        <f t="shared" si="71"/>
        <v>2755</v>
      </c>
      <c r="AM199" s="50" t="s">
        <v>190</v>
      </c>
      <c r="AN199" s="56" t="s">
        <v>236</v>
      </c>
      <c r="AO199" s="57">
        <v>46742</v>
      </c>
      <c r="AP199" s="58" t="s">
        <v>1057</v>
      </c>
      <c r="AQ199" s="58" t="s">
        <v>445</v>
      </c>
      <c r="AR199" s="75">
        <v>50040</v>
      </c>
      <c r="AS199" s="58" t="s">
        <v>1058</v>
      </c>
      <c r="AT199" s="50"/>
      <c r="AU199" s="1"/>
      <c r="AV199" s="1"/>
      <c r="AW199" s="1"/>
      <c r="AX199" s="1"/>
      <c r="AY199" s="1"/>
      <c r="AZ199" s="1"/>
      <c r="BA199" s="1"/>
      <c r="BB199" s="1"/>
      <c r="BC199" s="1"/>
      <c r="BD199" s="1"/>
      <c r="BE199" s="1"/>
      <c r="BF199" s="1"/>
      <c r="BG199" s="1"/>
    </row>
    <row r="200" spans="1:59" ht="14.25" customHeight="1" x14ac:dyDescent="0.25">
      <c r="A200" s="1"/>
      <c r="B200" s="50"/>
      <c r="C200" s="50" t="s">
        <v>1059</v>
      </c>
      <c r="D200" s="50" t="s">
        <v>1060</v>
      </c>
      <c r="E200" s="50" t="str">
        <f t="shared" si="0"/>
        <v>PP0200220002001B</v>
      </c>
      <c r="F200" s="50"/>
      <c r="G200" s="50" t="s">
        <v>127</v>
      </c>
      <c r="H200" s="50" t="s">
        <v>1061</v>
      </c>
      <c r="I200" s="50" t="s">
        <v>1062</v>
      </c>
      <c r="J200" s="50" t="s">
        <v>1063</v>
      </c>
      <c r="K200" s="50" t="s">
        <v>127</v>
      </c>
      <c r="L200" s="50" t="s">
        <v>1064</v>
      </c>
      <c r="M200" s="50" t="s">
        <v>286</v>
      </c>
      <c r="N200" s="52"/>
      <c r="O200" s="50" t="s">
        <v>151</v>
      </c>
      <c r="P200" s="50">
        <v>404</v>
      </c>
      <c r="Q200" s="53">
        <v>5</v>
      </c>
      <c r="R200" s="53">
        <f t="shared" si="60"/>
        <v>409</v>
      </c>
      <c r="S200" s="54">
        <v>0.95</v>
      </c>
      <c r="T200" s="54">
        <v>7.0000000000000007E-2</v>
      </c>
      <c r="U200" s="54">
        <f t="shared" si="61"/>
        <v>1.02</v>
      </c>
      <c r="V200" s="54">
        <v>22.94</v>
      </c>
      <c r="W200" s="52">
        <f t="shared" si="31"/>
        <v>3.5503472222222223</v>
      </c>
      <c r="X200" s="54">
        <f t="shared" si="62"/>
        <v>22.490196078431374</v>
      </c>
      <c r="Y200" s="50" t="str">
        <f t="shared" si="63"/>
        <v>è in grado</v>
      </c>
      <c r="Z200" s="50" t="str">
        <f t="shared" si="64"/>
        <v>non sottende</v>
      </c>
      <c r="AA200" s="106">
        <f t="shared" si="65"/>
        <v>6.4613398533007338</v>
      </c>
      <c r="AB200" s="50" t="str">
        <f t="shared" si="66"/>
        <v>A</v>
      </c>
      <c r="AC200" s="50" t="str">
        <f t="shared" si="3"/>
        <v>SI</v>
      </c>
      <c r="AD200" s="50" t="str">
        <f t="shared" si="67"/>
        <v>Si</v>
      </c>
      <c r="AE200" s="50" t="s">
        <v>490</v>
      </c>
      <c r="AF200" s="55">
        <v>29.7</v>
      </c>
      <c r="AG200" s="55">
        <v>2771</v>
      </c>
      <c r="AH200" s="55">
        <v>996</v>
      </c>
      <c r="AI200" s="55" t="str">
        <f t="shared" si="69"/>
        <v>Manufatto limitante</v>
      </c>
      <c r="AJ200" s="53">
        <v>59.56</v>
      </c>
      <c r="AK200" s="53">
        <f t="shared" si="70"/>
        <v>16.337474815312287</v>
      </c>
      <c r="AL200" s="53">
        <f t="shared" si="71"/>
        <v>973.06</v>
      </c>
      <c r="AM200" s="50" t="s">
        <v>190</v>
      </c>
      <c r="AN200" s="56" t="s">
        <v>236</v>
      </c>
      <c r="AO200" s="57">
        <v>46742</v>
      </c>
      <c r="AP200" s="58" t="s">
        <v>1057</v>
      </c>
      <c r="AQ200" s="58" t="s">
        <v>255</v>
      </c>
      <c r="AR200" s="75">
        <v>50040</v>
      </c>
      <c r="AS200" s="58" t="s">
        <v>1058</v>
      </c>
      <c r="AT200" s="50"/>
      <c r="AU200" s="69"/>
      <c r="AV200" s="69"/>
      <c r="AW200" s="69"/>
      <c r="AX200" s="69"/>
      <c r="AY200" s="69"/>
      <c r="AZ200" s="69"/>
      <c r="BA200" s="69"/>
      <c r="BB200" s="69"/>
      <c r="BC200" s="69"/>
      <c r="BD200" s="69"/>
      <c r="BE200" s="69"/>
      <c r="BF200" s="1"/>
      <c r="BG200" s="1"/>
    </row>
    <row r="201" spans="1:59" ht="14.25" customHeight="1" x14ac:dyDescent="0.25">
      <c r="A201" s="1"/>
      <c r="B201" s="111"/>
      <c r="C201" s="70" t="s">
        <v>1065</v>
      </c>
      <c r="D201" s="50" t="s">
        <v>1066</v>
      </c>
      <c r="E201" s="50" t="str">
        <f t="shared" si="0"/>
        <v>PP0200220005001B</v>
      </c>
      <c r="F201" s="70"/>
      <c r="G201" s="70" t="s">
        <v>127</v>
      </c>
      <c r="H201" s="70" t="s">
        <v>128</v>
      </c>
      <c r="I201" s="70" t="s">
        <v>1067</v>
      </c>
      <c r="J201" s="70" t="s">
        <v>1068</v>
      </c>
      <c r="K201" s="70" t="s">
        <v>127</v>
      </c>
      <c r="L201" s="70" t="s">
        <v>1069</v>
      </c>
      <c r="M201" s="70"/>
      <c r="N201" s="72"/>
      <c r="O201" s="70" t="s">
        <v>151</v>
      </c>
      <c r="P201" s="70">
        <v>284</v>
      </c>
      <c r="Q201" s="73">
        <v>0</v>
      </c>
      <c r="R201" s="73">
        <f t="shared" si="60"/>
        <v>284</v>
      </c>
      <c r="S201" s="74">
        <v>0.67</v>
      </c>
      <c r="T201" s="74">
        <v>0</v>
      </c>
      <c r="U201" s="74">
        <f t="shared" si="61"/>
        <v>0.67</v>
      </c>
      <c r="V201" s="74">
        <v>90.5</v>
      </c>
      <c r="W201" s="52">
        <f t="shared" si="31"/>
        <v>2.4652777777777777</v>
      </c>
      <c r="X201" s="74">
        <f t="shared" si="62"/>
        <v>135.07462686567163</v>
      </c>
      <c r="Y201" s="70" t="str">
        <f t="shared" si="63"/>
        <v>è in grado</v>
      </c>
      <c r="Z201" s="70" t="str">
        <f t="shared" si="64"/>
        <v>non sottende</v>
      </c>
      <c r="AA201" s="112">
        <f t="shared" si="65"/>
        <v>36.709859154929582</v>
      </c>
      <c r="AB201" s="70" t="str">
        <f t="shared" si="66"/>
        <v>A</v>
      </c>
      <c r="AC201" s="50" t="str">
        <f t="shared" si="3"/>
        <v>SI</v>
      </c>
      <c r="AD201" s="70" t="str">
        <f t="shared" si="67"/>
        <v>Si</v>
      </c>
      <c r="AE201" s="70" t="s">
        <v>490</v>
      </c>
      <c r="AF201" s="71">
        <v>13.8</v>
      </c>
      <c r="AG201" s="71">
        <v>1060</v>
      </c>
      <c r="AH201" s="71">
        <v>1317</v>
      </c>
      <c r="AI201" s="55" t="str">
        <f t="shared" si="69"/>
        <v xml:space="preserve"> </v>
      </c>
      <c r="AJ201" s="73">
        <v>156.4</v>
      </c>
      <c r="AK201" s="53">
        <f t="shared" si="70"/>
        <v>6.1988491048593346</v>
      </c>
      <c r="AL201" s="53">
        <f t="shared" si="71"/>
        <v>969.5</v>
      </c>
      <c r="AM201" s="70" t="s">
        <v>190</v>
      </c>
      <c r="AN201" s="56" t="s">
        <v>236</v>
      </c>
      <c r="AO201" s="57">
        <v>46742</v>
      </c>
      <c r="AP201" s="58" t="s">
        <v>1057</v>
      </c>
      <c r="AQ201" s="58" t="s">
        <v>445</v>
      </c>
      <c r="AR201" s="113">
        <v>50040</v>
      </c>
      <c r="AS201" s="58" t="s">
        <v>1058</v>
      </c>
      <c r="AT201" s="50"/>
      <c r="AU201" s="1"/>
      <c r="AV201" s="1"/>
      <c r="AW201" s="1"/>
      <c r="AX201" s="1"/>
      <c r="AY201" s="1"/>
      <c r="AZ201" s="1"/>
      <c r="BA201" s="1"/>
      <c r="BB201" s="1"/>
      <c r="BC201" s="1"/>
      <c r="BD201" s="1"/>
      <c r="BE201" s="1"/>
      <c r="BF201" s="1"/>
      <c r="BG201" s="1"/>
    </row>
    <row r="202" spans="1:59" ht="14.25" customHeight="1" x14ac:dyDescent="0.25">
      <c r="A202" s="1"/>
      <c r="B202" s="59"/>
      <c r="C202" s="114" t="s">
        <v>1070</v>
      </c>
      <c r="D202" s="50"/>
      <c r="E202" s="50" t="str">
        <f t="shared" si="0"/>
        <v>001B</v>
      </c>
      <c r="F202" s="114" t="s">
        <v>1071</v>
      </c>
      <c r="G202" s="114" t="s">
        <v>127</v>
      </c>
      <c r="H202" s="114" t="s">
        <v>128</v>
      </c>
      <c r="I202" s="114" t="s">
        <v>1072</v>
      </c>
      <c r="J202" s="114" t="s">
        <v>1073</v>
      </c>
      <c r="K202" s="114" t="s">
        <v>532</v>
      </c>
      <c r="L202" s="114"/>
      <c r="M202" s="114"/>
      <c r="N202" s="52"/>
      <c r="O202" s="114" t="s">
        <v>159</v>
      </c>
      <c r="P202" s="114"/>
      <c r="Q202" s="115"/>
      <c r="R202" s="115">
        <f t="shared" si="60"/>
        <v>0</v>
      </c>
      <c r="S202" s="116"/>
      <c r="T202" s="116"/>
      <c r="U202" s="116">
        <f t="shared" si="61"/>
        <v>0</v>
      </c>
      <c r="V202" s="116"/>
      <c r="W202" s="52">
        <f t="shared" si="31"/>
        <v>0</v>
      </c>
      <c r="X202" s="116"/>
      <c r="Y202" s="114"/>
      <c r="Z202" s="114"/>
      <c r="AA202" s="106"/>
      <c r="AB202" s="114"/>
      <c r="AC202" s="50" t="str">
        <f t="shared" si="3"/>
        <v>NO</v>
      </c>
      <c r="AD202" s="114"/>
      <c r="AE202" s="114"/>
      <c r="AF202" s="114"/>
      <c r="AG202" s="114"/>
      <c r="AH202" s="114"/>
      <c r="AI202" s="114" t="str">
        <f t="shared" si="69"/>
        <v xml:space="preserve"> </v>
      </c>
      <c r="AJ202" s="115"/>
      <c r="AK202" s="115" t="e">
        <f t="shared" si="70"/>
        <v>#DIV/0!</v>
      </c>
      <c r="AL202" s="53">
        <f t="shared" si="71"/>
        <v>0</v>
      </c>
      <c r="AM202" s="114"/>
      <c r="AO202" s="117"/>
      <c r="AP202" s="118" t="s">
        <v>723</v>
      </c>
      <c r="AQ202" s="118"/>
      <c r="AR202" s="118"/>
      <c r="AS202" s="118"/>
      <c r="AT202" s="114"/>
      <c r="AU202" s="119"/>
      <c r="AV202" s="119"/>
      <c r="AW202" s="119"/>
      <c r="AX202" s="119"/>
      <c r="AY202" s="119"/>
      <c r="AZ202" s="119"/>
      <c r="BA202" s="119"/>
      <c r="BB202" s="119"/>
      <c r="BC202" s="119"/>
      <c r="BD202" s="119"/>
      <c r="BE202" s="119"/>
      <c r="BF202" s="1"/>
      <c r="BG202" s="1"/>
    </row>
    <row r="203" spans="1:59" ht="14.25" customHeight="1" x14ac:dyDescent="0.25">
      <c r="A203" s="1"/>
      <c r="B203" s="59"/>
      <c r="C203" s="50" t="s">
        <v>1074</v>
      </c>
      <c r="D203" s="50" t="s">
        <v>1075</v>
      </c>
      <c r="E203" s="50" t="str">
        <f t="shared" si="0"/>
        <v>PP0200220003001B</v>
      </c>
      <c r="F203" s="50"/>
      <c r="G203" s="50" t="s">
        <v>127</v>
      </c>
      <c r="H203" s="50" t="s">
        <v>128</v>
      </c>
      <c r="I203" s="50" t="s">
        <v>1076</v>
      </c>
      <c r="J203" s="50" t="s">
        <v>1077</v>
      </c>
      <c r="K203" s="50" t="s">
        <v>127</v>
      </c>
      <c r="L203" s="50" t="s">
        <v>1069</v>
      </c>
      <c r="M203" s="50"/>
      <c r="N203" s="52"/>
      <c r="O203" s="50" t="s">
        <v>151</v>
      </c>
      <c r="P203" s="50">
        <v>28</v>
      </c>
      <c r="Q203" s="53">
        <v>0</v>
      </c>
      <c r="R203" s="53">
        <f t="shared" si="60"/>
        <v>28</v>
      </c>
      <c r="S203" s="54">
        <v>7.0000000000000007E-2</v>
      </c>
      <c r="T203" s="54">
        <v>0</v>
      </c>
      <c r="U203" s="54">
        <f t="shared" si="61"/>
        <v>7.0000000000000007E-2</v>
      </c>
      <c r="V203" s="54">
        <v>22.39</v>
      </c>
      <c r="W203" s="52">
        <f t="shared" si="31"/>
        <v>0.24305555555555555</v>
      </c>
      <c r="X203" s="54">
        <f>V203/U203</f>
        <v>319.85714285714283</v>
      </c>
      <c r="Y203" s="50" t="str">
        <f>IF(V203&gt;W203, "è in grado", "non è in grado")</f>
        <v>è in grado</v>
      </c>
      <c r="Z203" s="50" t="str">
        <f>IF(R203&gt;10000, "sottende", "non sottende")</f>
        <v>non sottende</v>
      </c>
      <c r="AA203" s="106">
        <f>V203/W203</f>
        <v>92.118857142857152</v>
      </c>
      <c r="AB203" s="50" t="str">
        <f>IF(R203&gt;10000, "B", IF(AA203&gt;=2, "A", "B"))</f>
        <v>A</v>
      </c>
      <c r="AC203" s="50" t="str">
        <f t="shared" si="3"/>
        <v>SI</v>
      </c>
      <c r="AD203" s="50" t="str">
        <f>IF(V203&gt;20, "Si", "No")</f>
        <v>Si</v>
      </c>
      <c r="AE203" s="50" t="s">
        <v>490</v>
      </c>
      <c r="AF203" s="55">
        <v>1.3</v>
      </c>
      <c r="AG203" s="55">
        <v>136</v>
      </c>
      <c r="AH203" s="55">
        <v>670</v>
      </c>
      <c r="AI203" s="55" t="str">
        <f t="shared" si="69"/>
        <v xml:space="preserve"> </v>
      </c>
      <c r="AJ203" s="53">
        <v>212.91</v>
      </c>
      <c r="AK203" s="53">
        <f t="shared" si="70"/>
        <v>0.53360574890798929</v>
      </c>
      <c r="AL203" s="53">
        <f t="shared" si="71"/>
        <v>113.61</v>
      </c>
      <c r="AM203" s="50" t="s">
        <v>190</v>
      </c>
      <c r="AN203" s="56" t="s">
        <v>222</v>
      </c>
      <c r="AO203" s="57">
        <v>46742</v>
      </c>
      <c r="AP203" s="58" t="s">
        <v>1057</v>
      </c>
      <c r="AQ203" s="58" t="s">
        <v>445</v>
      </c>
      <c r="AR203" s="75">
        <v>50040</v>
      </c>
      <c r="AS203" s="58" t="s">
        <v>1058</v>
      </c>
      <c r="AT203" s="50"/>
      <c r="AU203" s="1"/>
      <c r="AV203" s="1"/>
      <c r="AW203" s="1"/>
      <c r="AX203" s="1"/>
      <c r="AY203" s="1"/>
      <c r="AZ203" s="1"/>
      <c r="BA203" s="1"/>
      <c r="BB203" s="1"/>
      <c r="BC203" s="1"/>
      <c r="BD203" s="1"/>
      <c r="BE203" s="1"/>
      <c r="BF203" s="1"/>
      <c r="BG203" s="1"/>
    </row>
    <row r="204" spans="1:59" ht="14.25" customHeight="1" x14ac:dyDescent="0.25">
      <c r="A204" s="1"/>
      <c r="B204" s="59"/>
      <c r="C204" s="114" t="s">
        <v>1078</v>
      </c>
      <c r="D204" s="50"/>
      <c r="E204" s="50" t="str">
        <f t="shared" si="0"/>
        <v>001B</v>
      </c>
      <c r="F204" s="114" t="s">
        <v>1071</v>
      </c>
      <c r="G204" s="114" t="s">
        <v>127</v>
      </c>
      <c r="H204" s="114" t="s">
        <v>128</v>
      </c>
      <c r="I204" s="114" t="s">
        <v>1079</v>
      </c>
      <c r="J204" s="114" t="s">
        <v>1080</v>
      </c>
      <c r="K204" s="114" t="s">
        <v>532</v>
      </c>
      <c r="L204" s="114"/>
      <c r="M204" s="114"/>
      <c r="N204" s="52"/>
      <c r="O204" s="114" t="s">
        <v>159</v>
      </c>
      <c r="P204" s="114"/>
      <c r="Q204" s="115"/>
      <c r="R204" s="115">
        <f t="shared" si="60"/>
        <v>0</v>
      </c>
      <c r="S204" s="116"/>
      <c r="T204" s="116"/>
      <c r="U204" s="116"/>
      <c r="V204" s="116"/>
      <c r="W204" s="52">
        <f t="shared" si="31"/>
        <v>0</v>
      </c>
      <c r="X204" s="116"/>
      <c r="Y204" s="114"/>
      <c r="Z204" s="114"/>
      <c r="AA204" s="106"/>
      <c r="AB204" s="114"/>
      <c r="AC204" s="50" t="str">
        <f t="shared" si="3"/>
        <v>NO</v>
      </c>
      <c r="AD204" s="114"/>
      <c r="AE204" s="114"/>
      <c r="AF204" s="114"/>
      <c r="AG204" s="114"/>
      <c r="AH204" s="114"/>
      <c r="AI204" s="114" t="str">
        <f t="shared" si="69"/>
        <v xml:space="preserve"> </v>
      </c>
      <c r="AJ204" s="115"/>
      <c r="AK204" s="115" t="e">
        <f t="shared" si="70"/>
        <v>#DIV/0!</v>
      </c>
      <c r="AL204" s="53">
        <f t="shared" si="71"/>
        <v>0</v>
      </c>
      <c r="AM204" s="114"/>
      <c r="AO204" s="117"/>
      <c r="AP204" s="118" t="s">
        <v>723</v>
      </c>
      <c r="AQ204" s="118"/>
      <c r="AR204" s="118"/>
      <c r="AS204" s="118"/>
      <c r="AT204" s="114"/>
      <c r="AU204" s="119"/>
      <c r="AV204" s="119"/>
      <c r="AW204" s="119"/>
      <c r="AX204" s="119"/>
      <c r="AY204" s="119"/>
      <c r="AZ204" s="119"/>
      <c r="BA204" s="119"/>
      <c r="BB204" s="119"/>
      <c r="BC204" s="119"/>
      <c r="BD204" s="119"/>
      <c r="BE204" s="119"/>
      <c r="BF204" s="1"/>
      <c r="BG204" s="1"/>
    </row>
    <row r="205" spans="1:59" ht="14.25" customHeight="1" x14ac:dyDescent="0.25">
      <c r="A205" s="1"/>
      <c r="B205" s="59"/>
      <c r="C205" s="50" t="s">
        <v>1081</v>
      </c>
      <c r="D205" s="50" t="s">
        <v>1082</v>
      </c>
      <c r="E205" s="50" t="str">
        <f t="shared" si="0"/>
        <v>PP0200220004001B</v>
      </c>
      <c r="F205" s="50"/>
      <c r="G205" s="50" t="s">
        <v>127</v>
      </c>
      <c r="H205" s="50" t="s">
        <v>128</v>
      </c>
      <c r="I205" s="50" t="s">
        <v>1083</v>
      </c>
      <c r="J205" s="50" t="s">
        <v>1084</v>
      </c>
      <c r="K205" s="50" t="s">
        <v>127</v>
      </c>
      <c r="L205" s="50" t="s">
        <v>1069</v>
      </c>
      <c r="M205" s="50"/>
      <c r="N205" s="52"/>
      <c r="O205" s="50" t="s">
        <v>151</v>
      </c>
      <c r="P205" s="50">
        <v>264</v>
      </c>
      <c r="Q205" s="53">
        <v>0</v>
      </c>
      <c r="R205" s="53">
        <f t="shared" si="60"/>
        <v>264</v>
      </c>
      <c r="S205" s="54">
        <v>0.62</v>
      </c>
      <c r="T205" s="54">
        <v>0</v>
      </c>
      <c r="U205" s="54">
        <f t="shared" ref="U205:U275" si="72">T205+S205</f>
        <v>0.62</v>
      </c>
      <c r="V205" s="54">
        <v>22.8</v>
      </c>
      <c r="W205" s="52">
        <f t="shared" si="31"/>
        <v>2.2916666666666665</v>
      </c>
      <c r="X205" s="54">
        <f t="shared" ref="X205:X275" si="73">V205/U205</f>
        <v>36.774193548387096</v>
      </c>
      <c r="Y205" s="50" t="str">
        <f t="shared" ref="Y205:Y275" si="74">IF(V205&gt;W205, "è in grado", "non è in grado")</f>
        <v>è in grado</v>
      </c>
      <c r="Z205" s="50" t="str">
        <f t="shared" ref="Z205:Z275" si="75">IF(R205&gt;10000, "sottende", "non sottende")</f>
        <v>non sottende</v>
      </c>
      <c r="AA205" s="106">
        <f t="shared" ref="AA205:AA275" si="76">V205/W205</f>
        <v>9.9490909090909092</v>
      </c>
      <c r="AB205" s="50" t="str">
        <f t="shared" ref="AB205:AB275" si="77">IF(R205&gt;10000, "B", IF(AA205&gt;=2, "A", "B"))</f>
        <v>A</v>
      </c>
      <c r="AC205" s="50" t="str">
        <f t="shared" si="3"/>
        <v>SI</v>
      </c>
      <c r="AD205" s="50" t="str">
        <f t="shared" ref="AD205:AD275" si="78">IF(V205&gt;20, "Si", "No")</f>
        <v>Si</v>
      </c>
      <c r="AE205" s="50" t="s">
        <v>147</v>
      </c>
      <c r="AF205" s="55">
        <v>10.8</v>
      </c>
      <c r="AG205" s="55">
        <v>950</v>
      </c>
      <c r="AH205" s="55">
        <v>3001</v>
      </c>
      <c r="AI205" s="55" t="str">
        <f t="shared" si="69"/>
        <v xml:space="preserve"> </v>
      </c>
      <c r="AJ205" s="53">
        <v>193.4</v>
      </c>
      <c r="AK205" s="53">
        <f t="shared" si="70"/>
        <v>4.7942088934850053</v>
      </c>
      <c r="AL205" s="53">
        <f t="shared" si="71"/>
        <v>927.2</v>
      </c>
      <c r="AM205" s="50" t="s">
        <v>190</v>
      </c>
      <c r="AN205" s="56" t="s">
        <v>222</v>
      </c>
      <c r="AO205" s="57">
        <v>46742</v>
      </c>
      <c r="AP205" s="58" t="s">
        <v>1057</v>
      </c>
      <c r="AQ205" s="58" t="s">
        <v>445</v>
      </c>
      <c r="AR205" s="75">
        <v>50040</v>
      </c>
      <c r="AS205" s="58" t="s">
        <v>1058</v>
      </c>
      <c r="AT205" s="50"/>
      <c r="AU205" s="1"/>
      <c r="AV205" s="1"/>
      <c r="AW205" s="1"/>
      <c r="AX205" s="1"/>
      <c r="AY205" s="1"/>
      <c r="AZ205" s="1"/>
      <c r="BA205" s="1"/>
      <c r="BB205" s="1"/>
      <c r="BC205" s="1"/>
      <c r="BD205" s="1"/>
      <c r="BE205" s="1"/>
      <c r="BF205" s="1"/>
      <c r="BG205" s="1"/>
    </row>
    <row r="206" spans="1:59" ht="14.25" customHeight="1" x14ac:dyDescent="0.25">
      <c r="A206" s="1"/>
      <c r="B206" s="59"/>
      <c r="C206" s="50" t="s">
        <v>1085</v>
      </c>
      <c r="D206" s="50" t="s">
        <v>1086</v>
      </c>
      <c r="E206" s="50" t="str">
        <f t="shared" si="0"/>
        <v>PP0200610011001B</v>
      </c>
      <c r="F206" s="50"/>
      <c r="G206" s="50" t="s">
        <v>206</v>
      </c>
      <c r="H206" s="50" t="s">
        <v>1087</v>
      </c>
      <c r="I206" s="50" t="s">
        <v>1088</v>
      </c>
      <c r="J206" s="50" t="s">
        <v>1089</v>
      </c>
      <c r="K206" s="50" t="s">
        <v>1090</v>
      </c>
      <c r="L206" s="50" t="s">
        <v>1091</v>
      </c>
      <c r="M206" s="50"/>
      <c r="N206" s="52"/>
      <c r="O206" s="50" t="s">
        <v>159</v>
      </c>
      <c r="P206" s="50">
        <v>1051</v>
      </c>
      <c r="Q206" s="53">
        <v>0</v>
      </c>
      <c r="R206" s="53">
        <f t="shared" si="60"/>
        <v>1051</v>
      </c>
      <c r="S206" s="54">
        <v>2.4700000000000002</v>
      </c>
      <c r="T206" s="54">
        <v>0</v>
      </c>
      <c r="U206" s="54">
        <f t="shared" si="72"/>
        <v>2.4700000000000002</v>
      </c>
      <c r="V206" s="54">
        <v>11</v>
      </c>
      <c r="W206" s="52">
        <f t="shared" si="31"/>
        <v>9.1232638888888893</v>
      </c>
      <c r="X206" s="54">
        <f t="shared" si="73"/>
        <v>4.4534412955465585</v>
      </c>
      <c r="Y206" s="50" t="str">
        <f t="shared" si="74"/>
        <v>è in grado</v>
      </c>
      <c r="Z206" s="50" t="str">
        <f t="shared" si="75"/>
        <v>non sottende</v>
      </c>
      <c r="AA206" s="106">
        <f t="shared" si="76"/>
        <v>1.205708848715509</v>
      </c>
      <c r="AB206" s="50" t="str">
        <f t="shared" si="77"/>
        <v>B</v>
      </c>
      <c r="AC206" s="50" t="str">
        <f t="shared" si="3"/>
        <v>SI</v>
      </c>
      <c r="AD206" s="50" t="str">
        <f t="shared" si="78"/>
        <v>No</v>
      </c>
      <c r="AE206" s="50" t="s">
        <v>1092</v>
      </c>
      <c r="AF206" s="55">
        <v>65.849999999999994</v>
      </c>
      <c r="AG206" s="55">
        <v>3463</v>
      </c>
      <c r="AH206" s="55">
        <v>2089</v>
      </c>
      <c r="AI206" s="55" t="str">
        <f t="shared" si="69"/>
        <v>Manufatto limitante</v>
      </c>
      <c r="AJ206" s="53">
        <v>80.239999999999995</v>
      </c>
      <c r="AK206" s="53">
        <f t="shared" si="70"/>
        <v>25.897308075772685</v>
      </c>
      <c r="AL206" s="53">
        <f t="shared" si="71"/>
        <v>2078</v>
      </c>
      <c r="AM206" s="50" t="s">
        <v>190</v>
      </c>
      <c r="AN206" s="56" t="s">
        <v>236</v>
      </c>
      <c r="AO206" s="57">
        <v>46775</v>
      </c>
      <c r="AP206" s="64" t="s">
        <v>1093</v>
      </c>
      <c r="AQ206" s="58" t="s">
        <v>1094</v>
      </c>
      <c r="AR206" s="75">
        <v>52150</v>
      </c>
      <c r="AS206" s="58" t="s">
        <v>1095</v>
      </c>
      <c r="AT206" s="64"/>
      <c r="AU206" s="1"/>
      <c r="AV206" s="1"/>
      <c r="AW206" s="1"/>
      <c r="AX206" s="1"/>
      <c r="AY206" s="1"/>
      <c r="AZ206" s="1"/>
      <c r="BA206" s="1"/>
      <c r="BB206" s="1"/>
      <c r="BC206" s="1"/>
      <c r="BD206" s="1"/>
      <c r="BE206" s="1"/>
      <c r="BF206" s="1"/>
      <c r="BG206" s="1"/>
    </row>
    <row r="207" spans="1:59" ht="14.25" customHeight="1" x14ac:dyDescent="0.25">
      <c r="A207" s="1"/>
      <c r="B207" s="59"/>
      <c r="C207" s="50" t="s">
        <v>1096</v>
      </c>
      <c r="D207" s="50" t="s">
        <v>1097</v>
      </c>
      <c r="E207" s="50" t="str">
        <f t="shared" si="0"/>
        <v>PP0200610013001B</v>
      </c>
      <c r="F207" s="50"/>
      <c r="G207" s="50" t="s">
        <v>206</v>
      </c>
      <c r="H207" s="50" t="s">
        <v>1087</v>
      </c>
      <c r="I207" s="50" t="s">
        <v>1098</v>
      </c>
      <c r="J207" s="50" t="s">
        <v>1099</v>
      </c>
      <c r="K207" s="50" t="s">
        <v>1090</v>
      </c>
      <c r="L207" s="50" t="s">
        <v>1100</v>
      </c>
      <c r="M207" s="50"/>
      <c r="N207" s="52"/>
      <c r="O207" s="50" t="s">
        <v>159</v>
      </c>
      <c r="P207" s="50">
        <v>41</v>
      </c>
      <c r="Q207" s="53">
        <v>0</v>
      </c>
      <c r="R207" s="53">
        <f t="shared" si="60"/>
        <v>41</v>
      </c>
      <c r="S207" s="54">
        <v>0.1</v>
      </c>
      <c r="T207" s="54">
        <v>0</v>
      </c>
      <c r="U207" s="54">
        <f t="shared" si="72"/>
        <v>0.1</v>
      </c>
      <c r="V207" s="54">
        <v>12.65</v>
      </c>
      <c r="W207" s="52">
        <f t="shared" si="31"/>
        <v>0.35590277777777779</v>
      </c>
      <c r="X207" s="54">
        <f t="shared" si="73"/>
        <v>126.5</v>
      </c>
      <c r="Y207" s="50" t="str">
        <f t="shared" si="74"/>
        <v>è in grado</v>
      </c>
      <c r="Z207" s="50" t="str">
        <f t="shared" si="75"/>
        <v>non sottende</v>
      </c>
      <c r="AA207" s="106">
        <f t="shared" si="76"/>
        <v>35.543414634146345</v>
      </c>
      <c r="AB207" s="50" t="str">
        <f t="shared" si="77"/>
        <v>A</v>
      </c>
      <c r="AC207" s="50" t="str">
        <f t="shared" si="3"/>
        <v>SI</v>
      </c>
      <c r="AD207" s="50" t="str">
        <f t="shared" si="78"/>
        <v>No</v>
      </c>
      <c r="AE207" s="50" t="s">
        <v>147</v>
      </c>
      <c r="AF207" s="55">
        <v>1.35</v>
      </c>
      <c r="AG207" s="55">
        <v>175</v>
      </c>
      <c r="AH207" s="55">
        <v>137</v>
      </c>
      <c r="AI207" s="55" t="str">
        <f t="shared" si="69"/>
        <v>Manufatto limitante</v>
      </c>
      <c r="AJ207" s="53">
        <v>192.8</v>
      </c>
      <c r="AK207" s="53">
        <f t="shared" si="70"/>
        <v>0.64496887966804972</v>
      </c>
      <c r="AL207" s="53">
        <f t="shared" si="71"/>
        <v>124.35</v>
      </c>
      <c r="AM207" s="50" t="s">
        <v>190</v>
      </c>
      <c r="AN207" s="56" t="s">
        <v>222</v>
      </c>
      <c r="AO207" s="57">
        <v>46775</v>
      </c>
      <c r="AP207" s="58" t="s">
        <v>1093</v>
      </c>
      <c r="AQ207" s="58" t="s">
        <v>255</v>
      </c>
      <c r="AR207" s="58" t="s">
        <v>225</v>
      </c>
      <c r="AS207" s="58" t="s">
        <v>1095</v>
      </c>
      <c r="AT207" s="64"/>
      <c r="AU207" s="1"/>
      <c r="AV207" s="1"/>
      <c r="AW207" s="1"/>
      <c r="AX207" s="1"/>
      <c r="AY207" s="1"/>
      <c r="AZ207" s="1"/>
      <c r="BA207" s="1"/>
      <c r="BB207" s="1"/>
      <c r="BC207" s="1"/>
      <c r="BD207" s="1"/>
      <c r="BE207" s="1"/>
      <c r="BF207" s="1"/>
      <c r="BG207" s="1"/>
    </row>
    <row r="208" spans="1:59" ht="14.25" customHeight="1" x14ac:dyDescent="0.25">
      <c r="A208" s="1"/>
      <c r="B208" s="59"/>
      <c r="C208" s="50" t="s">
        <v>1101</v>
      </c>
      <c r="D208" s="50" t="s">
        <v>1102</v>
      </c>
      <c r="E208" s="50" t="str">
        <f t="shared" si="0"/>
        <v>PP0200270029001B</v>
      </c>
      <c r="F208" s="50"/>
      <c r="G208" s="50" t="s">
        <v>131</v>
      </c>
      <c r="H208" s="50" t="s">
        <v>1103</v>
      </c>
      <c r="I208" s="50" t="s">
        <v>1104</v>
      </c>
      <c r="J208" s="50" t="s">
        <v>1105</v>
      </c>
      <c r="K208" s="50" t="s">
        <v>133</v>
      </c>
      <c r="L208" s="50" t="s">
        <v>1106</v>
      </c>
      <c r="M208" s="50"/>
      <c r="N208" s="52"/>
      <c r="O208" s="50" t="s">
        <v>151</v>
      </c>
      <c r="P208" s="50">
        <v>58</v>
      </c>
      <c r="Q208" s="53">
        <v>0</v>
      </c>
      <c r="R208" s="53">
        <f t="shared" si="60"/>
        <v>58</v>
      </c>
      <c r="S208" s="54">
        <v>0.14000000000000001</v>
      </c>
      <c r="T208" s="54">
        <v>0</v>
      </c>
      <c r="U208" s="54">
        <f t="shared" si="72"/>
        <v>0.14000000000000001</v>
      </c>
      <c r="V208" s="54">
        <v>29.77</v>
      </c>
      <c r="W208" s="52">
        <f t="shared" si="31"/>
        <v>0.50347222222222221</v>
      </c>
      <c r="X208" s="54">
        <f t="shared" si="73"/>
        <v>212.64285714285711</v>
      </c>
      <c r="Y208" s="50" t="str">
        <f t="shared" si="74"/>
        <v>è in grado</v>
      </c>
      <c r="Z208" s="50" t="str">
        <f t="shared" si="75"/>
        <v>non sottende</v>
      </c>
      <c r="AA208" s="106">
        <f t="shared" si="76"/>
        <v>59.129379310344831</v>
      </c>
      <c r="AB208" s="50" t="str">
        <f t="shared" si="77"/>
        <v>A</v>
      </c>
      <c r="AC208" s="50" t="str">
        <f t="shared" si="3"/>
        <v>SI</v>
      </c>
      <c r="AD208" s="50" t="str">
        <f t="shared" si="78"/>
        <v>Si</v>
      </c>
      <c r="AE208" s="50" t="s">
        <v>490</v>
      </c>
      <c r="AF208" s="55">
        <v>1.67</v>
      </c>
      <c r="AG208" s="55">
        <v>205</v>
      </c>
      <c r="AH208" s="55">
        <v>114</v>
      </c>
      <c r="AI208" s="55" t="str">
        <f t="shared" si="69"/>
        <v>Manufatto limitante</v>
      </c>
      <c r="AJ208" s="53">
        <v>102.49</v>
      </c>
      <c r="AK208" s="53">
        <f t="shared" si="70"/>
        <v>0.82183627670992299</v>
      </c>
      <c r="AL208" s="53">
        <f t="shared" si="71"/>
        <v>84.23</v>
      </c>
      <c r="AM208" s="50" t="s">
        <v>190</v>
      </c>
      <c r="AN208" s="56" t="s">
        <v>222</v>
      </c>
      <c r="AO208" s="57">
        <v>47383</v>
      </c>
      <c r="AP208" s="58" t="s">
        <v>1107</v>
      </c>
      <c r="AQ208" s="58" t="s">
        <v>255</v>
      </c>
      <c r="AR208" s="58" t="s">
        <v>225</v>
      </c>
      <c r="AS208" s="58" t="s">
        <v>92</v>
      </c>
      <c r="AT208" s="50"/>
      <c r="AU208" s="1"/>
      <c r="AV208" s="1"/>
      <c r="AW208" s="1"/>
      <c r="AX208" s="1"/>
      <c r="AY208" s="1"/>
      <c r="AZ208" s="1"/>
      <c r="BA208" s="1"/>
      <c r="BB208" s="1"/>
      <c r="BC208" s="1"/>
      <c r="BD208" s="1"/>
      <c r="BE208" s="1"/>
      <c r="BF208" s="1"/>
      <c r="BG208" s="1"/>
    </row>
    <row r="209" spans="1:59" ht="14.25" customHeight="1" x14ac:dyDescent="0.25">
      <c r="A209" s="1"/>
      <c r="B209" s="59"/>
      <c r="C209" s="50" t="s">
        <v>1108</v>
      </c>
      <c r="D209" s="50" t="s">
        <v>1109</v>
      </c>
      <c r="E209" s="50" t="str">
        <f t="shared" si="0"/>
        <v>PP0200270006001B</v>
      </c>
      <c r="F209" s="50"/>
      <c r="G209" s="50" t="s">
        <v>131</v>
      </c>
      <c r="H209" s="50" t="s">
        <v>95</v>
      </c>
      <c r="I209" s="50" t="s">
        <v>1110</v>
      </c>
      <c r="J209" s="50" t="s">
        <v>1111</v>
      </c>
      <c r="K209" s="50" t="s">
        <v>133</v>
      </c>
      <c r="L209" s="50" t="s">
        <v>1112</v>
      </c>
      <c r="M209" s="50"/>
      <c r="N209" s="52"/>
      <c r="O209" s="50" t="s">
        <v>151</v>
      </c>
      <c r="P209" s="50">
        <v>700</v>
      </c>
      <c r="Q209" s="53">
        <v>0</v>
      </c>
      <c r="R209" s="53">
        <f t="shared" si="60"/>
        <v>700</v>
      </c>
      <c r="S209" s="54">
        <v>1.65</v>
      </c>
      <c r="T209" s="54">
        <v>0</v>
      </c>
      <c r="U209" s="54">
        <f t="shared" si="72"/>
        <v>1.65</v>
      </c>
      <c r="V209" s="54">
        <v>135.63</v>
      </c>
      <c r="W209" s="52">
        <f t="shared" si="31"/>
        <v>6.0763888888888893</v>
      </c>
      <c r="X209" s="54">
        <f t="shared" si="73"/>
        <v>82.2</v>
      </c>
      <c r="Y209" s="50" t="str">
        <f t="shared" si="74"/>
        <v>è in grado</v>
      </c>
      <c r="Z209" s="50" t="str">
        <f t="shared" si="75"/>
        <v>non sottende</v>
      </c>
      <c r="AA209" s="106">
        <f t="shared" si="76"/>
        <v>22.320822857142854</v>
      </c>
      <c r="AB209" s="50" t="str">
        <f t="shared" si="77"/>
        <v>A</v>
      </c>
      <c r="AC209" s="50" t="str">
        <f t="shared" si="3"/>
        <v>SI</v>
      </c>
      <c r="AD209" s="50" t="str">
        <f t="shared" si="78"/>
        <v>Si</v>
      </c>
      <c r="AE209" s="50" t="s">
        <v>490</v>
      </c>
      <c r="AF209" s="55">
        <v>3.86</v>
      </c>
      <c r="AG209" s="55">
        <v>663</v>
      </c>
      <c r="AH209" s="55">
        <v>755</v>
      </c>
      <c r="AI209" s="55" t="str">
        <f t="shared" si="69"/>
        <v xml:space="preserve"> </v>
      </c>
      <c r="AJ209" s="53">
        <v>256.33</v>
      </c>
      <c r="AK209" s="53">
        <f t="shared" si="70"/>
        <v>2.0573869621191436</v>
      </c>
      <c r="AL209" s="53">
        <f t="shared" si="71"/>
        <v>527.37</v>
      </c>
      <c r="AM209" s="50" t="s">
        <v>190</v>
      </c>
      <c r="AN209" s="56" t="s">
        <v>222</v>
      </c>
      <c r="AO209" s="57">
        <v>47383</v>
      </c>
      <c r="AP209" s="58" t="s">
        <v>1107</v>
      </c>
      <c r="AQ209" s="58" t="s">
        <v>1113</v>
      </c>
      <c r="AR209" s="58">
        <v>2041</v>
      </c>
      <c r="AS209" s="64" t="s">
        <v>1114</v>
      </c>
      <c r="AT209" s="50"/>
      <c r="AU209" s="1"/>
      <c r="AV209" s="1"/>
      <c r="AW209" s="1"/>
      <c r="AX209" s="1"/>
      <c r="AY209" s="1"/>
      <c r="AZ209" s="1"/>
      <c r="BA209" s="1"/>
      <c r="BB209" s="1"/>
      <c r="BC209" s="1"/>
      <c r="BD209" s="1"/>
      <c r="BE209" s="1"/>
      <c r="BF209" s="1"/>
      <c r="BG209" s="1"/>
    </row>
    <row r="210" spans="1:59" ht="14.25" customHeight="1" x14ac:dyDescent="0.25">
      <c r="A210" s="1"/>
      <c r="B210" s="59"/>
      <c r="C210" s="50" t="s">
        <v>1115</v>
      </c>
      <c r="D210" s="50" t="s">
        <v>1116</v>
      </c>
      <c r="E210" s="50" t="str">
        <f t="shared" si="0"/>
        <v>PP0200270003001B</v>
      </c>
      <c r="F210" s="50"/>
      <c r="G210" s="50" t="s">
        <v>131</v>
      </c>
      <c r="H210" s="50" t="s">
        <v>95</v>
      </c>
      <c r="I210" s="50" t="s">
        <v>1117</v>
      </c>
      <c r="J210" s="50" t="s">
        <v>1118</v>
      </c>
      <c r="K210" s="50" t="s">
        <v>133</v>
      </c>
      <c r="L210" s="50" t="s">
        <v>1112</v>
      </c>
      <c r="M210" s="50"/>
      <c r="N210" s="52"/>
      <c r="O210" s="50" t="s">
        <v>159</v>
      </c>
      <c r="P210" s="50">
        <v>2218</v>
      </c>
      <c r="Q210" s="53">
        <v>3</v>
      </c>
      <c r="R210" s="53">
        <f t="shared" si="60"/>
        <v>2221</v>
      </c>
      <c r="S210" s="54">
        <v>5.22</v>
      </c>
      <c r="T210" s="54">
        <v>0.23</v>
      </c>
      <c r="U210" s="54">
        <f t="shared" si="72"/>
        <v>5.45</v>
      </c>
      <c r="V210" s="54">
        <v>20</v>
      </c>
      <c r="W210" s="52">
        <f t="shared" si="31"/>
        <v>19.279513888888889</v>
      </c>
      <c r="X210" s="54">
        <f t="shared" si="73"/>
        <v>3.6697247706422016</v>
      </c>
      <c r="Y210" s="50" t="str">
        <f t="shared" si="74"/>
        <v>è in grado</v>
      </c>
      <c r="Z210" s="50" t="str">
        <f t="shared" si="75"/>
        <v>non sottende</v>
      </c>
      <c r="AA210" s="106">
        <f t="shared" si="76"/>
        <v>1.0373705538045925</v>
      </c>
      <c r="AB210" s="50" t="str">
        <f t="shared" si="77"/>
        <v>B</v>
      </c>
      <c r="AC210" s="50" t="str">
        <f t="shared" si="3"/>
        <v>SI</v>
      </c>
      <c r="AD210" s="50" t="str">
        <f t="shared" si="78"/>
        <v>No</v>
      </c>
      <c r="AE210" s="50" t="s">
        <v>1119</v>
      </c>
      <c r="AF210" s="55">
        <v>2.54</v>
      </c>
      <c r="AG210" s="55">
        <v>848</v>
      </c>
      <c r="AH210" s="55">
        <v>1836</v>
      </c>
      <c r="AI210" s="55" t="str">
        <f t="shared" si="69"/>
        <v xml:space="preserve"> </v>
      </c>
      <c r="AJ210" s="53">
        <v>632.30999999999995</v>
      </c>
      <c r="AK210" s="53">
        <f t="shared" si="70"/>
        <v>1.309484271955212</v>
      </c>
      <c r="AL210" s="53">
        <f t="shared" si="71"/>
        <v>828</v>
      </c>
      <c r="AM210" s="50" t="s">
        <v>190</v>
      </c>
      <c r="AN210" s="56" t="s">
        <v>236</v>
      </c>
      <c r="AO210" s="57">
        <v>47383</v>
      </c>
      <c r="AP210" s="58" t="s">
        <v>1107</v>
      </c>
      <c r="AQ210" s="58" t="s">
        <v>1113</v>
      </c>
      <c r="AR210" s="58">
        <v>2041</v>
      </c>
      <c r="AS210" s="64" t="s">
        <v>1120</v>
      </c>
      <c r="AT210" s="50"/>
      <c r="AU210" s="1"/>
      <c r="AV210" s="1"/>
      <c r="AW210" s="1"/>
      <c r="AX210" s="1"/>
      <c r="AY210" s="1"/>
      <c r="AZ210" s="1"/>
      <c r="BA210" s="1"/>
      <c r="BB210" s="1"/>
      <c r="BC210" s="1"/>
      <c r="BD210" s="1"/>
      <c r="BE210" s="1"/>
      <c r="BF210" s="1"/>
      <c r="BG210" s="1"/>
    </row>
    <row r="211" spans="1:59" ht="14.25" customHeight="1" x14ac:dyDescent="0.25">
      <c r="A211" s="1"/>
      <c r="B211" s="59"/>
      <c r="C211" s="50" t="s">
        <v>1121</v>
      </c>
      <c r="D211" s="50" t="s">
        <v>1122</v>
      </c>
      <c r="E211" s="50" t="str">
        <f t="shared" si="0"/>
        <v>PP0200270013001B</v>
      </c>
      <c r="F211" s="50"/>
      <c r="G211" s="50" t="s">
        <v>131</v>
      </c>
      <c r="H211" s="50" t="s">
        <v>95</v>
      </c>
      <c r="I211" s="50" t="s">
        <v>1123</v>
      </c>
      <c r="J211" s="50" t="s">
        <v>1124</v>
      </c>
      <c r="K211" s="50" t="s">
        <v>133</v>
      </c>
      <c r="L211" s="50" t="s">
        <v>1112</v>
      </c>
      <c r="M211" s="50"/>
      <c r="N211" s="52"/>
      <c r="O211" s="50" t="s">
        <v>151</v>
      </c>
      <c r="P211" s="50">
        <v>562</v>
      </c>
      <c r="Q211" s="53">
        <v>0</v>
      </c>
      <c r="R211" s="53">
        <f t="shared" si="60"/>
        <v>562</v>
      </c>
      <c r="S211" s="54">
        <v>1.32</v>
      </c>
      <c r="T211" s="54">
        <v>0</v>
      </c>
      <c r="U211" s="54">
        <f t="shared" si="72"/>
        <v>1.32</v>
      </c>
      <c r="V211" s="54">
        <v>178.25</v>
      </c>
      <c r="W211" s="52">
        <f t="shared" si="31"/>
        <v>4.8784722222222223</v>
      </c>
      <c r="X211" s="54">
        <f t="shared" si="73"/>
        <v>135.03787878787878</v>
      </c>
      <c r="Y211" s="50" t="str">
        <f t="shared" si="74"/>
        <v>è in grado</v>
      </c>
      <c r="Z211" s="50" t="str">
        <f t="shared" si="75"/>
        <v>non sottende</v>
      </c>
      <c r="AA211" s="106">
        <f t="shared" si="76"/>
        <v>36.538078291814948</v>
      </c>
      <c r="AB211" s="50" t="str">
        <f t="shared" si="77"/>
        <v>A</v>
      </c>
      <c r="AC211" s="50" t="str">
        <f t="shared" si="3"/>
        <v>SI</v>
      </c>
      <c r="AD211" s="50" t="str">
        <f t="shared" si="78"/>
        <v>Si</v>
      </c>
      <c r="AE211" s="50" t="s">
        <v>490</v>
      </c>
      <c r="AF211" s="55">
        <v>1.58</v>
      </c>
      <c r="AG211" s="55">
        <v>289</v>
      </c>
      <c r="AH211" s="55">
        <v>276</v>
      </c>
      <c r="AI211" s="55" t="str">
        <f t="shared" si="69"/>
        <v>Manufatto limitante</v>
      </c>
      <c r="AJ211" s="53">
        <v>126.87</v>
      </c>
      <c r="AK211" s="53">
        <f t="shared" si="70"/>
        <v>0.7704737132497832</v>
      </c>
      <c r="AL211" s="53">
        <f t="shared" si="71"/>
        <v>97.75</v>
      </c>
      <c r="AM211" s="50" t="s">
        <v>190</v>
      </c>
      <c r="AN211" s="56" t="s">
        <v>222</v>
      </c>
      <c r="AO211" s="57">
        <v>47383</v>
      </c>
      <c r="AP211" s="58" t="s">
        <v>1107</v>
      </c>
      <c r="AQ211" s="58" t="s">
        <v>1113</v>
      </c>
      <c r="AR211" s="58">
        <v>2041</v>
      </c>
      <c r="AS211" s="58" t="s">
        <v>1125</v>
      </c>
      <c r="AT211" s="50"/>
      <c r="AU211" s="1"/>
      <c r="AV211" s="1"/>
      <c r="AW211" s="1"/>
      <c r="AX211" s="1"/>
      <c r="AY211" s="1"/>
      <c r="AZ211" s="1"/>
      <c r="BA211" s="1"/>
      <c r="BB211" s="1"/>
      <c r="BC211" s="1"/>
      <c r="BD211" s="1"/>
      <c r="BE211" s="1"/>
      <c r="BF211" s="1"/>
      <c r="BG211" s="1"/>
    </row>
    <row r="212" spans="1:59" ht="14.25" customHeight="1" x14ac:dyDescent="0.25">
      <c r="A212" s="1"/>
      <c r="B212" s="59"/>
      <c r="C212" s="50" t="s">
        <v>1126</v>
      </c>
      <c r="D212" s="50" t="s">
        <v>1127</v>
      </c>
      <c r="E212" s="50" t="str">
        <f t="shared" si="0"/>
        <v>PP0200270015001B</v>
      </c>
      <c r="F212" s="50" t="s">
        <v>1128</v>
      </c>
      <c r="G212" s="50" t="s">
        <v>131</v>
      </c>
      <c r="H212" s="50" t="s">
        <v>1129</v>
      </c>
      <c r="I212" s="50" t="s">
        <v>1130</v>
      </c>
      <c r="J212" s="50" t="s">
        <v>1131</v>
      </c>
      <c r="K212" s="50" t="s">
        <v>133</v>
      </c>
      <c r="L212" s="50" t="s">
        <v>1132</v>
      </c>
      <c r="M212" s="50"/>
      <c r="N212" s="52"/>
      <c r="O212" s="50" t="s">
        <v>159</v>
      </c>
      <c r="P212" s="50">
        <v>812</v>
      </c>
      <c r="Q212" s="53">
        <v>0</v>
      </c>
      <c r="R212" s="53">
        <f t="shared" si="60"/>
        <v>812</v>
      </c>
      <c r="S212" s="54">
        <v>1.91</v>
      </c>
      <c r="T212" s="54">
        <v>0</v>
      </c>
      <c r="U212" s="54">
        <f t="shared" si="72"/>
        <v>1.91</v>
      </c>
      <c r="V212" s="54">
        <v>7.25</v>
      </c>
      <c r="W212" s="52">
        <f t="shared" si="31"/>
        <v>7.0486111111111107</v>
      </c>
      <c r="X212" s="54">
        <f t="shared" si="73"/>
        <v>3.7958115183246073</v>
      </c>
      <c r="Y212" s="50" t="str">
        <f t="shared" si="74"/>
        <v>è in grado</v>
      </c>
      <c r="Z212" s="50" t="str">
        <f t="shared" si="75"/>
        <v>non sottende</v>
      </c>
      <c r="AA212" s="106">
        <f t="shared" si="76"/>
        <v>1.0285714285714287</v>
      </c>
      <c r="AB212" s="50" t="str">
        <f t="shared" si="77"/>
        <v>B</v>
      </c>
      <c r="AC212" s="50" t="str">
        <f t="shared" si="3"/>
        <v>SI</v>
      </c>
      <c r="AD212" s="50" t="str">
        <f t="shared" si="78"/>
        <v>No</v>
      </c>
      <c r="AE212" s="50" t="s">
        <v>377</v>
      </c>
      <c r="AF212" s="55">
        <v>22.38</v>
      </c>
      <c r="AG212" s="55">
        <v>1730</v>
      </c>
      <c r="AH212" s="55">
        <v>191</v>
      </c>
      <c r="AI212" s="55" t="str">
        <f t="shared" si="69"/>
        <v>Manufatto limitante</v>
      </c>
      <c r="AJ212" s="53">
        <v>17.75</v>
      </c>
      <c r="AK212" s="53">
        <f t="shared" si="70"/>
        <v>10.352112676056338</v>
      </c>
      <c r="AL212" s="53">
        <f t="shared" si="71"/>
        <v>183.75</v>
      </c>
      <c r="AM212" s="50" t="s">
        <v>490</v>
      </c>
      <c r="AN212" s="56" t="s">
        <v>236</v>
      </c>
      <c r="AO212" s="57">
        <v>47383</v>
      </c>
      <c r="AP212" s="58" t="s">
        <v>1107</v>
      </c>
      <c r="AQ212" s="58" t="s">
        <v>1113</v>
      </c>
      <c r="AR212" s="58">
        <v>2041</v>
      </c>
      <c r="AS212" s="58" t="s">
        <v>1133</v>
      </c>
      <c r="AT212" s="50"/>
      <c r="AU212" s="1"/>
      <c r="AV212" s="1"/>
      <c r="AW212" s="1"/>
      <c r="AX212" s="1"/>
      <c r="AY212" s="1"/>
      <c r="AZ212" s="1"/>
      <c r="BA212" s="1"/>
      <c r="BB212" s="1"/>
      <c r="BC212" s="1"/>
      <c r="BD212" s="1"/>
      <c r="BE212" s="1"/>
      <c r="BF212" s="1"/>
      <c r="BG212" s="1"/>
    </row>
    <row r="213" spans="1:59" ht="14.25" customHeight="1" x14ac:dyDescent="0.25">
      <c r="A213" s="1"/>
      <c r="B213" s="59"/>
      <c r="C213" s="50" t="s">
        <v>1134</v>
      </c>
      <c r="D213" s="50" t="s">
        <v>1135</v>
      </c>
      <c r="E213" s="50" t="str">
        <f t="shared" si="0"/>
        <v>PP0200270018001B</v>
      </c>
      <c r="F213" s="50"/>
      <c r="G213" s="50" t="s">
        <v>131</v>
      </c>
      <c r="H213" s="50" t="s">
        <v>95</v>
      </c>
      <c r="I213" s="50" t="s">
        <v>1136</v>
      </c>
      <c r="J213" s="50" t="s">
        <v>1137</v>
      </c>
      <c r="K213" s="50" t="s">
        <v>133</v>
      </c>
      <c r="L213" s="50" t="s">
        <v>1112</v>
      </c>
      <c r="M213" s="50"/>
      <c r="N213" s="52"/>
      <c r="O213" s="50" t="s">
        <v>151</v>
      </c>
      <c r="P213" s="50">
        <v>169</v>
      </c>
      <c r="Q213" s="53">
        <v>0</v>
      </c>
      <c r="R213" s="53">
        <f t="shared" si="60"/>
        <v>169</v>
      </c>
      <c r="S213" s="54">
        <v>0.4</v>
      </c>
      <c r="T213" s="54">
        <v>0</v>
      </c>
      <c r="U213" s="54">
        <f t="shared" si="72"/>
        <v>0.4</v>
      </c>
      <c r="V213" s="54">
        <v>82.1</v>
      </c>
      <c r="W213" s="52">
        <f t="shared" si="31"/>
        <v>1.4670138888888888</v>
      </c>
      <c r="X213" s="54">
        <f t="shared" si="73"/>
        <v>205.24999999999997</v>
      </c>
      <c r="Y213" s="50" t="str">
        <f t="shared" si="74"/>
        <v>è in grado</v>
      </c>
      <c r="Z213" s="50" t="str">
        <f t="shared" si="75"/>
        <v>non sottende</v>
      </c>
      <c r="AA213" s="106">
        <f t="shared" si="76"/>
        <v>55.964023668639051</v>
      </c>
      <c r="AB213" s="50" t="str">
        <f t="shared" si="77"/>
        <v>A</v>
      </c>
      <c r="AC213" s="50" t="str">
        <f t="shared" si="3"/>
        <v>SI</v>
      </c>
      <c r="AD213" s="50" t="str">
        <f t="shared" si="78"/>
        <v>Si</v>
      </c>
      <c r="AE213" s="50" t="s">
        <v>343</v>
      </c>
      <c r="AF213" s="55">
        <v>1.23</v>
      </c>
      <c r="AG213" s="55">
        <v>132</v>
      </c>
      <c r="AH213" s="55">
        <v>239</v>
      </c>
      <c r="AI213" s="55" t="str">
        <f t="shared" si="69"/>
        <v xml:space="preserve"> </v>
      </c>
      <c r="AJ213" s="53">
        <v>165.56</v>
      </c>
      <c r="AK213" s="53">
        <f t="shared" si="70"/>
        <v>0.30140130466296211</v>
      </c>
      <c r="AL213" s="53">
        <f t="shared" si="71"/>
        <v>49.900000000000006</v>
      </c>
      <c r="AM213" s="50" t="s">
        <v>190</v>
      </c>
      <c r="AN213" s="56" t="s">
        <v>222</v>
      </c>
      <c r="AO213" s="57">
        <v>47383</v>
      </c>
      <c r="AP213" s="58" t="s">
        <v>1107</v>
      </c>
      <c r="AQ213" s="58" t="s">
        <v>1113</v>
      </c>
      <c r="AR213" s="58">
        <v>2041</v>
      </c>
      <c r="AS213" s="58" t="s">
        <v>1138</v>
      </c>
      <c r="AT213" s="50"/>
      <c r="AU213" s="1"/>
      <c r="AV213" s="1"/>
      <c r="AW213" s="1"/>
      <c r="AX213" s="1"/>
      <c r="AY213" s="1"/>
      <c r="AZ213" s="1"/>
      <c r="BA213" s="1"/>
      <c r="BB213" s="1"/>
      <c r="BC213" s="1"/>
      <c r="BD213" s="1"/>
      <c r="BE213" s="1"/>
      <c r="BF213" s="1"/>
      <c r="BG213" s="1"/>
    </row>
    <row r="214" spans="1:59" ht="14.25" customHeight="1" x14ac:dyDescent="0.25">
      <c r="A214" s="1"/>
      <c r="B214" s="59"/>
      <c r="C214" s="50" t="s">
        <v>1139</v>
      </c>
      <c r="D214" s="50" t="s">
        <v>1140</v>
      </c>
      <c r="E214" s="50" t="str">
        <f t="shared" si="0"/>
        <v>PP0200270020001B</v>
      </c>
      <c r="F214" s="50"/>
      <c r="G214" s="50" t="s">
        <v>131</v>
      </c>
      <c r="H214" s="50" t="s">
        <v>95</v>
      </c>
      <c r="I214" s="50" t="s">
        <v>1141</v>
      </c>
      <c r="J214" s="50" t="s">
        <v>1142</v>
      </c>
      <c r="K214" s="50" t="s">
        <v>133</v>
      </c>
      <c r="L214" s="50" t="s">
        <v>1112</v>
      </c>
      <c r="M214" s="50"/>
      <c r="N214" s="52"/>
      <c r="O214" s="50" t="s">
        <v>151</v>
      </c>
      <c r="P214" s="50">
        <v>6320</v>
      </c>
      <c r="Q214" s="53">
        <v>15</v>
      </c>
      <c r="R214" s="53">
        <f t="shared" si="60"/>
        <v>6335</v>
      </c>
      <c r="S214" s="54">
        <v>14.86</v>
      </c>
      <c r="T214" s="54">
        <v>0.81</v>
      </c>
      <c r="U214" s="54">
        <f t="shared" si="72"/>
        <v>15.67</v>
      </c>
      <c r="V214" s="54">
        <v>353.91</v>
      </c>
      <c r="W214" s="52">
        <f t="shared" si="31"/>
        <v>54.991319444444443</v>
      </c>
      <c r="X214" s="54">
        <f t="shared" si="73"/>
        <v>22.58519463943842</v>
      </c>
      <c r="Y214" s="50" t="str">
        <f t="shared" si="74"/>
        <v>è in grado</v>
      </c>
      <c r="Z214" s="50" t="str">
        <f t="shared" si="75"/>
        <v>non sottende</v>
      </c>
      <c r="AA214" s="106">
        <f t="shared" si="76"/>
        <v>6.4357430149960546</v>
      </c>
      <c r="AB214" s="50" t="str">
        <f t="shared" si="77"/>
        <v>A</v>
      </c>
      <c r="AC214" s="50" t="str">
        <f t="shared" si="3"/>
        <v>SI</v>
      </c>
      <c r="AD214" s="50" t="str">
        <f t="shared" si="78"/>
        <v>Si</v>
      </c>
      <c r="AE214" s="50" t="s">
        <v>490</v>
      </c>
      <c r="AF214" s="55">
        <v>12.19</v>
      </c>
      <c r="AG214" s="55">
        <v>1811</v>
      </c>
      <c r="AH214" s="55">
        <v>627</v>
      </c>
      <c r="AI214" s="55" t="str">
        <f t="shared" si="69"/>
        <v>Manufatto limitante</v>
      </c>
      <c r="AJ214" s="53">
        <v>40.159999999999997</v>
      </c>
      <c r="AK214" s="53">
        <f t="shared" si="70"/>
        <v>6.8000498007968124</v>
      </c>
      <c r="AL214" s="53">
        <f t="shared" si="71"/>
        <v>273.08999999999997</v>
      </c>
      <c r="AM214" s="50" t="s">
        <v>190</v>
      </c>
      <c r="AN214" s="56" t="s">
        <v>222</v>
      </c>
      <c r="AO214" s="57">
        <v>47383</v>
      </c>
      <c r="AP214" s="58" t="s">
        <v>1107</v>
      </c>
      <c r="AQ214" s="58" t="s">
        <v>1113</v>
      </c>
      <c r="AR214" s="58">
        <v>2041</v>
      </c>
      <c r="AS214" s="58" t="s">
        <v>1143</v>
      </c>
      <c r="AT214" s="50"/>
      <c r="AU214" s="1"/>
      <c r="AV214" s="1"/>
      <c r="AW214" s="1"/>
      <c r="AX214" s="1"/>
      <c r="AY214" s="1"/>
      <c r="AZ214" s="1"/>
      <c r="BA214" s="1"/>
      <c r="BB214" s="1"/>
      <c r="BC214" s="1"/>
      <c r="BD214" s="1"/>
      <c r="BE214" s="1"/>
      <c r="BF214" s="1"/>
      <c r="BG214" s="1"/>
    </row>
    <row r="215" spans="1:59" ht="14.25" customHeight="1" x14ac:dyDescent="0.25">
      <c r="A215" s="1"/>
      <c r="B215" s="59"/>
      <c r="C215" s="50" t="s">
        <v>1144</v>
      </c>
      <c r="D215" s="50" t="s">
        <v>1145</v>
      </c>
      <c r="E215" s="50" t="str">
        <f t="shared" si="0"/>
        <v>PP0200270019001B</v>
      </c>
      <c r="F215" s="50"/>
      <c r="G215" s="50" t="s">
        <v>131</v>
      </c>
      <c r="H215" s="50" t="s">
        <v>95</v>
      </c>
      <c r="I215" s="50" t="s">
        <v>1141</v>
      </c>
      <c r="J215" s="50" t="s">
        <v>1146</v>
      </c>
      <c r="K215" s="50" t="s">
        <v>133</v>
      </c>
      <c r="L215" s="50" t="s">
        <v>1112</v>
      </c>
      <c r="M215" s="50"/>
      <c r="N215" s="52"/>
      <c r="O215" s="50" t="s">
        <v>151</v>
      </c>
      <c r="P215" s="50">
        <v>6328</v>
      </c>
      <c r="Q215" s="53">
        <v>15</v>
      </c>
      <c r="R215" s="53">
        <f t="shared" si="60"/>
        <v>6343</v>
      </c>
      <c r="S215" s="54">
        <v>14.89</v>
      </c>
      <c r="T215" s="54">
        <v>0.81</v>
      </c>
      <c r="U215" s="54">
        <f t="shared" si="72"/>
        <v>15.700000000000001</v>
      </c>
      <c r="V215" s="54">
        <v>82.1</v>
      </c>
      <c r="W215" s="52">
        <f t="shared" si="31"/>
        <v>55.060763888888886</v>
      </c>
      <c r="X215" s="54">
        <f t="shared" si="73"/>
        <v>5.2292993630573239</v>
      </c>
      <c r="Y215" s="50" t="str">
        <f t="shared" si="74"/>
        <v>è in grado</v>
      </c>
      <c r="Z215" s="50" t="str">
        <f t="shared" si="75"/>
        <v>non sottende</v>
      </c>
      <c r="AA215" s="106">
        <f t="shared" si="76"/>
        <v>1.4910799306321929</v>
      </c>
      <c r="AB215" s="50" t="str">
        <f t="shared" si="77"/>
        <v>B</v>
      </c>
      <c r="AC215" s="50" t="str">
        <f t="shared" si="3"/>
        <v>SI</v>
      </c>
      <c r="AD215" s="50" t="str">
        <f t="shared" si="78"/>
        <v>Si</v>
      </c>
      <c r="AE215" s="50" t="s">
        <v>1147</v>
      </c>
      <c r="AF215" s="55">
        <v>3.97</v>
      </c>
      <c r="AG215" s="55">
        <v>1126</v>
      </c>
      <c r="AH215" s="55">
        <v>1186</v>
      </c>
      <c r="AI215" s="55" t="str">
        <f t="shared" si="69"/>
        <v xml:space="preserve"> </v>
      </c>
      <c r="AJ215" s="53">
        <v>331.97</v>
      </c>
      <c r="AK215" s="53">
        <f t="shared" si="70"/>
        <v>3.1445612555351388</v>
      </c>
      <c r="AL215" s="53">
        <f t="shared" si="71"/>
        <v>1043.9000000000001</v>
      </c>
      <c r="AM215" s="50" t="s">
        <v>190</v>
      </c>
      <c r="AN215" s="56" t="s">
        <v>222</v>
      </c>
      <c r="AO215" s="57">
        <v>47383</v>
      </c>
      <c r="AP215" s="58" t="s">
        <v>1107</v>
      </c>
      <c r="AQ215" s="58" t="s">
        <v>1113</v>
      </c>
      <c r="AR215" s="58">
        <v>2041</v>
      </c>
      <c r="AS215" s="58" t="s">
        <v>1148</v>
      </c>
      <c r="AT215" s="50"/>
      <c r="AU215" s="1"/>
      <c r="AV215" s="1"/>
      <c r="AW215" s="1"/>
      <c r="AX215" s="1"/>
      <c r="AY215" s="1"/>
      <c r="AZ215" s="1"/>
      <c r="BA215" s="1"/>
      <c r="BB215" s="1"/>
      <c r="BC215" s="1"/>
      <c r="BD215" s="1"/>
      <c r="BE215" s="1"/>
      <c r="BF215" s="1"/>
      <c r="BG215" s="1"/>
    </row>
    <row r="216" spans="1:59" ht="14.25" customHeight="1" x14ac:dyDescent="0.25">
      <c r="A216" s="1"/>
      <c r="B216" s="59"/>
      <c r="C216" s="50" t="s">
        <v>1149</v>
      </c>
      <c r="D216" s="50" t="s">
        <v>1150</v>
      </c>
      <c r="E216" s="50" t="str">
        <f t="shared" si="0"/>
        <v>PP0200270026001B</v>
      </c>
      <c r="F216" s="50"/>
      <c r="G216" s="50" t="s">
        <v>131</v>
      </c>
      <c r="H216" s="50" t="s">
        <v>1103</v>
      </c>
      <c r="I216" s="50" t="s">
        <v>1151</v>
      </c>
      <c r="J216" s="50" t="s">
        <v>1152</v>
      </c>
      <c r="K216" s="50" t="s">
        <v>133</v>
      </c>
      <c r="L216" s="50" t="s">
        <v>1153</v>
      </c>
      <c r="M216" s="59"/>
      <c r="N216" s="52"/>
      <c r="O216" s="50" t="s">
        <v>151</v>
      </c>
      <c r="P216" s="50">
        <v>12</v>
      </c>
      <c r="Q216" s="53">
        <v>0</v>
      </c>
      <c r="R216" s="53">
        <f t="shared" si="60"/>
        <v>12</v>
      </c>
      <c r="S216" s="54">
        <v>0.03</v>
      </c>
      <c r="T216" s="54">
        <v>0</v>
      </c>
      <c r="U216" s="54">
        <f t="shared" si="72"/>
        <v>0.03</v>
      </c>
      <c r="V216" s="54">
        <v>23.2</v>
      </c>
      <c r="W216" s="52">
        <f t="shared" si="31"/>
        <v>0.10416666666666667</v>
      </c>
      <c r="X216" s="54">
        <f t="shared" si="73"/>
        <v>773.33333333333337</v>
      </c>
      <c r="Y216" s="50" t="str">
        <f t="shared" si="74"/>
        <v>è in grado</v>
      </c>
      <c r="Z216" s="50" t="str">
        <f t="shared" si="75"/>
        <v>non sottende</v>
      </c>
      <c r="AA216" s="106">
        <f t="shared" si="76"/>
        <v>222.71999999999997</v>
      </c>
      <c r="AB216" s="50" t="str">
        <f t="shared" si="77"/>
        <v>A</v>
      </c>
      <c r="AC216" s="50" t="str">
        <f t="shared" si="3"/>
        <v>SI</v>
      </c>
      <c r="AD216" s="50" t="str">
        <f t="shared" si="78"/>
        <v>Si</v>
      </c>
      <c r="AE216" s="50" t="s">
        <v>490</v>
      </c>
      <c r="AF216" s="55">
        <v>0.25</v>
      </c>
      <c r="AG216" s="55">
        <v>35</v>
      </c>
      <c r="AH216" s="55">
        <v>201</v>
      </c>
      <c r="AI216" s="55" t="str">
        <f t="shared" si="69"/>
        <v xml:space="preserve"> </v>
      </c>
      <c r="AJ216" s="53">
        <v>155.91999999999999</v>
      </c>
      <c r="AK216" s="53">
        <f t="shared" si="70"/>
        <v>7.5679835813237561E-2</v>
      </c>
      <c r="AL216" s="53">
        <f t="shared" si="71"/>
        <v>11.8</v>
      </c>
      <c r="AM216" s="50" t="s">
        <v>190</v>
      </c>
      <c r="AN216" s="56" t="s">
        <v>222</v>
      </c>
      <c r="AO216" s="57">
        <v>47383</v>
      </c>
      <c r="AP216" s="58" t="s">
        <v>1107</v>
      </c>
      <c r="AQ216" s="120" t="s">
        <v>1113</v>
      </c>
      <c r="AR216" s="120">
        <v>2041</v>
      </c>
      <c r="AS216" s="120" t="s">
        <v>1154</v>
      </c>
      <c r="AT216" s="50" t="s">
        <v>1155</v>
      </c>
      <c r="AU216" s="1"/>
      <c r="AV216" s="1"/>
      <c r="AW216" s="1"/>
      <c r="AX216" s="1"/>
      <c r="AY216" s="1"/>
      <c r="AZ216" s="1"/>
      <c r="BA216" s="1"/>
      <c r="BB216" s="1"/>
      <c r="BC216" s="1"/>
      <c r="BD216" s="1"/>
      <c r="BE216" s="1"/>
      <c r="BF216" s="1"/>
      <c r="BG216" s="1"/>
    </row>
    <row r="217" spans="1:59" ht="14.25" customHeight="1" x14ac:dyDescent="0.25">
      <c r="A217" s="1"/>
      <c r="B217" s="59"/>
      <c r="C217" s="50" t="s">
        <v>1156</v>
      </c>
      <c r="D217" s="50" t="s">
        <v>1157</v>
      </c>
      <c r="E217" s="50" t="str">
        <f t="shared" si="0"/>
        <v>PP0200270016001B</v>
      </c>
      <c r="F217" s="50" t="s">
        <v>1158</v>
      </c>
      <c r="G217" s="50" t="s">
        <v>131</v>
      </c>
      <c r="H217" s="50" t="s">
        <v>1129</v>
      </c>
      <c r="I217" s="50" t="s">
        <v>1159</v>
      </c>
      <c r="J217" s="50" t="s">
        <v>1160</v>
      </c>
      <c r="K217" s="50" t="s">
        <v>133</v>
      </c>
      <c r="L217" s="50" t="s">
        <v>1132</v>
      </c>
      <c r="M217" s="50"/>
      <c r="N217" s="52"/>
      <c r="O217" s="50" t="s">
        <v>159</v>
      </c>
      <c r="P217" s="50">
        <v>945</v>
      </c>
      <c r="Q217" s="53">
        <v>0</v>
      </c>
      <c r="R217" s="53">
        <f t="shared" si="60"/>
        <v>945</v>
      </c>
      <c r="S217" s="54">
        <v>2.2200000000000002</v>
      </c>
      <c r="T217" s="54">
        <v>0</v>
      </c>
      <c r="U217" s="54">
        <f t="shared" si="72"/>
        <v>2.2200000000000002</v>
      </c>
      <c r="V217" s="54">
        <v>10.15</v>
      </c>
      <c r="W217" s="52">
        <f t="shared" si="31"/>
        <v>8.203125</v>
      </c>
      <c r="X217" s="54">
        <f t="shared" si="73"/>
        <v>4.5720720720720722</v>
      </c>
      <c r="Y217" s="50" t="str">
        <f t="shared" si="74"/>
        <v>è in grado</v>
      </c>
      <c r="Z217" s="50" t="str">
        <f t="shared" si="75"/>
        <v>non sottende</v>
      </c>
      <c r="AA217" s="106">
        <f t="shared" si="76"/>
        <v>1.2373333333333334</v>
      </c>
      <c r="AB217" s="50" t="str">
        <f t="shared" si="77"/>
        <v>B</v>
      </c>
      <c r="AC217" s="50" t="str">
        <f t="shared" si="3"/>
        <v>SI</v>
      </c>
      <c r="AD217" s="50" t="str">
        <f t="shared" si="78"/>
        <v>No</v>
      </c>
      <c r="AE217" s="53" t="s">
        <v>304</v>
      </c>
      <c r="AF217" s="55">
        <v>16.059999999999999</v>
      </c>
      <c r="AG217" s="55">
        <v>2245</v>
      </c>
      <c r="AH217" s="55">
        <v>124</v>
      </c>
      <c r="AI217" s="55" t="str">
        <f t="shared" si="69"/>
        <v>Manufatto limitante</v>
      </c>
      <c r="AJ217" s="53">
        <v>9.9</v>
      </c>
      <c r="AK217" s="53">
        <f t="shared" si="70"/>
        <v>11.499999999999998</v>
      </c>
      <c r="AL217" s="53">
        <f t="shared" si="71"/>
        <v>113.85</v>
      </c>
      <c r="AM217" s="50" t="s">
        <v>490</v>
      </c>
      <c r="AN217" s="56" t="s">
        <v>236</v>
      </c>
      <c r="AO217" s="57">
        <v>47383</v>
      </c>
      <c r="AP217" s="58" t="s">
        <v>1107</v>
      </c>
      <c r="AQ217" s="58" t="s">
        <v>1113</v>
      </c>
      <c r="AR217" s="58">
        <v>2041</v>
      </c>
      <c r="AS217" s="58" t="s">
        <v>1161</v>
      </c>
      <c r="AT217" s="50"/>
      <c r="AU217" s="1"/>
      <c r="AV217" s="1"/>
      <c r="AW217" s="1"/>
      <c r="AX217" s="1"/>
      <c r="AY217" s="1"/>
      <c r="AZ217" s="1"/>
      <c r="BA217" s="1"/>
      <c r="BB217" s="1"/>
      <c r="BC217" s="1"/>
      <c r="BD217" s="1"/>
      <c r="BE217" s="1"/>
      <c r="BF217" s="1"/>
      <c r="BG217" s="1"/>
    </row>
    <row r="218" spans="1:59" ht="14.25" customHeight="1" x14ac:dyDescent="0.25">
      <c r="A218" s="1"/>
      <c r="B218" s="50"/>
      <c r="C218" s="50" t="s">
        <v>1162</v>
      </c>
      <c r="D218" s="50" t="s">
        <v>1163</v>
      </c>
      <c r="E218" s="50" t="str">
        <f t="shared" si="0"/>
        <v>PP0200270001001B</v>
      </c>
      <c r="F218" s="50" t="s">
        <v>1164</v>
      </c>
      <c r="G218" s="50" t="s">
        <v>131</v>
      </c>
      <c r="H218" s="50" t="s">
        <v>95</v>
      </c>
      <c r="I218" s="50" t="s">
        <v>1165</v>
      </c>
      <c r="J218" s="50" t="s">
        <v>1166</v>
      </c>
      <c r="K218" s="50" t="s">
        <v>133</v>
      </c>
      <c r="L218" s="50" t="s">
        <v>1112</v>
      </c>
      <c r="M218" s="50"/>
      <c r="N218" s="52"/>
      <c r="O218" s="50" t="s">
        <v>159</v>
      </c>
      <c r="P218" s="50">
        <v>565</v>
      </c>
      <c r="Q218" s="53">
        <v>0</v>
      </c>
      <c r="R218" s="53">
        <f t="shared" si="60"/>
        <v>565</v>
      </c>
      <c r="S218" s="54">
        <v>1.33</v>
      </c>
      <c r="T218" s="54">
        <v>0</v>
      </c>
      <c r="U218" s="54">
        <f t="shared" si="72"/>
        <v>1.33</v>
      </c>
      <c r="V218" s="54">
        <v>17</v>
      </c>
      <c r="W218" s="52">
        <f t="shared" si="31"/>
        <v>4.9045138888888893</v>
      </c>
      <c r="X218" s="54">
        <f t="shared" si="73"/>
        <v>12.781954887218044</v>
      </c>
      <c r="Y218" s="50" t="str">
        <f t="shared" si="74"/>
        <v>è in grado</v>
      </c>
      <c r="Z218" s="50" t="str">
        <f t="shared" si="75"/>
        <v>non sottende</v>
      </c>
      <c r="AA218" s="106">
        <f t="shared" si="76"/>
        <v>3.4661946902654863</v>
      </c>
      <c r="AB218" s="50" t="str">
        <f t="shared" si="77"/>
        <v>A</v>
      </c>
      <c r="AC218" s="50" t="str">
        <f t="shared" si="3"/>
        <v>SI</v>
      </c>
      <c r="AD218" s="50" t="str">
        <f t="shared" si="78"/>
        <v>No</v>
      </c>
      <c r="AE218" s="50" t="s">
        <v>147</v>
      </c>
      <c r="AF218" s="55">
        <v>18.440000000000001</v>
      </c>
      <c r="AG218" s="55">
        <v>1876</v>
      </c>
      <c r="AH218" s="55">
        <v>776</v>
      </c>
      <c r="AI218" s="55" t="str">
        <f t="shared" si="69"/>
        <v>Manufatto limitante</v>
      </c>
      <c r="AJ218" s="53">
        <v>78.52</v>
      </c>
      <c r="AK218" s="53">
        <f t="shared" si="70"/>
        <v>9.6663270504330114</v>
      </c>
      <c r="AL218" s="53">
        <f t="shared" si="71"/>
        <v>759</v>
      </c>
      <c r="AM218" s="50" t="s">
        <v>190</v>
      </c>
      <c r="AN218" s="56" t="s">
        <v>236</v>
      </c>
      <c r="AO218" s="57">
        <v>47383</v>
      </c>
      <c r="AP218" s="58" t="s">
        <v>1107</v>
      </c>
      <c r="AQ218" s="58" t="s">
        <v>1113</v>
      </c>
      <c r="AR218" s="58">
        <v>2041</v>
      </c>
      <c r="AS218" s="58" t="s">
        <v>1167</v>
      </c>
      <c r="AT218" s="50"/>
      <c r="AU218" s="1"/>
      <c r="AV218" s="1"/>
      <c r="AW218" s="1"/>
      <c r="AX218" s="1"/>
      <c r="AY218" s="1"/>
      <c r="AZ218" s="1"/>
      <c r="BA218" s="1"/>
      <c r="BB218" s="1"/>
      <c r="BC218" s="1"/>
      <c r="BD218" s="1"/>
      <c r="BE218" s="1"/>
      <c r="BF218" s="1"/>
      <c r="BG218" s="1"/>
    </row>
    <row r="219" spans="1:59" ht="14.25" customHeight="1" x14ac:dyDescent="0.25">
      <c r="A219" s="1"/>
      <c r="B219" s="50"/>
      <c r="C219" s="50" t="s">
        <v>1168</v>
      </c>
      <c r="D219" s="50" t="s">
        <v>1169</v>
      </c>
      <c r="E219" s="50" t="str">
        <f t="shared" si="0"/>
        <v>PP0200270024001B</v>
      </c>
      <c r="F219" s="50" t="s">
        <v>1170</v>
      </c>
      <c r="G219" s="50" t="s">
        <v>131</v>
      </c>
      <c r="H219" s="50" t="s">
        <v>1103</v>
      </c>
      <c r="I219" s="50" t="s">
        <v>1171</v>
      </c>
      <c r="J219" s="50" t="s">
        <v>1172</v>
      </c>
      <c r="K219" s="50" t="s">
        <v>133</v>
      </c>
      <c r="L219" s="50" t="s">
        <v>1173</v>
      </c>
      <c r="M219" s="50"/>
      <c r="N219" s="52"/>
      <c r="O219" s="50" t="s">
        <v>151</v>
      </c>
      <c r="P219" s="50">
        <v>69</v>
      </c>
      <c r="Q219" s="53">
        <v>0</v>
      </c>
      <c r="R219" s="53">
        <f t="shared" si="60"/>
        <v>69</v>
      </c>
      <c r="S219" s="54">
        <v>0.16</v>
      </c>
      <c r="T219" s="54">
        <v>0</v>
      </c>
      <c r="U219" s="54">
        <f t="shared" si="72"/>
        <v>0.16</v>
      </c>
      <c r="V219" s="54">
        <v>28.4</v>
      </c>
      <c r="W219" s="52">
        <f t="shared" si="31"/>
        <v>0.59895833333333337</v>
      </c>
      <c r="X219" s="54">
        <f t="shared" si="73"/>
        <v>177.5</v>
      </c>
      <c r="Y219" s="50" t="str">
        <f t="shared" si="74"/>
        <v>è in grado</v>
      </c>
      <c r="Z219" s="50" t="str">
        <f t="shared" si="75"/>
        <v>non sottende</v>
      </c>
      <c r="AA219" s="106">
        <f t="shared" si="76"/>
        <v>47.415652173913038</v>
      </c>
      <c r="AB219" s="50" t="str">
        <f t="shared" si="77"/>
        <v>A</v>
      </c>
      <c r="AC219" s="50" t="str">
        <f t="shared" si="3"/>
        <v>SI</v>
      </c>
      <c r="AD219" s="50" t="str">
        <f t="shared" si="78"/>
        <v>Si</v>
      </c>
      <c r="AE219" s="50" t="s">
        <v>147</v>
      </c>
      <c r="AF219" s="55">
        <v>2.33</v>
      </c>
      <c r="AG219" s="55">
        <v>219</v>
      </c>
      <c r="AH219" s="55">
        <v>334</v>
      </c>
      <c r="AI219" s="55" t="str">
        <f t="shared" si="69"/>
        <v xml:space="preserve"> </v>
      </c>
      <c r="AJ219" s="53">
        <v>242.4</v>
      </c>
      <c r="AK219" s="53">
        <f t="shared" si="70"/>
        <v>0.7863036303630363</v>
      </c>
      <c r="AL219" s="53">
        <f t="shared" si="71"/>
        <v>190.6</v>
      </c>
      <c r="AM219" s="50" t="s">
        <v>190</v>
      </c>
      <c r="AN219" s="56" t="s">
        <v>222</v>
      </c>
      <c r="AO219" s="57">
        <v>47383</v>
      </c>
      <c r="AP219" s="58" t="s">
        <v>1107</v>
      </c>
      <c r="AQ219" s="58" t="s">
        <v>1113</v>
      </c>
      <c r="AR219" s="58">
        <v>2041</v>
      </c>
      <c r="AS219" s="58" t="s">
        <v>1174</v>
      </c>
      <c r="AT219" s="50"/>
      <c r="AU219" s="1"/>
      <c r="AV219" s="1"/>
      <c r="AW219" s="1"/>
      <c r="AX219" s="1"/>
      <c r="AY219" s="1"/>
      <c r="AZ219" s="1"/>
      <c r="BA219" s="1"/>
      <c r="BB219" s="1"/>
      <c r="BC219" s="1"/>
      <c r="BD219" s="1"/>
      <c r="BE219" s="1"/>
      <c r="BF219" s="1"/>
      <c r="BG219" s="1"/>
    </row>
    <row r="220" spans="1:59" ht="14.25" customHeight="1" x14ac:dyDescent="0.25">
      <c r="A220" s="1"/>
      <c r="B220" s="50"/>
      <c r="C220" s="50" t="s">
        <v>1175</v>
      </c>
      <c r="D220" s="50" t="s">
        <v>1176</v>
      </c>
      <c r="E220" s="50" t="str">
        <f t="shared" si="0"/>
        <v>PP0200270010001B</v>
      </c>
      <c r="F220" s="50"/>
      <c r="G220" s="50" t="s">
        <v>131</v>
      </c>
      <c r="H220" s="50" t="s">
        <v>95</v>
      </c>
      <c r="I220" s="50" t="s">
        <v>1177</v>
      </c>
      <c r="J220" s="50" t="s">
        <v>1178</v>
      </c>
      <c r="K220" s="50" t="s">
        <v>133</v>
      </c>
      <c r="L220" s="50" t="s">
        <v>1112</v>
      </c>
      <c r="M220" s="50"/>
      <c r="N220" s="52"/>
      <c r="O220" s="50" t="s">
        <v>151</v>
      </c>
      <c r="P220" s="50">
        <v>1111</v>
      </c>
      <c r="Q220" s="53">
        <v>3</v>
      </c>
      <c r="R220" s="53">
        <f t="shared" si="60"/>
        <v>1114</v>
      </c>
      <c r="S220" s="54">
        <v>2.61</v>
      </c>
      <c r="T220" s="54">
        <v>0.23</v>
      </c>
      <c r="U220" s="54">
        <f t="shared" si="72"/>
        <v>2.84</v>
      </c>
      <c r="V220" s="54">
        <v>526.5</v>
      </c>
      <c r="W220" s="52">
        <f t="shared" si="31"/>
        <v>9.6701388888888893</v>
      </c>
      <c r="X220" s="54">
        <f t="shared" si="73"/>
        <v>185.38732394366198</v>
      </c>
      <c r="Y220" s="50" t="str">
        <f t="shared" si="74"/>
        <v>è in grado</v>
      </c>
      <c r="Z220" s="50" t="str">
        <f t="shared" si="75"/>
        <v>non sottende</v>
      </c>
      <c r="AA220" s="106">
        <f t="shared" si="76"/>
        <v>54.445960502692998</v>
      </c>
      <c r="AB220" s="50" t="str">
        <f t="shared" si="77"/>
        <v>A</v>
      </c>
      <c r="AC220" s="50" t="str">
        <f t="shared" si="3"/>
        <v>SI</v>
      </c>
      <c r="AD220" s="50" t="str">
        <f t="shared" si="78"/>
        <v>Si</v>
      </c>
      <c r="AE220" s="50" t="s">
        <v>147</v>
      </c>
      <c r="AF220" s="55">
        <v>42.96</v>
      </c>
      <c r="AG220" s="55">
        <v>2968</v>
      </c>
      <c r="AH220" s="55">
        <v>239</v>
      </c>
      <c r="AI220" s="55" t="str">
        <f t="shared" si="69"/>
        <v>Manufatto limitante</v>
      </c>
      <c r="AJ220" s="53">
        <v>0</v>
      </c>
      <c r="AK220" s="53" t="e">
        <f t="shared" si="70"/>
        <v>#DIV/0!</v>
      </c>
      <c r="AL220" s="53">
        <f t="shared" si="71"/>
        <v>-287.5</v>
      </c>
      <c r="AM220" s="50" t="s">
        <v>147</v>
      </c>
      <c r="AN220" s="56" t="s">
        <v>222</v>
      </c>
      <c r="AO220" s="57">
        <v>47383</v>
      </c>
      <c r="AP220" s="58" t="s">
        <v>1107</v>
      </c>
      <c r="AQ220" s="58" t="s">
        <v>1113</v>
      </c>
      <c r="AR220" s="58">
        <v>2041</v>
      </c>
      <c r="AS220" s="58" t="s">
        <v>1179</v>
      </c>
      <c r="AT220" s="50"/>
      <c r="AU220" s="1"/>
      <c r="AV220" s="1"/>
      <c r="AW220" s="1"/>
      <c r="AX220" s="1"/>
      <c r="AY220" s="1"/>
      <c r="AZ220" s="1"/>
      <c r="BA220" s="1"/>
      <c r="BB220" s="1"/>
      <c r="BC220" s="1"/>
      <c r="BD220" s="1"/>
      <c r="BE220" s="1"/>
      <c r="BF220" s="1"/>
      <c r="BG220" s="1"/>
    </row>
    <row r="221" spans="1:59" ht="14.25" customHeight="1" x14ac:dyDescent="0.25">
      <c r="A221" s="1"/>
      <c r="B221" s="50"/>
      <c r="C221" s="50" t="s">
        <v>1180</v>
      </c>
      <c r="D221" s="50" t="s">
        <v>1181</v>
      </c>
      <c r="E221" s="50" t="str">
        <f t="shared" si="0"/>
        <v>PP0200270009001B</v>
      </c>
      <c r="F221" s="50"/>
      <c r="G221" s="50" t="s">
        <v>131</v>
      </c>
      <c r="H221" s="50" t="s">
        <v>95</v>
      </c>
      <c r="I221" s="50" t="s">
        <v>1182</v>
      </c>
      <c r="J221" s="50" t="s">
        <v>1183</v>
      </c>
      <c r="K221" s="50" t="s">
        <v>133</v>
      </c>
      <c r="L221" s="50" t="s">
        <v>1112</v>
      </c>
      <c r="M221" s="50"/>
      <c r="N221" s="52"/>
      <c r="O221" s="50" t="s">
        <v>151</v>
      </c>
      <c r="P221" s="50">
        <v>1031</v>
      </c>
      <c r="Q221" s="53">
        <v>0</v>
      </c>
      <c r="R221" s="53">
        <f t="shared" si="60"/>
        <v>1031</v>
      </c>
      <c r="S221" s="54">
        <v>2.4300000000000002</v>
      </c>
      <c r="T221" s="54">
        <v>0</v>
      </c>
      <c r="U221" s="54">
        <f t="shared" si="72"/>
        <v>2.4300000000000002</v>
      </c>
      <c r="V221" s="54">
        <v>913.71</v>
      </c>
      <c r="W221" s="52">
        <f t="shared" si="31"/>
        <v>8.9496527777777786</v>
      </c>
      <c r="X221" s="54">
        <f t="shared" si="73"/>
        <v>376.01234567901236</v>
      </c>
      <c r="Y221" s="50" t="str">
        <f t="shared" si="74"/>
        <v>è in grado</v>
      </c>
      <c r="Z221" s="50" t="str">
        <f t="shared" si="75"/>
        <v>non sottende</v>
      </c>
      <c r="AA221" s="106">
        <f t="shared" si="76"/>
        <v>102.09446362754606</v>
      </c>
      <c r="AB221" s="50" t="str">
        <f t="shared" si="77"/>
        <v>A</v>
      </c>
      <c r="AC221" s="50" t="str">
        <f t="shared" si="3"/>
        <v>SI</v>
      </c>
      <c r="AD221" s="50" t="str">
        <f t="shared" si="78"/>
        <v>Si</v>
      </c>
      <c r="AE221" s="50" t="s">
        <v>147</v>
      </c>
      <c r="AF221" s="55">
        <v>0.86</v>
      </c>
      <c r="AG221" s="55">
        <v>306</v>
      </c>
      <c r="AH221" s="55">
        <v>347</v>
      </c>
      <c r="AI221" s="55" t="str">
        <f t="shared" si="69"/>
        <v xml:space="preserve"> </v>
      </c>
      <c r="AJ221" s="53">
        <v>0</v>
      </c>
      <c r="AK221" s="53" t="e">
        <f t="shared" si="70"/>
        <v>#DIV/0!</v>
      </c>
      <c r="AL221" s="53">
        <f t="shared" si="71"/>
        <v>-607.71</v>
      </c>
      <c r="AM221" s="50" t="s">
        <v>147</v>
      </c>
      <c r="AN221" s="56" t="s">
        <v>222</v>
      </c>
      <c r="AO221" s="57">
        <v>47383</v>
      </c>
      <c r="AP221" s="58" t="s">
        <v>1107</v>
      </c>
      <c r="AQ221" s="58" t="s">
        <v>1113</v>
      </c>
      <c r="AR221" s="58">
        <v>2041</v>
      </c>
      <c r="AS221" s="58" t="s">
        <v>1184</v>
      </c>
      <c r="AT221" s="50"/>
      <c r="AU221" s="1"/>
      <c r="AV221" s="1"/>
      <c r="AW221" s="1"/>
      <c r="AX221" s="1"/>
      <c r="AY221" s="1"/>
      <c r="AZ221" s="1"/>
      <c r="BA221" s="1"/>
      <c r="BB221" s="1"/>
      <c r="BC221" s="1"/>
      <c r="BD221" s="1"/>
      <c r="BE221" s="1"/>
      <c r="BF221" s="1"/>
      <c r="BG221" s="1"/>
    </row>
    <row r="222" spans="1:59" ht="14.25" customHeight="1" x14ac:dyDescent="0.25">
      <c r="A222" s="1"/>
      <c r="B222" s="50"/>
      <c r="C222" s="50" t="s">
        <v>1185</v>
      </c>
      <c r="D222" s="50" t="s">
        <v>1186</v>
      </c>
      <c r="E222" s="50" t="str">
        <f t="shared" si="0"/>
        <v>PP0200270012001B</v>
      </c>
      <c r="F222" s="50"/>
      <c r="G222" s="50" t="s">
        <v>131</v>
      </c>
      <c r="H222" s="50" t="s">
        <v>95</v>
      </c>
      <c r="I222" s="50" t="s">
        <v>1187</v>
      </c>
      <c r="J222" s="50" t="s">
        <v>1188</v>
      </c>
      <c r="K222" s="50" t="s">
        <v>133</v>
      </c>
      <c r="L222" s="50" t="s">
        <v>1112</v>
      </c>
      <c r="M222" s="50"/>
      <c r="N222" s="52"/>
      <c r="O222" s="50" t="s">
        <v>151</v>
      </c>
      <c r="P222" s="50">
        <v>2710</v>
      </c>
      <c r="Q222" s="53">
        <v>12</v>
      </c>
      <c r="R222" s="53">
        <f t="shared" si="60"/>
        <v>2722</v>
      </c>
      <c r="S222" s="54">
        <v>6.37</v>
      </c>
      <c r="T222" s="54">
        <v>0.57999999999999996</v>
      </c>
      <c r="U222" s="54">
        <f t="shared" si="72"/>
        <v>6.95</v>
      </c>
      <c r="V222" s="54">
        <v>464.91</v>
      </c>
      <c r="W222" s="52">
        <f t="shared" si="31"/>
        <v>23.628472222222221</v>
      </c>
      <c r="X222" s="54">
        <f t="shared" si="73"/>
        <v>66.893525179856113</v>
      </c>
      <c r="Y222" s="50" t="str">
        <f t="shared" si="74"/>
        <v>è in grado</v>
      </c>
      <c r="Z222" s="50" t="str">
        <f t="shared" si="75"/>
        <v>non sottende</v>
      </c>
      <c r="AA222" s="106">
        <f t="shared" si="76"/>
        <v>19.67583835415136</v>
      </c>
      <c r="AB222" s="50" t="str">
        <f t="shared" si="77"/>
        <v>A</v>
      </c>
      <c r="AC222" s="50" t="str">
        <f t="shared" si="3"/>
        <v>SI</v>
      </c>
      <c r="AD222" s="50" t="str">
        <f t="shared" si="78"/>
        <v>Si</v>
      </c>
      <c r="AE222" s="50" t="s">
        <v>147</v>
      </c>
      <c r="AF222" s="55">
        <v>4.59</v>
      </c>
      <c r="AG222" s="55">
        <v>698</v>
      </c>
      <c r="AH222" s="55">
        <v>1761</v>
      </c>
      <c r="AI222" s="55" t="str">
        <f t="shared" si="69"/>
        <v xml:space="preserve"> </v>
      </c>
      <c r="AJ222" s="53">
        <v>84.97</v>
      </c>
      <c r="AK222" s="53">
        <f t="shared" si="70"/>
        <v>2.7432034835824406</v>
      </c>
      <c r="AL222" s="53">
        <f t="shared" si="71"/>
        <v>233.08999999999997</v>
      </c>
      <c r="AM222" s="50" t="s">
        <v>190</v>
      </c>
      <c r="AN222" s="56" t="s">
        <v>222</v>
      </c>
      <c r="AO222" s="57">
        <v>47383</v>
      </c>
      <c r="AP222" s="58" t="s">
        <v>1107</v>
      </c>
      <c r="AQ222" s="58" t="s">
        <v>1113</v>
      </c>
      <c r="AR222" s="58">
        <v>2041</v>
      </c>
      <c r="AS222" s="58" t="s">
        <v>1189</v>
      </c>
      <c r="AT222" s="50"/>
      <c r="AU222" s="1"/>
      <c r="AV222" s="1"/>
      <c r="AW222" s="1"/>
      <c r="AX222" s="1"/>
      <c r="AY222" s="1"/>
      <c r="AZ222" s="1"/>
      <c r="BA222" s="1"/>
      <c r="BB222" s="1"/>
      <c r="BC222" s="1"/>
      <c r="BD222" s="1"/>
      <c r="BE222" s="1"/>
      <c r="BF222" s="1"/>
      <c r="BG222" s="1"/>
    </row>
    <row r="223" spans="1:59" ht="14.25" customHeight="1" x14ac:dyDescent="0.25">
      <c r="A223" s="1"/>
      <c r="B223" s="50"/>
      <c r="C223" s="50" t="s">
        <v>1190</v>
      </c>
      <c r="D223" s="50" t="s">
        <v>1191</v>
      </c>
      <c r="E223" s="50" t="str">
        <f t="shared" si="0"/>
        <v>PP0200270005001B</v>
      </c>
      <c r="F223" s="50"/>
      <c r="G223" s="50" t="s">
        <v>131</v>
      </c>
      <c r="H223" s="50" t="s">
        <v>95</v>
      </c>
      <c r="I223" s="50" t="s">
        <v>1192</v>
      </c>
      <c r="J223" s="50" t="s">
        <v>1193</v>
      </c>
      <c r="K223" s="50" t="s">
        <v>133</v>
      </c>
      <c r="L223" s="50" t="s">
        <v>1112</v>
      </c>
      <c r="M223" s="50"/>
      <c r="N223" s="52"/>
      <c r="O223" s="50" t="s">
        <v>159</v>
      </c>
      <c r="P223" s="50">
        <v>2475</v>
      </c>
      <c r="Q223" s="53">
        <v>12</v>
      </c>
      <c r="R223" s="53">
        <f t="shared" si="60"/>
        <v>2487</v>
      </c>
      <c r="S223" s="54">
        <v>5.82</v>
      </c>
      <c r="T223" s="54">
        <v>0.57999999999999996</v>
      </c>
      <c r="U223" s="54">
        <f t="shared" si="72"/>
        <v>6.4</v>
      </c>
      <c r="V223" s="54">
        <v>23.05</v>
      </c>
      <c r="W223" s="52">
        <f t="shared" si="31"/>
        <v>21.588541666666668</v>
      </c>
      <c r="X223" s="54">
        <f t="shared" si="73"/>
        <v>3.6015625</v>
      </c>
      <c r="Y223" s="50" t="str">
        <f t="shared" si="74"/>
        <v>è in grado</v>
      </c>
      <c r="Z223" s="50" t="str">
        <f t="shared" si="75"/>
        <v>non sottende</v>
      </c>
      <c r="AA223" s="106">
        <f t="shared" si="76"/>
        <v>1.067696019300362</v>
      </c>
      <c r="AB223" s="50" t="str">
        <f t="shared" si="77"/>
        <v>B</v>
      </c>
      <c r="AC223" s="50" t="str">
        <f t="shared" si="3"/>
        <v>SI</v>
      </c>
      <c r="AD223" s="50" t="str">
        <f t="shared" si="78"/>
        <v>Si</v>
      </c>
      <c r="AE223" s="50" t="s">
        <v>377</v>
      </c>
      <c r="AF223" s="55">
        <v>59.25</v>
      </c>
      <c r="AG223" s="55">
        <v>4671</v>
      </c>
      <c r="AH223" s="55">
        <v>1442</v>
      </c>
      <c r="AI223" s="55" t="str">
        <f t="shared" si="69"/>
        <v>Manufatto limitante</v>
      </c>
      <c r="AJ223" s="53">
        <v>41.51</v>
      </c>
      <c r="AK223" s="53">
        <f t="shared" si="70"/>
        <v>34.183329318236574</v>
      </c>
      <c r="AL223" s="53">
        <f t="shared" si="71"/>
        <v>1418.95</v>
      </c>
      <c r="AM223" s="50" t="s">
        <v>190</v>
      </c>
      <c r="AN223" s="56" t="s">
        <v>236</v>
      </c>
      <c r="AO223" s="57">
        <v>47383</v>
      </c>
      <c r="AP223" s="58" t="s">
        <v>1107</v>
      </c>
      <c r="AQ223" s="58" t="s">
        <v>1113</v>
      </c>
      <c r="AR223" s="107">
        <v>2041</v>
      </c>
      <c r="AS223" s="64" t="s">
        <v>1194</v>
      </c>
      <c r="AT223" s="50"/>
      <c r="AU223" s="1"/>
      <c r="AV223" s="1"/>
      <c r="AW223" s="1"/>
      <c r="AX223" s="1"/>
      <c r="AY223" s="1"/>
      <c r="AZ223" s="1"/>
      <c r="BA223" s="1"/>
      <c r="BB223" s="1"/>
      <c r="BC223" s="1"/>
      <c r="BD223" s="1"/>
      <c r="BE223" s="1"/>
      <c r="BF223" s="1"/>
      <c r="BG223" s="1"/>
    </row>
    <row r="224" spans="1:59" ht="14.25" customHeight="1" x14ac:dyDescent="0.25">
      <c r="A224" s="1"/>
      <c r="B224" s="50"/>
      <c r="C224" s="50" t="s">
        <v>1195</v>
      </c>
      <c r="D224" s="50" t="s">
        <v>1196</v>
      </c>
      <c r="E224" s="50" t="str">
        <f t="shared" si="0"/>
        <v>PP0200270025001B</v>
      </c>
      <c r="F224" s="50" t="s">
        <v>1197</v>
      </c>
      <c r="G224" s="50" t="s">
        <v>131</v>
      </c>
      <c r="H224" s="50" t="s">
        <v>1103</v>
      </c>
      <c r="I224" s="50" t="s">
        <v>1198</v>
      </c>
      <c r="J224" s="50" t="s">
        <v>1199</v>
      </c>
      <c r="K224" s="50" t="s">
        <v>133</v>
      </c>
      <c r="L224" s="50" t="s">
        <v>1173</v>
      </c>
      <c r="M224" s="50"/>
      <c r="N224" s="52"/>
      <c r="O224" s="50" t="s">
        <v>151</v>
      </c>
      <c r="P224" s="50">
        <v>40</v>
      </c>
      <c r="Q224" s="53">
        <v>0</v>
      </c>
      <c r="R224" s="53">
        <f t="shared" si="60"/>
        <v>40</v>
      </c>
      <c r="S224" s="54">
        <v>0.09</v>
      </c>
      <c r="T224" s="54">
        <v>0</v>
      </c>
      <c r="U224" s="54">
        <f t="shared" si="72"/>
        <v>0.09</v>
      </c>
      <c r="V224" s="54">
        <v>42</v>
      </c>
      <c r="W224" s="52">
        <f t="shared" si="31"/>
        <v>0.34722222222222221</v>
      </c>
      <c r="X224" s="54">
        <f t="shared" si="73"/>
        <v>466.66666666666669</v>
      </c>
      <c r="Y224" s="50" t="str">
        <f t="shared" si="74"/>
        <v>è in grado</v>
      </c>
      <c r="Z224" s="50" t="str">
        <f t="shared" si="75"/>
        <v>non sottende</v>
      </c>
      <c r="AA224" s="106">
        <f t="shared" si="76"/>
        <v>120.96000000000001</v>
      </c>
      <c r="AB224" s="50" t="str">
        <f t="shared" si="77"/>
        <v>A</v>
      </c>
      <c r="AC224" s="50" t="str">
        <f t="shared" si="3"/>
        <v>SI</v>
      </c>
      <c r="AD224" s="50" t="str">
        <f t="shared" si="78"/>
        <v>Si</v>
      </c>
      <c r="AE224" s="50" t="s">
        <v>490</v>
      </c>
      <c r="AF224" s="55">
        <v>0.57999999999999996</v>
      </c>
      <c r="AG224" s="55">
        <v>91</v>
      </c>
      <c r="AH224" s="55">
        <v>418</v>
      </c>
      <c r="AI224" s="55" t="str">
        <f t="shared" si="69"/>
        <v xml:space="preserve"> </v>
      </c>
      <c r="AJ224" s="53">
        <v>216.48</v>
      </c>
      <c r="AK224" s="53">
        <f t="shared" si="70"/>
        <v>0.22634885439763489</v>
      </c>
      <c r="AL224" s="53">
        <f t="shared" si="71"/>
        <v>49</v>
      </c>
      <c r="AM224" s="50" t="s">
        <v>190</v>
      </c>
      <c r="AN224" s="56" t="s">
        <v>222</v>
      </c>
      <c r="AO224" s="57">
        <v>47383</v>
      </c>
      <c r="AP224" s="58" t="s">
        <v>1107</v>
      </c>
      <c r="AQ224" s="58" t="s">
        <v>1113</v>
      </c>
      <c r="AR224" s="107">
        <v>2041</v>
      </c>
      <c r="AS224" s="58" t="s">
        <v>1200</v>
      </c>
      <c r="AT224" s="50"/>
      <c r="AU224" s="1"/>
      <c r="AV224" s="1"/>
      <c r="AW224" s="1"/>
      <c r="AX224" s="1"/>
      <c r="AY224" s="1"/>
      <c r="AZ224" s="1"/>
      <c r="BA224" s="1"/>
      <c r="BB224" s="1"/>
      <c r="BC224" s="1"/>
      <c r="BD224" s="1"/>
      <c r="BE224" s="1"/>
      <c r="BF224" s="1"/>
      <c r="BG224" s="1"/>
    </row>
    <row r="225" spans="1:59" ht="14.25" customHeight="1" x14ac:dyDescent="0.25">
      <c r="A225" s="1"/>
      <c r="B225" s="50"/>
      <c r="C225" s="50" t="s">
        <v>1201</v>
      </c>
      <c r="D225" s="50"/>
      <c r="E225" s="50" t="str">
        <f t="shared" si="0"/>
        <v>001B</v>
      </c>
      <c r="F225" s="50"/>
      <c r="G225" s="50" t="s">
        <v>131</v>
      </c>
      <c r="H225" s="50" t="s">
        <v>1103</v>
      </c>
      <c r="I225" s="50" t="s">
        <v>1202</v>
      </c>
      <c r="J225" s="50" t="s">
        <v>1203</v>
      </c>
      <c r="K225" s="50" t="s">
        <v>133</v>
      </c>
      <c r="L225" s="50" t="s">
        <v>1204</v>
      </c>
      <c r="M225" s="51" t="s">
        <v>221</v>
      </c>
      <c r="N225" s="52"/>
      <c r="O225" s="50" t="s">
        <v>151</v>
      </c>
      <c r="P225" s="50">
        <v>150</v>
      </c>
      <c r="Q225" s="53">
        <v>2</v>
      </c>
      <c r="R225" s="53">
        <f t="shared" si="60"/>
        <v>152</v>
      </c>
      <c r="S225" s="54">
        <v>0.35</v>
      </c>
      <c r="T225" s="54">
        <v>0.43</v>
      </c>
      <c r="U225" s="54">
        <f t="shared" si="72"/>
        <v>0.78</v>
      </c>
      <c r="V225" s="54">
        <v>22.09</v>
      </c>
      <c r="W225" s="52">
        <f t="shared" si="31"/>
        <v>1.9099999999999997</v>
      </c>
      <c r="X225" s="54">
        <f t="shared" si="73"/>
        <v>28.320512820512818</v>
      </c>
      <c r="Y225" s="50" t="str">
        <f t="shared" si="74"/>
        <v>è in grado</v>
      </c>
      <c r="Z225" s="50" t="str">
        <f t="shared" si="75"/>
        <v>non sottende</v>
      </c>
      <c r="AA225" s="106">
        <f t="shared" si="76"/>
        <v>11.565445026178013</v>
      </c>
      <c r="AB225" s="50" t="str">
        <f t="shared" si="77"/>
        <v>A</v>
      </c>
      <c r="AC225" s="50" t="str">
        <f t="shared" si="3"/>
        <v>SI</v>
      </c>
      <c r="AD225" s="50" t="str">
        <f t="shared" si="78"/>
        <v>Si</v>
      </c>
      <c r="AE225" s="50" t="s">
        <v>490</v>
      </c>
      <c r="AF225" s="55">
        <v>5.22</v>
      </c>
      <c r="AG225" s="55">
        <v>866</v>
      </c>
      <c r="AH225" s="55">
        <v>396</v>
      </c>
      <c r="AI225" s="55" t="str">
        <f t="shared" si="69"/>
        <v>Manufatto limitante</v>
      </c>
      <c r="AJ225" s="53">
        <v>104.7</v>
      </c>
      <c r="AK225" s="53">
        <f t="shared" si="70"/>
        <v>3.5712511938872971</v>
      </c>
      <c r="AL225" s="53">
        <f t="shared" si="71"/>
        <v>373.91</v>
      </c>
      <c r="AM225" s="50" t="s">
        <v>190</v>
      </c>
      <c r="AN225" s="56" t="s">
        <v>222</v>
      </c>
      <c r="AO225" s="57"/>
      <c r="AP225" s="58" t="s">
        <v>223</v>
      </c>
      <c r="AQ225" s="58" t="s">
        <v>224</v>
      </c>
      <c r="AR225" s="58" t="s">
        <v>225</v>
      </c>
      <c r="AS225" s="58" t="s">
        <v>92</v>
      </c>
      <c r="AT225" s="50" t="s">
        <v>92</v>
      </c>
      <c r="AU225" s="1"/>
      <c r="AV225" s="1"/>
      <c r="AW225" s="1"/>
      <c r="AX225" s="1"/>
      <c r="AY225" s="1"/>
      <c r="AZ225" s="1"/>
      <c r="BA225" s="1"/>
      <c r="BB225" s="1"/>
      <c r="BC225" s="1"/>
      <c r="BD225" s="1"/>
      <c r="BE225" s="1"/>
      <c r="BF225" s="1"/>
      <c r="BG225" s="1"/>
    </row>
    <row r="226" spans="1:59" ht="14.25" customHeight="1" x14ac:dyDescent="0.25">
      <c r="A226" s="1"/>
      <c r="B226" s="50"/>
      <c r="C226" s="50" t="s">
        <v>1205</v>
      </c>
      <c r="D226" s="50" t="s">
        <v>1206</v>
      </c>
      <c r="E226" s="50" t="str">
        <f t="shared" si="0"/>
        <v>PP0200270017001B</v>
      </c>
      <c r="F226" s="50"/>
      <c r="G226" s="50" t="s">
        <v>131</v>
      </c>
      <c r="H226" s="50" t="s">
        <v>95</v>
      </c>
      <c r="I226" s="50" t="s">
        <v>1207</v>
      </c>
      <c r="J226" s="50" t="s">
        <v>1208</v>
      </c>
      <c r="K226" s="50" t="s">
        <v>133</v>
      </c>
      <c r="L226" s="50" t="s">
        <v>1112</v>
      </c>
      <c r="M226" s="50"/>
      <c r="N226" s="52"/>
      <c r="O226" s="50" t="s">
        <v>151</v>
      </c>
      <c r="P226" s="50">
        <v>709</v>
      </c>
      <c r="Q226" s="53">
        <v>0</v>
      </c>
      <c r="R226" s="53">
        <f t="shared" si="60"/>
        <v>709</v>
      </c>
      <c r="S226" s="54">
        <v>1.67</v>
      </c>
      <c r="T226" s="54">
        <v>0</v>
      </c>
      <c r="U226" s="54">
        <f t="shared" si="72"/>
        <v>1.67</v>
      </c>
      <c r="V226" s="54">
        <v>382.73</v>
      </c>
      <c r="W226" s="52">
        <f t="shared" si="31"/>
        <v>6.1545138888888893</v>
      </c>
      <c r="X226" s="54">
        <f t="shared" si="73"/>
        <v>229.17964071856289</v>
      </c>
      <c r="Y226" s="50" t="str">
        <f t="shared" si="74"/>
        <v>è in grado</v>
      </c>
      <c r="Z226" s="50" t="str">
        <f t="shared" si="75"/>
        <v>non sottende</v>
      </c>
      <c r="AA226" s="106">
        <f t="shared" si="76"/>
        <v>62.186877291960506</v>
      </c>
      <c r="AB226" s="50" t="str">
        <f t="shared" si="77"/>
        <v>A</v>
      </c>
      <c r="AC226" s="50" t="str">
        <f t="shared" si="3"/>
        <v>SI</v>
      </c>
      <c r="AD226" s="50" t="str">
        <f t="shared" si="78"/>
        <v>Si</v>
      </c>
      <c r="AE226" s="50" t="s">
        <v>490</v>
      </c>
      <c r="AF226" s="55"/>
      <c r="AG226" s="55">
        <v>198</v>
      </c>
      <c r="AH226" s="55">
        <v>681</v>
      </c>
      <c r="AI226" s="55" t="str">
        <f t="shared" si="69"/>
        <v xml:space="preserve"> </v>
      </c>
      <c r="AJ226" s="53">
        <v>0</v>
      </c>
      <c r="AK226" s="53" t="e">
        <f t="shared" si="70"/>
        <v>#DIV/0!</v>
      </c>
      <c r="AL226" s="53">
        <f t="shared" si="71"/>
        <v>-184.73000000000002</v>
      </c>
      <c r="AM226" s="50" t="s">
        <v>490</v>
      </c>
      <c r="AN226" s="56" t="s">
        <v>222</v>
      </c>
      <c r="AO226" s="57">
        <v>47383</v>
      </c>
      <c r="AP226" s="58" t="s">
        <v>1107</v>
      </c>
      <c r="AQ226" s="58" t="s">
        <v>1113</v>
      </c>
      <c r="AR226" s="107">
        <v>2041</v>
      </c>
      <c r="AS226" s="58" t="s">
        <v>1209</v>
      </c>
      <c r="AT226" s="50"/>
      <c r="AU226" s="1"/>
      <c r="AV226" s="1"/>
      <c r="AW226" s="1"/>
      <c r="AX226" s="1"/>
      <c r="AY226" s="1"/>
      <c r="AZ226" s="1"/>
      <c r="BA226" s="1"/>
      <c r="BB226" s="1"/>
      <c r="BC226" s="1"/>
      <c r="BD226" s="1"/>
      <c r="BE226" s="1"/>
      <c r="BF226" s="1"/>
      <c r="BG226" s="1"/>
    </row>
    <row r="227" spans="1:59" ht="14.25" customHeight="1" x14ac:dyDescent="0.25">
      <c r="A227" s="1"/>
      <c r="B227" s="50"/>
      <c r="C227" s="50" t="s">
        <v>1210</v>
      </c>
      <c r="D227" s="50" t="s">
        <v>1211</v>
      </c>
      <c r="E227" s="50" t="str">
        <f t="shared" si="0"/>
        <v>PP0200270007001B</v>
      </c>
      <c r="F227" s="50"/>
      <c r="G227" s="50" t="s">
        <v>131</v>
      </c>
      <c r="H227" s="50" t="s">
        <v>95</v>
      </c>
      <c r="I227" s="50" t="s">
        <v>1212</v>
      </c>
      <c r="J227" s="50" t="s">
        <v>1213</v>
      </c>
      <c r="K227" s="50" t="s">
        <v>133</v>
      </c>
      <c r="L227" s="50" t="s">
        <v>1112</v>
      </c>
      <c r="M227" s="50"/>
      <c r="N227" s="52"/>
      <c r="O227" s="50" t="s">
        <v>151</v>
      </c>
      <c r="P227" s="50">
        <v>975</v>
      </c>
      <c r="Q227" s="53">
        <v>0</v>
      </c>
      <c r="R227" s="53">
        <f t="shared" si="60"/>
        <v>975</v>
      </c>
      <c r="S227" s="54">
        <v>2.29</v>
      </c>
      <c r="T227" s="54">
        <v>0</v>
      </c>
      <c r="U227" s="54">
        <f t="shared" si="72"/>
        <v>2.29</v>
      </c>
      <c r="V227" s="54">
        <v>190.26</v>
      </c>
      <c r="W227" s="52">
        <f t="shared" si="31"/>
        <v>8.4635416666666661</v>
      </c>
      <c r="X227" s="54">
        <f t="shared" si="73"/>
        <v>83.0829694323144</v>
      </c>
      <c r="Y227" s="50" t="str">
        <f t="shared" si="74"/>
        <v>è in grado</v>
      </c>
      <c r="Z227" s="50" t="str">
        <f t="shared" si="75"/>
        <v>non sottende</v>
      </c>
      <c r="AA227" s="106">
        <f t="shared" si="76"/>
        <v>22.479950769230769</v>
      </c>
      <c r="AB227" s="50" t="str">
        <f t="shared" si="77"/>
        <v>A</v>
      </c>
      <c r="AC227" s="50" t="str">
        <f t="shared" si="3"/>
        <v>SI</v>
      </c>
      <c r="AD227" s="50" t="str">
        <f t="shared" si="78"/>
        <v>Si</v>
      </c>
      <c r="AE227" s="50" t="s">
        <v>490</v>
      </c>
      <c r="AF227" s="55">
        <v>5.99</v>
      </c>
      <c r="AG227" s="55">
        <v>814</v>
      </c>
      <c r="AH227" s="55">
        <v>446</v>
      </c>
      <c r="AI227" s="55" t="str">
        <f t="shared" si="69"/>
        <v>Manufatto limitante</v>
      </c>
      <c r="AJ227" s="53">
        <v>84.23</v>
      </c>
      <c r="AK227" s="53">
        <f t="shared" si="70"/>
        <v>3.0362103763504691</v>
      </c>
      <c r="AL227" s="53">
        <f t="shared" si="71"/>
        <v>255.74</v>
      </c>
      <c r="AM227" s="50" t="s">
        <v>190</v>
      </c>
      <c r="AN227" s="56" t="s">
        <v>222</v>
      </c>
      <c r="AO227" s="57">
        <v>47383</v>
      </c>
      <c r="AP227" s="58" t="s">
        <v>1107</v>
      </c>
      <c r="AQ227" s="58" t="s">
        <v>1113</v>
      </c>
      <c r="AR227" s="58">
        <v>2041</v>
      </c>
      <c r="AS227" s="64" t="s">
        <v>1214</v>
      </c>
      <c r="AT227" s="50"/>
      <c r="AU227" s="1"/>
      <c r="AV227" s="1"/>
      <c r="AW227" s="1"/>
      <c r="AX227" s="1"/>
      <c r="AY227" s="1"/>
      <c r="AZ227" s="1"/>
      <c r="BA227" s="1"/>
      <c r="BB227" s="1"/>
      <c r="BC227" s="1"/>
      <c r="BD227" s="1"/>
      <c r="BE227" s="1"/>
      <c r="BF227" s="1"/>
      <c r="BG227" s="1"/>
    </row>
    <row r="228" spans="1:59" ht="14.25" customHeight="1" x14ac:dyDescent="0.25">
      <c r="A228" s="1"/>
      <c r="B228" s="50"/>
      <c r="C228" s="50" t="s">
        <v>1215</v>
      </c>
      <c r="D228" s="50" t="s">
        <v>1216</v>
      </c>
      <c r="E228" s="50" t="str">
        <f t="shared" si="0"/>
        <v>PP0200270008001B</v>
      </c>
      <c r="F228" s="50"/>
      <c r="G228" s="50" t="s">
        <v>131</v>
      </c>
      <c r="H228" s="50" t="s">
        <v>95</v>
      </c>
      <c r="I228" s="50" t="s">
        <v>1217</v>
      </c>
      <c r="J228" s="50" t="s">
        <v>1218</v>
      </c>
      <c r="K228" s="50" t="s">
        <v>133</v>
      </c>
      <c r="L228" s="50" t="s">
        <v>1112</v>
      </c>
      <c r="M228" s="50"/>
      <c r="N228" s="52"/>
      <c r="O228" s="50" t="s">
        <v>151</v>
      </c>
      <c r="P228" s="50">
        <v>499</v>
      </c>
      <c r="Q228" s="53">
        <v>0</v>
      </c>
      <c r="R228" s="53">
        <f t="shared" si="60"/>
        <v>499</v>
      </c>
      <c r="S228" s="54">
        <v>1.17</v>
      </c>
      <c r="T228" s="54">
        <v>0</v>
      </c>
      <c r="U228" s="54">
        <f t="shared" si="72"/>
        <v>1.17</v>
      </c>
      <c r="V228" s="54">
        <v>98.4</v>
      </c>
      <c r="W228" s="52">
        <f t="shared" si="31"/>
        <v>4.3315972222222223</v>
      </c>
      <c r="X228" s="54">
        <f t="shared" si="73"/>
        <v>84.102564102564116</v>
      </c>
      <c r="Y228" s="50" t="str">
        <f t="shared" si="74"/>
        <v>è in grado</v>
      </c>
      <c r="Z228" s="50" t="str">
        <f t="shared" si="75"/>
        <v>non sottende</v>
      </c>
      <c r="AA228" s="106">
        <f t="shared" si="76"/>
        <v>22.716793587174351</v>
      </c>
      <c r="AB228" s="50" t="str">
        <f t="shared" si="77"/>
        <v>A</v>
      </c>
      <c r="AC228" s="50" t="str">
        <f t="shared" si="3"/>
        <v>SI</v>
      </c>
      <c r="AD228" s="50" t="str">
        <f t="shared" si="78"/>
        <v>Si</v>
      </c>
      <c r="AE228" s="50" t="s">
        <v>490</v>
      </c>
      <c r="AF228" s="55">
        <v>14.96</v>
      </c>
      <c r="AG228" s="55">
        <v>1272</v>
      </c>
      <c r="AH228" s="55">
        <v>554</v>
      </c>
      <c r="AI228" s="55" t="str">
        <f t="shared" si="69"/>
        <v>Manufatto limitante</v>
      </c>
      <c r="AJ228" s="53">
        <v>67.38</v>
      </c>
      <c r="AK228" s="53">
        <f t="shared" si="70"/>
        <v>6.7616503413475817</v>
      </c>
      <c r="AL228" s="53">
        <f t="shared" si="71"/>
        <v>455.6</v>
      </c>
      <c r="AM228" s="50" t="s">
        <v>190</v>
      </c>
      <c r="AN228" s="56" t="s">
        <v>222</v>
      </c>
      <c r="AO228" s="57">
        <v>47383</v>
      </c>
      <c r="AP228" s="58" t="s">
        <v>1107</v>
      </c>
      <c r="AQ228" s="58" t="s">
        <v>1113</v>
      </c>
      <c r="AR228" s="58">
        <v>2041</v>
      </c>
      <c r="AS228" s="58" t="s">
        <v>1219</v>
      </c>
      <c r="AT228" s="50"/>
      <c r="AU228" s="1"/>
      <c r="AV228" s="1"/>
      <c r="AW228" s="1"/>
      <c r="AX228" s="1"/>
      <c r="AY228" s="1"/>
      <c r="AZ228" s="1"/>
      <c r="BA228" s="1"/>
      <c r="BB228" s="1"/>
      <c r="BC228" s="1"/>
      <c r="BD228" s="1"/>
      <c r="BE228" s="1"/>
      <c r="BF228" s="1"/>
      <c r="BG228" s="1"/>
    </row>
    <row r="229" spans="1:59" ht="14.25" customHeight="1" x14ac:dyDescent="0.25">
      <c r="A229" s="1"/>
      <c r="B229" s="50"/>
      <c r="C229" s="50" t="s">
        <v>1220</v>
      </c>
      <c r="D229" s="50"/>
      <c r="E229" s="50" t="str">
        <f t="shared" si="0"/>
        <v>001B</v>
      </c>
      <c r="F229" s="50"/>
      <c r="G229" s="50" t="s">
        <v>131</v>
      </c>
      <c r="H229" s="50" t="s">
        <v>1103</v>
      </c>
      <c r="I229" s="50" t="s">
        <v>1221</v>
      </c>
      <c r="J229" s="50" t="s">
        <v>1222</v>
      </c>
      <c r="K229" s="50" t="s">
        <v>133</v>
      </c>
      <c r="L229" s="50" t="s">
        <v>1204</v>
      </c>
      <c r="M229" s="51" t="s">
        <v>221</v>
      </c>
      <c r="N229" s="52"/>
      <c r="O229" s="50" t="s">
        <v>151</v>
      </c>
      <c r="P229" s="50">
        <v>10</v>
      </c>
      <c r="Q229" s="53">
        <v>0</v>
      </c>
      <c r="R229" s="53">
        <f t="shared" si="60"/>
        <v>10</v>
      </c>
      <c r="S229" s="54">
        <v>0.02</v>
      </c>
      <c r="T229" s="54">
        <v>0</v>
      </c>
      <c r="U229" s="54">
        <f t="shared" si="72"/>
        <v>0.02</v>
      </c>
      <c r="V229" s="54">
        <v>21.4</v>
      </c>
      <c r="W229" s="52">
        <f t="shared" si="31"/>
        <v>8.6805555555555552E-2</v>
      </c>
      <c r="X229" s="54">
        <f t="shared" si="73"/>
        <v>1070</v>
      </c>
      <c r="Y229" s="50" t="str">
        <f t="shared" si="74"/>
        <v>è in grado</v>
      </c>
      <c r="Z229" s="50" t="str">
        <f t="shared" si="75"/>
        <v>non sottende</v>
      </c>
      <c r="AA229" s="106">
        <f t="shared" si="76"/>
        <v>246.52799999999999</v>
      </c>
      <c r="AB229" s="50" t="str">
        <f t="shared" si="77"/>
        <v>A</v>
      </c>
      <c r="AC229" s="50" t="str">
        <f t="shared" si="3"/>
        <v>SI</v>
      </c>
      <c r="AD229" s="50" t="str">
        <f t="shared" si="78"/>
        <v>Si</v>
      </c>
      <c r="AE229" s="50" t="s">
        <v>490</v>
      </c>
      <c r="AF229" s="55">
        <v>0.22</v>
      </c>
      <c r="AG229" s="55">
        <v>32</v>
      </c>
      <c r="AH229" s="55">
        <v>57</v>
      </c>
      <c r="AI229" s="55" t="str">
        <f t="shared" si="69"/>
        <v xml:space="preserve"> </v>
      </c>
      <c r="AJ229" s="53">
        <v>93.63</v>
      </c>
      <c r="AK229" s="53">
        <f t="shared" si="70"/>
        <v>0.11321157748584858</v>
      </c>
      <c r="AL229" s="53">
        <f t="shared" si="71"/>
        <v>10.600000000000001</v>
      </c>
      <c r="AM229" s="50" t="s">
        <v>190</v>
      </c>
      <c r="AN229" s="56" t="s">
        <v>222</v>
      </c>
      <c r="AO229" s="57"/>
      <c r="AP229" s="58" t="s">
        <v>223</v>
      </c>
      <c r="AQ229" s="58" t="s">
        <v>224</v>
      </c>
      <c r="AR229" s="58" t="s">
        <v>225</v>
      </c>
      <c r="AS229" s="58" t="s">
        <v>92</v>
      </c>
      <c r="AT229" s="50" t="s">
        <v>92</v>
      </c>
      <c r="AU229" s="69"/>
      <c r="AV229" s="69"/>
      <c r="AW229" s="69"/>
      <c r="AX229" s="69"/>
      <c r="AY229" s="69"/>
      <c r="AZ229" s="69"/>
      <c r="BA229" s="69"/>
      <c r="BB229" s="69"/>
      <c r="BC229" s="69"/>
      <c r="BD229" s="69"/>
      <c r="BE229" s="69"/>
      <c r="BF229" s="1"/>
      <c r="BG229" s="1"/>
    </row>
    <row r="230" spans="1:59" ht="14.25" customHeight="1" x14ac:dyDescent="0.25">
      <c r="A230" s="1"/>
      <c r="B230" s="50"/>
      <c r="C230" s="70" t="s">
        <v>1223</v>
      </c>
      <c r="D230" s="50" t="s">
        <v>1224</v>
      </c>
      <c r="E230" s="50" t="str">
        <f t="shared" si="0"/>
        <v>PP0200270014001B</v>
      </c>
      <c r="F230" s="70" t="s">
        <v>1225</v>
      </c>
      <c r="G230" s="70" t="s">
        <v>131</v>
      </c>
      <c r="H230" s="70" t="s">
        <v>1129</v>
      </c>
      <c r="I230" s="70" t="s">
        <v>1226</v>
      </c>
      <c r="J230" s="50" t="s">
        <v>1227</v>
      </c>
      <c r="K230" s="70" t="s">
        <v>133</v>
      </c>
      <c r="L230" s="70" t="s">
        <v>1132</v>
      </c>
      <c r="M230" s="70"/>
      <c r="N230" s="72"/>
      <c r="O230" s="70" t="s">
        <v>151</v>
      </c>
      <c r="P230" s="70">
        <v>14</v>
      </c>
      <c r="Q230" s="73">
        <v>0</v>
      </c>
      <c r="R230" s="73">
        <f t="shared" si="60"/>
        <v>14</v>
      </c>
      <c r="S230" s="74">
        <v>0.03</v>
      </c>
      <c r="T230" s="74">
        <v>0</v>
      </c>
      <c r="U230" s="74">
        <f t="shared" si="72"/>
        <v>0.03</v>
      </c>
      <c r="V230" s="74">
        <v>24.2</v>
      </c>
      <c r="W230" s="52">
        <f t="shared" si="31"/>
        <v>0.12152777777777778</v>
      </c>
      <c r="X230" s="74">
        <f t="shared" si="73"/>
        <v>806.66666666666663</v>
      </c>
      <c r="Y230" s="70" t="str">
        <f t="shared" si="74"/>
        <v>è in grado</v>
      </c>
      <c r="Z230" s="70" t="str">
        <f t="shared" si="75"/>
        <v>non sottende</v>
      </c>
      <c r="AA230" s="112">
        <f t="shared" si="76"/>
        <v>199.13142857142856</v>
      </c>
      <c r="AB230" s="70" t="str">
        <f t="shared" si="77"/>
        <v>A</v>
      </c>
      <c r="AC230" s="50" t="str">
        <f t="shared" si="3"/>
        <v>SI</v>
      </c>
      <c r="AD230" s="70" t="str">
        <f t="shared" si="78"/>
        <v>Si</v>
      </c>
      <c r="AE230" s="70" t="s">
        <v>490</v>
      </c>
      <c r="AF230" s="71">
        <v>1.03</v>
      </c>
      <c r="AG230" s="71">
        <v>134</v>
      </c>
      <c r="AH230" s="71">
        <v>80</v>
      </c>
      <c r="AI230" s="55" t="str">
        <f t="shared" si="69"/>
        <v>Manufatto limitante</v>
      </c>
      <c r="AJ230" s="73">
        <v>150.29</v>
      </c>
      <c r="AK230" s="53">
        <f t="shared" si="70"/>
        <v>0.37128218777031075</v>
      </c>
      <c r="AL230" s="53">
        <f t="shared" si="71"/>
        <v>55.8</v>
      </c>
      <c r="AM230" s="70" t="s">
        <v>190</v>
      </c>
      <c r="AN230" s="56" t="s">
        <v>222</v>
      </c>
      <c r="AO230" s="57">
        <v>47383</v>
      </c>
      <c r="AP230" s="58" t="s">
        <v>1107</v>
      </c>
      <c r="AQ230" s="58" t="s">
        <v>1113</v>
      </c>
      <c r="AR230" s="107">
        <v>2041</v>
      </c>
      <c r="AS230" s="58" t="s">
        <v>1228</v>
      </c>
      <c r="AT230" s="50"/>
      <c r="AU230" s="1"/>
      <c r="AV230" s="1"/>
      <c r="AW230" s="1"/>
      <c r="AX230" s="1"/>
      <c r="AY230" s="1"/>
      <c r="AZ230" s="1"/>
      <c r="BA230" s="1"/>
      <c r="BB230" s="1"/>
      <c r="BC230" s="1"/>
      <c r="BD230" s="1"/>
      <c r="BE230" s="1"/>
      <c r="BF230" s="1"/>
      <c r="BG230" s="1"/>
    </row>
    <row r="231" spans="1:59" ht="14.25" customHeight="1" x14ac:dyDescent="0.25">
      <c r="A231" s="1"/>
      <c r="B231" s="50"/>
      <c r="C231" s="50" t="s">
        <v>1229</v>
      </c>
      <c r="D231" s="50" t="s">
        <v>1230</v>
      </c>
      <c r="E231" s="50" t="str">
        <f t="shared" si="0"/>
        <v>PP0200270011001B</v>
      </c>
      <c r="F231" s="50"/>
      <c r="G231" s="50" t="s">
        <v>131</v>
      </c>
      <c r="H231" s="50" t="s">
        <v>95</v>
      </c>
      <c r="I231" s="50" t="s">
        <v>1231</v>
      </c>
      <c r="J231" s="50" t="s">
        <v>1232</v>
      </c>
      <c r="K231" s="50" t="s">
        <v>133</v>
      </c>
      <c r="L231" s="50" t="s">
        <v>1112</v>
      </c>
      <c r="M231" s="50"/>
      <c r="N231" s="52"/>
      <c r="O231" s="50" t="s">
        <v>151</v>
      </c>
      <c r="P231" s="50">
        <v>6076</v>
      </c>
      <c r="Q231" s="53">
        <v>15</v>
      </c>
      <c r="R231" s="53">
        <f t="shared" si="60"/>
        <v>6091</v>
      </c>
      <c r="S231" s="54">
        <v>14.29</v>
      </c>
      <c r="T231" s="54">
        <v>0.81</v>
      </c>
      <c r="U231" s="54">
        <f t="shared" si="72"/>
        <v>15.1</v>
      </c>
      <c r="V231" s="54">
        <v>594.58000000000004</v>
      </c>
      <c r="W231" s="52">
        <f t="shared" si="31"/>
        <v>52.873263888888886</v>
      </c>
      <c r="X231" s="54">
        <f t="shared" si="73"/>
        <v>39.376158940397353</v>
      </c>
      <c r="Y231" s="50" t="str">
        <f t="shared" si="74"/>
        <v>è in grado</v>
      </c>
      <c r="Z231" s="50" t="str">
        <f t="shared" si="75"/>
        <v>non sottende</v>
      </c>
      <c r="AA231" s="106">
        <f t="shared" si="76"/>
        <v>11.245381054014121</v>
      </c>
      <c r="AB231" s="50" t="str">
        <f t="shared" si="77"/>
        <v>A</v>
      </c>
      <c r="AC231" s="50" t="str">
        <f t="shared" si="3"/>
        <v>SI</v>
      </c>
      <c r="AD231" s="50" t="str">
        <f t="shared" si="78"/>
        <v>Si</v>
      </c>
      <c r="AE231" s="50" t="s">
        <v>490</v>
      </c>
      <c r="AF231" s="55">
        <v>3.31</v>
      </c>
      <c r="AG231" s="55">
        <v>513</v>
      </c>
      <c r="AH231" s="55">
        <v>648</v>
      </c>
      <c r="AI231" s="55" t="str">
        <f t="shared" si="69"/>
        <v xml:space="preserve"> </v>
      </c>
      <c r="AJ231" s="53">
        <v>0</v>
      </c>
      <c r="AK231" s="53" t="e">
        <f t="shared" si="70"/>
        <v>#DIV/0!</v>
      </c>
      <c r="AL231" s="53">
        <f t="shared" si="71"/>
        <v>-81.580000000000041</v>
      </c>
      <c r="AM231" s="50" t="s">
        <v>490</v>
      </c>
      <c r="AN231" s="56" t="s">
        <v>222</v>
      </c>
      <c r="AO231" s="57">
        <v>47383</v>
      </c>
      <c r="AP231" s="58" t="s">
        <v>1107</v>
      </c>
      <c r="AQ231" s="58" t="s">
        <v>1113</v>
      </c>
      <c r="AR231" s="107">
        <v>2041</v>
      </c>
      <c r="AS231" s="58" t="s">
        <v>1233</v>
      </c>
      <c r="AT231" s="50"/>
      <c r="AU231" s="1"/>
      <c r="AV231" s="1"/>
      <c r="AW231" s="1"/>
      <c r="AX231" s="1"/>
      <c r="AY231" s="1"/>
      <c r="AZ231" s="1"/>
      <c r="BA231" s="1"/>
      <c r="BB231" s="1"/>
      <c r="BC231" s="1"/>
      <c r="BD231" s="1"/>
      <c r="BE231" s="1"/>
      <c r="BF231" s="1"/>
      <c r="BG231" s="1"/>
    </row>
    <row r="232" spans="1:59" ht="14.25" customHeight="1" x14ac:dyDescent="0.25">
      <c r="A232" s="1"/>
      <c r="B232" s="50"/>
      <c r="C232" s="50" t="s">
        <v>1234</v>
      </c>
      <c r="D232" s="50"/>
      <c r="E232" s="50" t="str">
        <f t="shared" si="0"/>
        <v>001B</v>
      </c>
      <c r="F232" s="50"/>
      <c r="G232" s="50" t="s">
        <v>131</v>
      </c>
      <c r="H232" s="50" t="s">
        <v>1103</v>
      </c>
      <c r="I232" s="50" t="s">
        <v>1235</v>
      </c>
      <c r="J232" s="50" t="s">
        <v>1236</v>
      </c>
      <c r="K232" s="50" t="s">
        <v>133</v>
      </c>
      <c r="L232" s="50" t="s">
        <v>1204</v>
      </c>
      <c r="M232" s="51" t="s">
        <v>221</v>
      </c>
      <c r="N232" s="52"/>
      <c r="O232" s="50" t="s">
        <v>151</v>
      </c>
      <c r="P232" s="50">
        <v>33</v>
      </c>
      <c r="Q232" s="53">
        <v>0</v>
      </c>
      <c r="R232" s="53">
        <f t="shared" si="60"/>
        <v>33</v>
      </c>
      <c r="S232" s="54">
        <v>0.08</v>
      </c>
      <c r="T232" s="54">
        <v>0</v>
      </c>
      <c r="U232" s="54">
        <f t="shared" si="72"/>
        <v>0.08</v>
      </c>
      <c r="V232" s="54">
        <v>20.57</v>
      </c>
      <c r="W232" s="52">
        <f t="shared" si="31"/>
        <v>0.28645833333333331</v>
      </c>
      <c r="X232" s="54">
        <f t="shared" si="73"/>
        <v>257.125</v>
      </c>
      <c r="Y232" s="50" t="str">
        <f t="shared" si="74"/>
        <v>è in grado</v>
      </c>
      <c r="Z232" s="50" t="str">
        <f t="shared" si="75"/>
        <v>non sottende</v>
      </c>
      <c r="AA232" s="106">
        <f t="shared" si="76"/>
        <v>71.808000000000007</v>
      </c>
      <c r="AB232" s="50" t="str">
        <f t="shared" si="77"/>
        <v>A</v>
      </c>
      <c r="AC232" s="50" t="str">
        <f t="shared" si="3"/>
        <v>SI</v>
      </c>
      <c r="AD232" s="50" t="str">
        <f t="shared" si="78"/>
        <v>Si</v>
      </c>
      <c r="AE232" s="50" t="s">
        <v>490</v>
      </c>
      <c r="AF232" s="55">
        <v>1.17</v>
      </c>
      <c r="AG232" s="55">
        <v>151</v>
      </c>
      <c r="AH232" s="55">
        <v>64</v>
      </c>
      <c r="AI232" s="55" t="str">
        <f t="shared" si="69"/>
        <v>Manufatto limitante</v>
      </c>
      <c r="AJ232" s="53">
        <v>78.39</v>
      </c>
      <c r="AK232" s="53">
        <f t="shared" si="70"/>
        <v>0.55402474805459878</v>
      </c>
      <c r="AL232" s="53">
        <f t="shared" si="71"/>
        <v>43.43</v>
      </c>
      <c r="AM232" s="50" t="s">
        <v>190</v>
      </c>
      <c r="AN232" s="56" t="s">
        <v>222</v>
      </c>
      <c r="AO232" s="57"/>
      <c r="AP232" s="58" t="s">
        <v>223</v>
      </c>
      <c r="AQ232" s="58" t="s">
        <v>224</v>
      </c>
      <c r="AR232" s="58" t="s">
        <v>225</v>
      </c>
      <c r="AS232" s="58" t="s">
        <v>92</v>
      </c>
      <c r="AT232" s="50" t="s">
        <v>92</v>
      </c>
      <c r="AU232" s="1"/>
      <c r="AV232" s="1"/>
      <c r="AW232" s="1"/>
      <c r="AX232" s="1"/>
      <c r="AY232" s="1"/>
      <c r="AZ232" s="1"/>
      <c r="BA232" s="1"/>
      <c r="BB232" s="1"/>
      <c r="BC232" s="1"/>
      <c r="BD232" s="1"/>
      <c r="BE232" s="1"/>
      <c r="BF232" s="1"/>
      <c r="BG232" s="1"/>
    </row>
    <row r="233" spans="1:59" ht="14.25" customHeight="1" x14ac:dyDescent="0.25">
      <c r="A233" s="1"/>
      <c r="B233" s="50"/>
      <c r="C233" s="50" t="s">
        <v>1237</v>
      </c>
      <c r="D233" s="50" t="s">
        <v>1238</v>
      </c>
      <c r="E233" s="50" t="str">
        <f t="shared" si="0"/>
        <v>PP0200270021001B</v>
      </c>
      <c r="F233" s="50"/>
      <c r="G233" s="50" t="s">
        <v>131</v>
      </c>
      <c r="H233" s="50" t="s">
        <v>95</v>
      </c>
      <c r="I233" s="50" t="s">
        <v>1239</v>
      </c>
      <c r="J233" s="50" t="s">
        <v>1240</v>
      </c>
      <c r="K233" s="50" t="s">
        <v>133</v>
      </c>
      <c r="L233" s="50" t="s">
        <v>1241</v>
      </c>
      <c r="M233" s="50"/>
      <c r="N233" s="52"/>
      <c r="O233" s="50" t="s">
        <v>151</v>
      </c>
      <c r="P233" s="50">
        <v>163</v>
      </c>
      <c r="Q233" s="53">
        <v>0</v>
      </c>
      <c r="R233" s="53">
        <f t="shared" si="60"/>
        <v>163</v>
      </c>
      <c r="S233" s="54">
        <v>0.38</v>
      </c>
      <c r="T233" s="54">
        <v>0</v>
      </c>
      <c r="U233" s="54">
        <f t="shared" si="72"/>
        <v>0.38</v>
      </c>
      <c r="V233" s="54">
        <v>61.75</v>
      </c>
      <c r="W233" s="52">
        <f t="shared" si="31"/>
        <v>1.4149305555555556</v>
      </c>
      <c r="X233" s="54">
        <f t="shared" si="73"/>
        <v>162.5</v>
      </c>
      <c r="Y233" s="50" t="str">
        <f t="shared" si="74"/>
        <v>è in grado</v>
      </c>
      <c r="Z233" s="50" t="str">
        <f t="shared" si="75"/>
        <v>non sottende</v>
      </c>
      <c r="AA233" s="106">
        <f t="shared" si="76"/>
        <v>43.64171779141104</v>
      </c>
      <c r="AB233" s="50" t="str">
        <f t="shared" si="77"/>
        <v>A</v>
      </c>
      <c r="AC233" s="50" t="str">
        <f t="shared" si="3"/>
        <v>SI</v>
      </c>
      <c r="AD233" s="50" t="str">
        <f t="shared" si="78"/>
        <v>Si</v>
      </c>
      <c r="AE233" s="50" t="s">
        <v>490</v>
      </c>
      <c r="AF233" s="55">
        <v>3.89</v>
      </c>
      <c r="AG233" s="55">
        <v>422</v>
      </c>
      <c r="AH233" s="55">
        <v>361</v>
      </c>
      <c r="AI233" s="55" t="str">
        <f t="shared" si="69"/>
        <v>Manufatto limitante</v>
      </c>
      <c r="AJ233" s="53">
        <v>153.82</v>
      </c>
      <c r="AK233" s="53">
        <f t="shared" si="70"/>
        <v>1.9454557274736706</v>
      </c>
      <c r="AL233" s="53">
        <f t="shared" si="71"/>
        <v>299.25</v>
      </c>
      <c r="AM233" s="50" t="s">
        <v>190</v>
      </c>
      <c r="AN233" s="56" t="s">
        <v>222</v>
      </c>
      <c r="AO233" s="57">
        <v>47383</v>
      </c>
      <c r="AP233" s="58" t="s">
        <v>1107</v>
      </c>
      <c r="AQ233" s="58" t="s">
        <v>255</v>
      </c>
      <c r="AR233" s="58" t="s">
        <v>225</v>
      </c>
      <c r="AS233" s="58" t="s">
        <v>92</v>
      </c>
      <c r="AT233" s="50" t="s">
        <v>92</v>
      </c>
      <c r="AU233" s="1"/>
      <c r="AV233" s="1"/>
      <c r="AW233" s="1"/>
      <c r="AX233" s="1"/>
      <c r="AY233" s="1"/>
      <c r="AZ233" s="1"/>
      <c r="BA233" s="1"/>
      <c r="BB233" s="1"/>
      <c r="BC233" s="1"/>
      <c r="BD233" s="1"/>
      <c r="BE233" s="1"/>
      <c r="BF233" s="1"/>
      <c r="BG233" s="1"/>
    </row>
    <row r="234" spans="1:59" ht="14.25" customHeight="1" x14ac:dyDescent="0.25">
      <c r="A234" s="1"/>
      <c r="B234" s="50"/>
      <c r="C234" s="50" t="s">
        <v>1242</v>
      </c>
      <c r="D234" s="50" t="s">
        <v>1243</v>
      </c>
      <c r="E234" s="50" t="str">
        <f t="shared" si="0"/>
        <v>PP0200270004001B</v>
      </c>
      <c r="F234" s="50"/>
      <c r="G234" s="50" t="s">
        <v>131</v>
      </c>
      <c r="H234" s="50" t="s">
        <v>95</v>
      </c>
      <c r="I234" s="50" t="s">
        <v>1244</v>
      </c>
      <c r="J234" s="50" t="s">
        <v>1245</v>
      </c>
      <c r="K234" s="50" t="s">
        <v>133</v>
      </c>
      <c r="L234" s="50" t="s">
        <v>1112</v>
      </c>
      <c r="M234" s="50"/>
      <c r="N234" s="52"/>
      <c r="O234" s="50" t="s">
        <v>151</v>
      </c>
      <c r="P234" s="50">
        <v>3183</v>
      </c>
      <c r="Q234" s="53">
        <v>12</v>
      </c>
      <c r="R234" s="53">
        <f t="shared" si="60"/>
        <v>3195</v>
      </c>
      <c r="S234" s="54">
        <v>7.49</v>
      </c>
      <c r="T234" s="54">
        <v>0.57999999999999996</v>
      </c>
      <c r="U234" s="54">
        <f t="shared" si="72"/>
        <v>8.07</v>
      </c>
      <c r="V234" s="54">
        <v>38.5</v>
      </c>
      <c r="W234" s="52">
        <f t="shared" si="31"/>
        <v>27.734375</v>
      </c>
      <c r="X234" s="54">
        <f t="shared" si="73"/>
        <v>4.7707558859975219</v>
      </c>
      <c r="Y234" s="50" t="str">
        <f t="shared" si="74"/>
        <v>è in grado</v>
      </c>
      <c r="Z234" s="50" t="str">
        <f t="shared" si="75"/>
        <v>non sottende</v>
      </c>
      <c r="AA234" s="106">
        <f t="shared" si="76"/>
        <v>1.3881690140845071</v>
      </c>
      <c r="AB234" s="50" t="str">
        <f t="shared" si="77"/>
        <v>B</v>
      </c>
      <c r="AC234" s="50" t="str">
        <f t="shared" si="3"/>
        <v>SI</v>
      </c>
      <c r="AD234" s="50" t="str">
        <f t="shared" si="78"/>
        <v>Si</v>
      </c>
      <c r="AE234" s="50" t="s">
        <v>1119</v>
      </c>
      <c r="AF234" s="55">
        <v>13.24</v>
      </c>
      <c r="AG234" s="55">
        <v>1634</v>
      </c>
      <c r="AH234" s="55">
        <v>863</v>
      </c>
      <c r="AI234" s="55" t="str">
        <f t="shared" si="69"/>
        <v>Manufatto limitante</v>
      </c>
      <c r="AJ234" s="53">
        <v>135.63999999999999</v>
      </c>
      <c r="AK234" s="53">
        <f t="shared" si="70"/>
        <v>6.078590386316721</v>
      </c>
      <c r="AL234" s="53">
        <f t="shared" si="71"/>
        <v>824.5</v>
      </c>
      <c r="AM234" s="50" t="s">
        <v>190</v>
      </c>
      <c r="AN234" s="56" t="s">
        <v>236</v>
      </c>
      <c r="AO234" s="57">
        <v>47383</v>
      </c>
      <c r="AP234" s="58" t="s">
        <v>1107</v>
      </c>
      <c r="AQ234" s="58" t="s">
        <v>1113</v>
      </c>
      <c r="AR234" s="58">
        <v>2041</v>
      </c>
      <c r="AS234" s="64" t="s">
        <v>1246</v>
      </c>
      <c r="AT234" s="50"/>
      <c r="AU234" s="69"/>
      <c r="AV234" s="69"/>
      <c r="AW234" s="69"/>
      <c r="AX234" s="69"/>
      <c r="AY234" s="69"/>
      <c r="AZ234" s="69"/>
      <c r="BA234" s="69"/>
      <c r="BB234" s="69"/>
      <c r="BC234" s="69"/>
      <c r="BD234" s="69"/>
      <c r="BE234" s="69"/>
      <c r="BF234" s="1"/>
      <c r="BG234" s="1"/>
    </row>
    <row r="235" spans="1:59" ht="14.25" customHeight="1" x14ac:dyDescent="0.25">
      <c r="A235" s="1"/>
      <c r="B235" s="50"/>
      <c r="C235" s="121" t="s">
        <v>1247</v>
      </c>
      <c r="D235" s="50"/>
      <c r="E235" s="50" t="str">
        <f t="shared" si="0"/>
        <v>001B</v>
      </c>
      <c r="F235" s="121"/>
      <c r="G235" s="121" t="s">
        <v>131</v>
      </c>
      <c r="H235" s="121" t="s">
        <v>1103</v>
      </c>
      <c r="I235" s="1" t="s">
        <v>1248</v>
      </c>
      <c r="J235" s="50" t="s">
        <v>1249</v>
      </c>
      <c r="K235" s="70" t="s">
        <v>133</v>
      </c>
      <c r="L235" s="70" t="s">
        <v>1204</v>
      </c>
      <c r="M235" s="122" t="s">
        <v>221</v>
      </c>
      <c r="N235" s="123"/>
      <c r="O235" s="121" t="s">
        <v>151</v>
      </c>
      <c r="P235" s="121">
        <v>104</v>
      </c>
      <c r="Q235" s="124">
        <v>0</v>
      </c>
      <c r="R235" s="124">
        <f t="shared" si="60"/>
        <v>104</v>
      </c>
      <c r="S235" s="125">
        <v>0.25</v>
      </c>
      <c r="T235" s="125">
        <v>0</v>
      </c>
      <c r="U235" s="125">
        <f t="shared" si="72"/>
        <v>0.25</v>
      </c>
      <c r="V235" s="125">
        <v>22.49</v>
      </c>
      <c r="W235" s="52">
        <f t="shared" si="31"/>
        <v>0.90277777777777779</v>
      </c>
      <c r="X235" s="125">
        <f t="shared" si="73"/>
        <v>89.96</v>
      </c>
      <c r="Y235" s="121" t="str">
        <f t="shared" si="74"/>
        <v>è in grado</v>
      </c>
      <c r="Z235" s="121" t="str">
        <f t="shared" si="75"/>
        <v>non sottende</v>
      </c>
      <c r="AA235" s="126">
        <f t="shared" si="76"/>
        <v>24.911999999999999</v>
      </c>
      <c r="AB235" s="121" t="str">
        <f t="shared" si="77"/>
        <v>A</v>
      </c>
      <c r="AC235" s="50" t="str">
        <f t="shared" si="3"/>
        <v>SI</v>
      </c>
      <c r="AD235" s="121" t="str">
        <f t="shared" si="78"/>
        <v>Si</v>
      </c>
      <c r="AE235" s="121" t="s">
        <v>490</v>
      </c>
      <c r="AF235" s="127">
        <v>1.49</v>
      </c>
      <c r="AG235" s="127">
        <v>219</v>
      </c>
      <c r="AH235" s="127">
        <v>122</v>
      </c>
      <c r="AI235" s="55" t="str">
        <f t="shared" si="69"/>
        <v>Manufatto limitante</v>
      </c>
      <c r="AJ235" s="124">
        <v>133.59</v>
      </c>
      <c r="AK235" s="53">
        <f t="shared" si="70"/>
        <v>0.74489108466202558</v>
      </c>
      <c r="AL235" s="53">
        <f t="shared" si="71"/>
        <v>99.51</v>
      </c>
      <c r="AM235" s="121" t="s">
        <v>190</v>
      </c>
      <c r="AN235" s="56" t="s">
        <v>222</v>
      </c>
      <c r="AO235" s="57"/>
      <c r="AP235" s="58" t="s">
        <v>223</v>
      </c>
      <c r="AQ235" s="58" t="s">
        <v>224</v>
      </c>
      <c r="AR235" s="58" t="s">
        <v>225</v>
      </c>
      <c r="AS235" s="58" t="s">
        <v>92</v>
      </c>
      <c r="AT235" s="50" t="s">
        <v>92</v>
      </c>
      <c r="AU235" s="1"/>
      <c r="AV235" s="1"/>
      <c r="AW235" s="1"/>
      <c r="AX235" s="1"/>
      <c r="AY235" s="1"/>
      <c r="AZ235" s="1"/>
      <c r="BA235" s="1"/>
      <c r="BB235" s="1"/>
      <c r="BC235" s="1"/>
      <c r="BD235" s="1"/>
      <c r="BE235" s="1"/>
      <c r="BF235" s="1"/>
      <c r="BG235" s="1"/>
    </row>
    <row r="236" spans="1:59" ht="14.25" customHeight="1" x14ac:dyDescent="0.25">
      <c r="A236" s="1"/>
      <c r="B236" s="50"/>
      <c r="C236" s="50" t="s">
        <v>1250</v>
      </c>
      <c r="D236" s="50" t="s">
        <v>1251</v>
      </c>
      <c r="E236" s="50" t="str">
        <f t="shared" si="0"/>
        <v>PP0200250007001B</v>
      </c>
      <c r="F236" s="50" t="s">
        <v>1252</v>
      </c>
      <c r="G236" s="128" t="s">
        <v>135</v>
      </c>
      <c r="H236" s="50" t="s">
        <v>95</v>
      </c>
      <c r="I236" s="50" t="s">
        <v>1253</v>
      </c>
      <c r="J236" s="50" t="s">
        <v>1254</v>
      </c>
      <c r="K236" s="50" t="s">
        <v>135</v>
      </c>
      <c r="L236" s="50" t="s">
        <v>1255</v>
      </c>
      <c r="M236" s="50"/>
      <c r="N236" s="52"/>
      <c r="O236" s="121" t="s">
        <v>151</v>
      </c>
      <c r="P236" s="50">
        <v>524</v>
      </c>
      <c r="Q236" s="53">
        <v>13</v>
      </c>
      <c r="R236" s="53">
        <f t="shared" si="60"/>
        <v>537</v>
      </c>
      <c r="S236" s="54">
        <v>1.23</v>
      </c>
      <c r="T236" s="54">
        <v>0.09</v>
      </c>
      <c r="U236" s="54">
        <f t="shared" si="72"/>
        <v>1.32</v>
      </c>
      <c r="V236" s="54">
        <v>77.28</v>
      </c>
      <c r="W236" s="52">
        <f t="shared" si="31"/>
        <v>4.661458333333333</v>
      </c>
      <c r="X236" s="54">
        <f t="shared" si="73"/>
        <v>58.545454545454547</v>
      </c>
      <c r="Y236" s="50" t="str">
        <f t="shared" si="74"/>
        <v>è in grado</v>
      </c>
      <c r="Z236" s="50" t="str">
        <f t="shared" si="75"/>
        <v>non sottende</v>
      </c>
      <c r="AA236" s="106">
        <f t="shared" si="76"/>
        <v>16.578502793296092</v>
      </c>
      <c r="AB236" s="50" t="str">
        <f t="shared" si="77"/>
        <v>A</v>
      </c>
      <c r="AC236" s="50" t="str">
        <f t="shared" si="3"/>
        <v>SI</v>
      </c>
      <c r="AD236" s="50" t="str">
        <f t="shared" si="78"/>
        <v>Si</v>
      </c>
      <c r="AE236" s="50"/>
      <c r="AF236" s="55"/>
      <c r="AG236" s="55"/>
      <c r="AH236" s="55"/>
      <c r="AI236" s="55" t="str">
        <f t="shared" si="69"/>
        <v xml:space="preserve"> </v>
      </c>
      <c r="AJ236" s="53"/>
      <c r="AK236" s="53" t="e">
        <f t="shared" si="70"/>
        <v>#DIV/0!</v>
      </c>
      <c r="AL236" s="53">
        <f t="shared" si="71"/>
        <v>-77.28</v>
      </c>
      <c r="AM236" s="50"/>
      <c r="AN236" s="56" t="s">
        <v>222</v>
      </c>
      <c r="AO236" s="57">
        <v>46276</v>
      </c>
      <c r="AP236" s="58" t="s">
        <v>1256</v>
      </c>
      <c r="AQ236" s="58" t="s">
        <v>445</v>
      </c>
      <c r="AR236" s="75">
        <v>51501</v>
      </c>
      <c r="AS236" s="58" t="s">
        <v>1257</v>
      </c>
      <c r="AT236" s="50"/>
      <c r="AU236" s="1"/>
      <c r="AV236" s="1"/>
      <c r="AW236" s="1"/>
      <c r="AX236" s="1"/>
      <c r="AY236" s="1"/>
      <c r="AZ236" s="1"/>
      <c r="BA236" s="1"/>
      <c r="BB236" s="1"/>
      <c r="BC236" s="1"/>
      <c r="BD236" s="1"/>
      <c r="BE236" s="1"/>
      <c r="BF236" s="1"/>
      <c r="BG236" s="1"/>
    </row>
    <row r="237" spans="1:59" ht="14.25" customHeight="1" x14ac:dyDescent="0.25">
      <c r="A237" s="1"/>
      <c r="B237" s="50"/>
      <c r="C237" s="50" t="s">
        <v>1258</v>
      </c>
      <c r="D237" s="50" t="s">
        <v>1259</v>
      </c>
      <c r="E237" s="50" t="str">
        <f t="shared" si="0"/>
        <v>PP0200250010001B</v>
      </c>
      <c r="F237" s="50" t="s">
        <v>1260</v>
      </c>
      <c r="G237" s="128" t="s">
        <v>135</v>
      </c>
      <c r="H237" s="50" t="s">
        <v>95</v>
      </c>
      <c r="I237" s="50" t="s">
        <v>1261</v>
      </c>
      <c r="J237" s="50" t="s">
        <v>1262</v>
      </c>
      <c r="K237" s="50" t="s">
        <v>135</v>
      </c>
      <c r="L237" s="50" t="s">
        <v>1255</v>
      </c>
      <c r="M237" s="50"/>
      <c r="N237" s="52"/>
      <c r="O237" s="50" t="s">
        <v>118</v>
      </c>
      <c r="P237" s="50">
        <v>1032</v>
      </c>
      <c r="Q237" s="53">
        <v>13</v>
      </c>
      <c r="R237" s="53">
        <f t="shared" si="60"/>
        <v>1045</v>
      </c>
      <c r="S237" s="54">
        <v>2.4300000000000002</v>
      </c>
      <c r="T237" s="54">
        <v>0.09</v>
      </c>
      <c r="U237" s="54">
        <f t="shared" si="72"/>
        <v>2.52</v>
      </c>
      <c r="V237" s="54">
        <v>13.5</v>
      </c>
      <c r="W237" s="52">
        <f t="shared" si="31"/>
        <v>9.0711805555555554</v>
      </c>
      <c r="X237" s="54">
        <f t="shared" si="73"/>
        <v>5.3571428571428568</v>
      </c>
      <c r="Y237" s="50" t="str">
        <f t="shared" si="74"/>
        <v>è in grado</v>
      </c>
      <c r="Z237" s="50" t="str">
        <f t="shared" si="75"/>
        <v>non sottende</v>
      </c>
      <c r="AA237" s="106">
        <f t="shared" si="76"/>
        <v>1.4882296650717703</v>
      </c>
      <c r="AB237" s="50" t="str">
        <f t="shared" si="77"/>
        <v>B</v>
      </c>
      <c r="AC237" s="50" t="str">
        <f t="shared" si="3"/>
        <v>SI</v>
      </c>
      <c r="AD237" s="50" t="str">
        <f t="shared" si="78"/>
        <v>No</v>
      </c>
      <c r="AE237" s="50"/>
      <c r="AF237" s="55"/>
      <c r="AG237" s="55"/>
      <c r="AH237" s="55"/>
      <c r="AI237" s="55" t="str">
        <f t="shared" si="69"/>
        <v xml:space="preserve"> </v>
      </c>
      <c r="AJ237" s="53"/>
      <c r="AK237" s="53" t="e">
        <f t="shared" si="70"/>
        <v>#DIV/0!</v>
      </c>
      <c r="AL237" s="53">
        <f t="shared" si="71"/>
        <v>-13.5</v>
      </c>
      <c r="AM237" s="50"/>
      <c r="AN237" s="56" t="s">
        <v>236</v>
      </c>
      <c r="AO237" s="57">
        <v>46276</v>
      </c>
      <c r="AP237" s="58" t="s">
        <v>1256</v>
      </c>
      <c r="AQ237" s="58" t="s">
        <v>445</v>
      </c>
      <c r="AR237" s="75">
        <v>51501</v>
      </c>
      <c r="AS237" s="58" t="s">
        <v>1257</v>
      </c>
      <c r="AT237" s="50"/>
      <c r="AU237" s="1"/>
      <c r="AV237" s="1"/>
      <c r="AW237" s="1"/>
      <c r="AX237" s="1"/>
      <c r="AY237" s="1"/>
      <c r="AZ237" s="1"/>
      <c r="BA237" s="1"/>
      <c r="BB237" s="1"/>
      <c r="BC237" s="1"/>
      <c r="BD237" s="1"/>
      <c r="BE237" s="1"/>
      <c r="BF237" s="1"/>
      <c r="BG237" s="1"/>
    </row>
    <row r="238" spans="1:59" ht="14.25" customHeight="1" x14ac:dyDescent="0.25">
      <c r="A238" s="1"/>
      <c r="B238" s="50"/>
      <c r="C238" s="50" t="s">
        <v>1263</v>
      </c>
      <c r="D238" s="50" t="s">
        <v>1264</v>
      </c>
      <c r="E238" s="50" t="str">
        <f t="shared" si="0"/>
        <v>PP0200250004001B</v>
      </c>
      <c r="F238" s="50" t="s">
        <v>1265</v>
      </c>
      <c r="G238" s="128" t="s">
        <v>135</v>
      </c>
      <c r="H238" s="50" t="s">
        <v>1266</v>
      </c>
      <c r="I238" s="50" t="s">
        <v>1267</v>
      </c>
      <c r="J238" s="50" t="s">
        <v>1268</v>
      </c>
      <c r="K238" s="50" t="s">
        <v>135</v>
      </c>
      <c r="L238" s="50" t="s">
        <v>1269</v>
      </c>
      <c r="M238" s="50"/>
      <c r="N238" s="52"/>
      <c r="O238" s="50" t="s">
        <v>159</v>
      </c>
      <c r="P238" s="50">
        <v>81</v>
      </c>
      <c r="Q238" s="53">
        <v>0</v>
      </c>
      <c r="R238" s="53">
        <f t="shared" si="60"/>
        <v>81</v>
      </c>
      <c r="S238" s="54">
        <v>0.19</v>
      </c>
      <c r="T238" s="54">
        <v>0</v>
      </c>
      <c r="U238" s="54">
        <f t="shared" si="72"/>
        <v>0.19</v>
      </c>
      <c r="V238" s="54">
        <v>8</v>
      </c>
      <c r="W238" s="52">
        <f t="shared" si="31"/>
        <v>0.703125</v>
      </c>
      <c r="X238" s="54">
        <f t="shared" si="73"/>
        <v>42.10526315789474</v>
      </c>
      <c r="Y238" s="50" t="str">
        <f t="shared" si="74"/>
        <v>è in grado</v>
      </c>
      <c r="Z238" s="50" t="str">
        <f t="shared" si="75"/>
        <v>non sottende</v>
      </c>
      <c r="AA238" s="106">
        <f t="shared" si="76"/>
        <v>11.377777777777778</v>
      </c>
      <c r="AB238" s="50" t="str">
        <f t="shared" si="77"/>
        <v>A</v>
      </c>
      <c r="AC238" s="50" t="str">
        <f t="shared" si="3"/>
        <v>SI</v>
      </c>
      <c r="AD238" s="50" t="str">
        <f t="shared" si="78"/>
        <v>No</v>
      </c>
      <c r="AE238" s="50"/>
      <c r="AF238" s="55"/>
      <c r="AG238" s="55"/>
      <c r="AH238" s="55"/>
      <c r="AI238" s="55" t="str">
        <f t="shared" si="69"/>
        <v xml:space="preserve"> </v>
      </c>
      <c r="AJ238" s="53"/>
      <c r="AK238" s="53" t="e">
        <f t="shared" si="70"/>
        <v>#DIV/0!</v>
      </c>
      <c r="AL238" s="53">
        <f t="shared" si="71"/>
        <v>-8</v>
      </c>
      <c r="AM238" s="50"/>
      <c r="AN238" s="56" t="s">
        <v>222</v>
      </c>
      <c r="AO238" s="57">
        <v>46276</v>
      </c>
      <c r="AP238" s="58" t="s">
        <v>1256</v>
      </c>
      <c r="AQ238" s="58" t="s">
        <v>445</v>
      </c>
      <c r="AR238" s="58" t="s">
        <v>225</v>
      </c>
      <c r="AS238" s="58" t="s">
        <v>1270</v>
      </c>
      <c r="AT238" s="50" t="s">
        <v>1271</v>
      </c>
      <c r="AU238" s="1"/>
      <c r="AV238" s="1"/>
      <c r="AW238" s="1"/>
      <c r="AX238" s="1"/>
      <c r="AY238" s="1"/>
      <c r="AZ238" s="1"/>
      <c r="BA238" s="1"/>
      <c r="BB238" s="1"/>
      <c r="BC238" s="1"/>
      <c r="BD238" s="1"/>
      <c r="BE238" s="1"/>
      <c r="BF238" s="1"/>
      <c r="BG238" s="1"/>
    </row>
    <row r="239" spans="1:59" ht="14.25" customHeight="1" x14ac:dyDescent="0.25">
      <c r="A239" s="1"/>
      <c r="B239" s="50"/>
      <c r="C239" s="50" t="s">
        <v>1272</v>
      </c>
      <c r="D239" s="50" t="s">
        <v>1273</v>
      </c>
      <c r="E239" s="50" t="str">
        <f t="shared" si="0"/>
        <v>PP0200250008001B</v>
      </c>
      <c r="F239" s="50" t="s">
        <v>1260</v>
      </c>
      <c r="G239" s="128" t="s">
        <v>135</v>
      </c>
      <c r="H239" s="50" t="s">
        <v>1266</v>
      </c>
      <c r="I239" s="50" t="s">
        <v>1274</v>
      </c>
      <c r="J239" s="50" t="s">
        <v>1275</v>
      </c>
      <c r="K239" s="50" t="s">
        <v>135</v>
      </c>
      <c r="L239" s="50" t="s">
        <v>1276</v>
      </c>
      <c r="M239" s="50"/>
      <c r="N239" s="52"/>
      <c r="O239" s="50" t="s">
        <v>151</v>
      </c>
      <c r="P239" s="50">
        <v>114</v>
      </c>
      <c r="Q239" s="53">
        <v>0</v>
      </c>
      <c r="R239" s="53">
        <f t="shared" si="60"/>
        <v>114</v>
      </c>
      <c r="S239" s="54">
        <v>0.27</v>
      </c>
      <c r="T239" s="54">
        <v>0</v>
      </c>
      <c r="U239" s="54">
        <f t="shared" si="72"/>
        <v>0.27</v>
      </c>
      <c r="V239" s="54">
        <v>20.309999999999999</v>
      </c>
      <c r="W239" s="52">
        <f t="shared" si="31"/>
        <v>0.98958333333333337</v>
      </c>
      <c r="X239" s="54">
        <f t="shared" si="73"/>
        <v>75.222222222222214</v>
      </c>
      <c r="Y239" s="50" t="str">
        <f t="shared" si="74"/>
        <v>è in grado</v>
      </c>
      <c r="Z239" s="50" t="str">
        <f t="shared" si="75"/>
        <v>non sottende</v>
      </c>
      <c r="AA239" s="106">
        <f t="shared" si="76"/>
        <v>20.523789473684207</v>
      </c>
      <c r="AB239" s="50" t="str">
        <f t="shared" si="77"/>
        <v>A</v>
      </c>
      <c r="AC239" s="50" t="str">
        <f t="shared" si="3"/>
        <v>SI</v>
      </c>
      <c r="AD239" s="50" t="str">
        <f t="shared" si="78"/>
        <v>Si</v>
      </c>
      <c r="AE239" s="50"/>
      <c r="AF239" s="55"/>
      <c r="AG239" s="55"/>
      <c r="AH239" s="55"/>
      <c r="AI239" s="55" t="str">
        <f t="shared" si="69"/>
        <v xml:space="preserve"> </v>
      </c>
      <c r="AJ239" s="53"/>
      <c r="AK239" s="53" t="e">
        <f t="shared" si="70"/>
        <v>#DIV/0!</v>
      </c>
      <c r="AL239" s="53">
        <f t="shared" si="71"/>
        <v>-20.309999999999999</v>
      </c>
      <c r="AM239" s="50"/>
      <c r="AN239" s="56" t="s">
        <v>236</v>
      </c>
      <c r="AO239" s="57">
        <v>46276</v>
      </c>
      <c r="AP239" s="58" t="s">
        <v>1256</v>
      </c>
      <c r="AQ239" s="58" t="s">
        <v>255</v>
      </c>
      <c r="AR239" s="58" t="s">
        <v>225</v>
      </c>
      <c r="AS239" s="58" t="s">
        <v>92</v>
      </c>
      <c r="AT239" s="50"/>
      <c r="AU239" s="1"/>
      <c r="AV239" s="1"/>
      <c r="AW239" s="1"/>
      <c r="AX239" s="1"/>
      <c r="AY239" s="1"/>
      <c r="AZ239" s="1"/>
      <c r="BA239" s="1"/>
      <c r="BB239" s="1"/>
      <c r="BC239" s="1"/>
      <c r="BD239" s="1"/>
      <c r="BE239" s="1"/>
      <c r="BF239" s="1"/>
      <c r="BG239" s="1"/>
    </row>
    <row r="240" spans="1:59" ht="14.25" customHeight="1" x14ac:dyDescent="0.25">
      <c r="A240" s="1"/>
      <c r="B240" s="50"/>
      <c r="C240" s="7" t="s">
        <v>1277</v>
      </c>
      <c r="D240" s="50" t="s">
        <v>1278</v>
      </c>
      <c r="E240" s="50" t="str">
        <f t="shared" si="0"/>
        <v>PP0200250003001B</v>
      </c>
      <c r="F240" s="50" t="s">
        <v>1279</v>
      </c>
      <c r="G240" s="50" t="s">
        <v>135</v>
      </c>
      <c r="H240" s="50" t="s">
        <v>1266</v>
      </c>
      <c r="I240" s="50" t="s">
        <v>1280</v>
      </c>
      <c r="J240" s="50" t="s">
        <v>1281</v>
      </c>
      <c r="K240" s="50" t="s">
        <v>135</v>
      </c>
      <c r="L240" s="50" t="s">
        <v>1255</v>
      </c>
      <c r="M240" s="50"/>
      <c r="N240" s="52"/>
      <c r="O240" s="50" t="s">
        <v>151</v>
      </c>
      <c r="P240" s="50">
        <v>157</v>
      </c>
      <c r="Q240" s="53">
        <v>0</v>
      </c>
      <c r="R240" s="53">
        <f t="shared" si="60"/>
        <v>157</v>
      </c>
      <c r="S240" s="54">
        <v>0.37</v>
      </c>
      <c r="T240" s="54">
        <v>0</v>
      </c>
      <c r="U240" s="54">
        <f t="shared" si="72"/>
        <v>0.37</v>
      </c>
      <c r="V240" s="54">
        <v>21.1</v>
      </c>
      <c r="W240" s="52">
        <f t="shared" si="31"/>
        <v>1.3628472222222223</v>
      </c>
      <c r="X240" s="54">
        <f t="shared" si="73"/>
        <v>57.027027027027032</v>
      </c>
      <c r="Y240" s="50" t="str">
        <f t="shared" si="74"/>
        <v>è in grado</v>
      </c>
      <c r="Z240" s="50" t="str">
        <f t="shared" si="75"/>
        <v>non sottende</v>
      </c>
      <c r="AA240" s="106">
        <f t="shared" si="76"/>
        <v>15.482292993630573</v>
      </c>
      <c r="AB240" s="50" t="str">
        <f t="shared" si="77"/>
        <v>A</v>
      </c>
      <c r="AC240" s="50" t="str">
        <f t="shared" si="3"/>
        <v>SI</v>
      </c>
      <c r="AD240" s="50" t="str">
        <f t="shared" si="78"/>
        <v>Si</v>
      </c>
      <c r="AE240" s="50"/>
      <c r="AF240" s="55"/>
      <c r="AG240" s="55"/>
      <c r="AH240" s="55"/>
      <c r="AI240" s="55" t="str">
        <f t="shared" si="69"/>
        <v xml:space="preserve"> </v>
      </c>
      <c r="AJ240" s="53"/>
      <c r="AK240" s="53" t="e">
        <f t="shared" si="70"/>
        <v>#DIV/0!</v>
      </c>
      <c r="AL240" s="53">
        <f t="shared" si="71"/>
        <v>-21.1</v>
      </c>
      <c r="AM240" s="50"/>
      <c r="AN240" s="56" t="s">
        <v>222</v>
      </c>
      <c r="AO240" s="57">
        <v>46276</v>
      </c>
      <c r="AP240" s="58" t="s">
        <v>1256</v>
      </c>
      <c r="AQ240" s="58" t="s">
        <v>255</v>
      </c>
      <c r="AR240" s="58" t="s">
        <v>225</v>
      </c>
      <c r="AS240" s="58" t="s">
        <v>92</v>
      </c>
      <c r="AT240" s="50"/>
      <c r="AU240" s="1"/>
      <c r="AV240" s="1"/>
      <c r="AW240" s="1"/>
      <c r="AX240" s="1"/>
      <c r="AY240" s="1"/>
      <c r="AZ240" s="1"/>
      <c r="BA240" s="1"/>
      <c r="BB240" s="1"/>
      <c r="BC240" s="1"/>
      <c r="BD240" s="1"/>
      <c r="BE240" s="1"/>
      <c r="BF240" s="1"/>
      <c r="BG240" s="1"/>
    </row>
    <row r="241" spans="1:59" ht="14.25" customHeight="1" x14ac:dyDescent="0.25">
      <c r="A241" s="1"/>
      <c r="B241" s="50"/>
      <c r="C241" s="50" t="s">
        <v>1282</v>
      </c>
      <c r="D241" s="50" t="s">
        <v>1283</v>
      </c>
      <c r="E241" s="50" t="str">
        <f t="shared" si="0"/>
        <v>PP0200250006001B</v>
      </c>
      <c r="F241" s="50" t="s">
        <v>1252</v>
      </c>
      <c r="G241" s="50" t="s">
        <v>135</v>
      </c>
      <c r="H241" s="50" t="s">
        <v>1284</v>
      </c>
      <c r="I241" s="50" t="s">
        <v>1285</v>
      </c>
      <c r="J241" s="50" t="s">
        <v>1286</v>
      </c>
      <c r="K241" s="50" t="s">
        <v>135</v>
      </c>
      <c r="L241" s="50" t="s">
        <v>1287</v>
      </c>
      <c r="M241" s="50"/>
      <c r="N241" s="52"/>
      <c r="O241" s="50" t="s">
        <v>159</v>
      </c>
      <c r="P241" s="50">
        <v>77</v>
      </c>
      <c r="Q241" s="53">
        <v>13</v>
      </c>
      <c r="R241" s="53">
        <f t="shared" si="60"/>
        <v>90</v>
      </c>
      <c r="S241" s="54">
        <v>0.18</v>
      </c>
      <c r="T241" s="54">
        <v>0.09</v>
      </c>
      <c r="U241" s="54">
        <f t="shared" si="72"/>
        <v>0.27</v>
      </c>
      <c r="V241" s="54">
        <v>5</v>
      </c>
      <c r="W241" s="52">
        <f t="shared" si="31"/>
        <v>0.78125</v>
      </c>
      <c r="X241" s="54">
        <f t="shared" si="73"/>
        <v>18.518518518518519</v>
      </c>
      <c r="Y241" s="50" t="str">
        <f t="shared" si="74"/>
        <v>è in grado</v>
      </c>
      <c r="Z241" s="50" t="str">
        <f t="shared" si="75"/>
        <v>non sottende</v>
      </c>
      <c r="AA241" s="106">
        <f t="shared" si="76"/>
        <v>6.4</v>
      </c>
      <c r="AB241" s="50" t="str">
        <f t="shared" si="77"/>
        <v>A</v>
      </c>
      <c r="AC241" s="50" t="str">
        <f t="shared" si="3"/>
        <v>SI</v>
      </c>
      <c r="AD241" s="50" t="str">
        <f t="shared" si="78"/>
        <v>No</v>
      </c>
      <c r="AE241" s="50"/>
      <c r="AF241" s="55"/>
      <c r="AG241" s="55"/>
      <c r="AH241" s="127"/>
      <c r="AI241" s="55" t="str">
        <f t="shared" si="69"/>
        <v xml:space="preserve"> </v>
      </c>
      <c r="AJ241" s="53"/>
      <c r="AK241" s="53" t="e">
        <f t="shared" si="70"/>
        <v>#DIV/0!</v>
      </c>
      <c r="AL241" s="53">
        <f t="shared" si="71"/>
        <v>-5</v>
      </c>
      <c r="AM241" s="50"/>
      <c r="AN241" s="56" t="s">
        <v>222</v>
      </c>
      <c r="AO241" s="57">
        <v>46276</v>
      </c>
      <c r="AP241" s="58" t="s">
        <v>1256</v>
      </c>
      <c r="AQ241" s="58" t="s">
        <v>255</v>
      </c>
      <c r="AR241" s="58" t="s">
        <v>225</v>
      </c>
      <c r="AS241" s="58" t="s">
        <v>92</v>
      </c>
      <c r="AT241" s="50"/>
      <c r="AU241" s="1"/>
      <c r="AV241" s="1"/>
      <c r="AW241" s="1"/>
      <c r="AX241" s="1"/>
      <c r="AY241" s="1"/>
      <c r="AZ241" s="1"/>
      <c r="BA241" s="1"/>
      <c r="BB241" s="1"/>
      <c r="BC241" s="1"/>
      <c r="BD241" s="1"/>
      <c r="BE241" s="1"/>
      <c r="BF241" s="1"/>
      <c r="BG241" s="1"/>
    </row>
    <row r="242" spans="1:59" ht="14.25" customHeight="1" x14ac:dyDescent="0.25">
      <c r="A242" s="1"/>
      <c r="B242" s="50"/>
      <c r="C242" s="50" t="s">
        <v>1288</v>
      </c>
      <c r="D242" s="50" t="s">
        <v>1289</v>
      </c>
      <c r="E242" s="50" t="str">
        <f t="shared" si="0"/>
        <v>PP0200250001001B</v>
      </c>
      <c r="F242" s="50" t="s">
        <v>1252</v>
      </c>
      <c r="G242" s="50" t="s">
        <v>135</v>
      </c>
      <c r="H242" s="50" t="s">
        <v>1266</v>
      </c>
      <c r="I242" s="50" t="s">
        <v>1290</v>
      </c>
      <c r="J242" s="50" t="s">
        <v>1291</v>
      </c>
      <c r="K242" s="50" t="s">
        <v>135</v>
      </c>
      <c r="L242" s="50" t="s">
        <v>1292</v>
      </c>
      <c r="M242" s="50"/>
      <c r="N242" s="52"/>
      <c r="O242" s="50" t="s">
        <v>151</v>
      </c>
      <c r="P242" s="50">
        <v>44</v>
      </c>
      <c r="Q242" s="53">
        <v>0</v>
      </c>
      <c r="R242" s="53">
        <f t="shared" si="60"/>
        <v>44</v>
      </c>
      <c r="S242" s="54">
        <v>0.1</v>
      </c>
      <c r="T242" s="54">
        <v>0</v>
      </c>
      <c r="U242" s="54">
        <f t="shared" si="72"/>
        <v>0.1</v>
      </c>
      <c r="V242" s="54">
        <v>21.1</v>
      </c>
      <c r="W242" s="52">
        <f t="shared" si="31"/>
        <v>0.38194444444444442</v>
      </c>
      <c r="X242" s="54">
        <f t="shared" si="73"/>
        <v>211</v>
      </c>
      <c r="Y242" s="50" t="str">
        <f t="shared" si="74"/>
        <v>è in grado</v>
      </c>
      <c r="Z242" s="50" t="str">
        <f t="shared" si="75"/>
        <v>non sottende</v>
      </c>
      <c r="AA242" s="106">
        <f t="shared" si="76"/>
        <v>55.243636363636369</v>
      </c>
      <c r="AB242" s="50" t="str">
        <f t="shared" si="77"/>
        <v>A</v>
      </c>
      <c r="AC242" s="50" t="str">
        <f t="shared" si="3"/>
        <v>SI</v>
      </c>
      <c r="AD242" s="50" t="str">
        <f t="shared" si="78"/>
        <v>Si</v>
      </c>
      <c r="AE242" s="50"/>
      <c r="AF242" s="55"/>
      <c r="AG242" s="55"/>
      <c r="AH242" s="55"/>
      <c r="AI242" s="55" t="str">
        <f t="shared" si="69"/>
        <v xml:space="preserve"> </v>
      </c>
      <c r="AJ242" s="53"/>
      <c r="AK242" s="53" t="e">
        <f t="shared" si="70"/>
        <v>#DIV/0!</v>
      </c>
      <c r="AL242" s="53">
        <f t="shared" si="71"/>
        <v>-21.1</v>
      </c>
      <c r="AM242" s="50"/>
      <c r="AN242" s="56" t="s">
        <v>222</v>
      </c>
      <c r="AO242" s="57">
        <v>46276</v>
      </c>
      <c r="AP242" s="58" t="s">
        <v>1256</v>
      </c>
      <c r="AQ242" s="58" t="s">
        <v>445</v>
      </c>
      <c r="AR242" s="75">
        <v>51501</v>
      </c>
      <c r="AS242" s="58" t="s">
        <v>1257</v>
      </c>
      <c r="AT242" s="50"/>
      <c r="AU242" s="1"/>
      <c r="AV242" s="1"/>
      <c r="AW242" s="1"/>
      <c r="AX242" s="1"/>
      <c r="AY242" s="1"/>
      <c r="AZ242" s="1"/>
      <c r="BA242" s="1"/>
      <c r="BB242" s="1"/>
      <c r="BC242" s="1"/>
      <c r="BD242" s="1"/>
      <c r="BE242" s="1"/>
      <c r="BF242" s="1"/>
      <c r="BG242" s="1"/>
    </row>
    <row r="243" spans="1:59" ht="14.25" customHeight="1" x14ac:dyDescent="0.25">
      <c r="A243" s="1"/>
      <c r="B243" s="50"/>
      <c r="C243" s="7" t="s">
        <v>1293</v>
      </c>
      <c r="D243" s="50" t="s">
        <v>1294</v>
      </c>
      <c r="E243" s="50" t="str">
        <f t="shared" si="0"/>
        <v>PP0200250009001B</v>
      </c>
      <c r="F243" s="50" t="s">
        <v>1295</v>
      </c>
      <c r="G243" s="50" t="s">
        <v>135</v>
      </c>
      <c r="H243" s="50" t="s">
        <v>95</v>
      </c>
      <c r="I243" s="50" t="s">
        <v>1296</v>
      </c>
      <c r="J243" s="50" t="s">
        <v>1297</v>
      </c>
      <c r="K243" s="50" t="s">
        <v>135</v>
      </c>
      <c r="L243" s="50" t="s">
        <v>1255</v>
      </c>
      <c r="M243" s="50"/>
      <c r="N243" s="52"/>
      <c r="O243" s="50" t="s">
        <v>151</v>
      </c>
      <c r="P243" s="50">
        <v>953</v>
      </c>
      <c r="Q243" s="53">
        <v>13</v>
      </c>
      <c r="R243" s="53">
        <f t="shared" si="60"/>
        <v>966</v>
      </c>
      <c r="S243" s="54">
        <v>2.2400000000000002</v>
      </c>
      <c r="T243" s="54">
        <v>0.09</v>
      </c>
      <c r="U243" s="54">
        <f t="shared" si="72"/>
        <v>2.33</v>
      </c>
      <c r="V243" s="54">
        <v>21.08</v>
      </c>
      <c r="W243" s="52">
        <f t="shared" si="31"/>
        <v>8.3854166666666661</v>
      </c>
      <c r="X243" s="54">
        <f t="shared" si="73"/>
        <v>9.0472103004291835</v>
      </c>
      <c r="Y243" s="50" t="str">
        <f t="shared" si="74"/>
        <v>è in grado</v>
      </c>
      <c r="Z243" s="50" t="str">
        <f t="shared" si="75"/>
        <v>non sottende</v>
      </c>
      <c r="AA243" s="106">
        <f t="shared" si="76"/>
        <v>2.5138881987577641</v>
      </c>
      <c r="AB243" s="50" t="str">
        <f t="shared" si="77"/>
        <v>A</v>
      </c>
      <c r="AC243" s="50" t="str">
        <f t="shared" si="3"/>
        <v>SI</v>
      </c>
      <c r="AD243" s="50" t="str">
        <f t="shared" si="78"/>
        <v>Si</v>
      </c>
      <c r="AE243" s="50"/>
      <c r="AF243" s="55"/>
      <c r="AG243" s="55"/>
      <c r="AH243" s="55"/>
      <c r="AI243" s="55" t="str">
        <f t="shared" si="69"/>
        <v xml:space="preserve"> </v>
      </c>
      <c r="AJ243" s="53"/>
      <c r="AK243" s="53" t="e">
        <f t="shared" si="70"/>
        <v>#DIV/0!</v>
      </c>
      <c r="AL243" s="53">
        <f t="shared" si="71"/>
        <v>-21.08</v>
      </c>
      <c r="AM243" s="50"/>
      <c r="AN243" s="56" t="s">
        <v>222</v>
      </c>
      <c r="AO243" s="57">
        <v>46276</v>
      </c>
      <c r="AP243" s="58" t="s">
        <v>1256</v>
      </c>
      <c r="AQ243" s="58" t="s">
        <v>445</v>
      </c>
      <c r="AR243" s="75">
        <v>51501</v>
      </c>
      <c r="AS243" s="58" t="s">
        <v>1257</v>
      </c>
      <c r="AT243" s="50"/>
      <c r="AU243" s="1"/>
      <c r="AV243" s="1"/>
      <c r="AW243" s="1"/>
      <c r="AX243" s="1"/>
      <c r="AY243" s="1"/>
      <c r="AZ243" s="1"/>
      <c r="BA243" s="1"/>
      <c r="BB243" s="1"/>
      <c r="BC243" s="1"/>
      <c r="BD243" s="1"/>
      <c r="BE243" s="1"/>
      <c r="BF243" s="1"/>
      <c r="BG243" s="1"/>
    </row>
    <row r="244" spans="1:59" ht="14.25" customHeight="1" x14ac:dyDescent="0.25">
      <c r="A244" s="1"/>
      <c r="B244" s="50"/>
      <c r="C244" s="50" t="s">
        <v>1298</v>
      </c>
      <c r="D244" s="50" t="s">
        <v>1299</v>
      </c>
      <c r="E244" s="50" t="str">
        <f t="shared" si="0"/>
        <v>PP0200250005001B</v>
      </c>
      <c r="F244" s="50" t="s">
        <v>1300</v>
      </c>
      <c r="G244" s="50" t="s">
        <v>135</v>
      </c>
      <c r="H244" s="50" t="s">
        <v>1266</v>
      </c>
      <c r="I244" s="50" t="s">
        <v>1301</v>
      </c>
      <c r="J244" s="50" t="s">
        <v>1302</v>
      </c>
      <c r="K244" s="50" t="s">
        <v>135</v>
      </c>
      <c r="L244" s="50" t="s">
        <v>1255</v>
      </c>
      <c r="M244" s="50"/>
      <c r="N244" s="52"/>
      <c r="O244" s="50" t="s">
        <v>159</v>
      </c>
      <c r="P244" s="50">
        <v>1085</v>
      </c>
      <c r="Q244" s="53">
        <v>0</v>
      </c>
      <c r="R244" s="53">
        <f t="shared" si="60"/>
        <v>1085</v>
      </c>
      <c r="S244" s="54">
        <v>2.5499999999999998</v>
      </c>
      <c r="T244" s="54">
        <v>0</v>
      </c>
      <c r="U244" s="54">
        <f t="shared" si="72"/>
        <v>2.5499999999999998</v>
      </c>
      <c r="V244" s="54">
        <v>10.5</v>
      </c>
      <c r="W244" s="52">
        <f t="shared" si="31"/>
        <v>9.4184027777777786</v>
      </c>
      <c r="X244" s="54">
        <f t="shared" si="73"/>
        <v>4.1176470588235299</v>
      </c>
      <c r="Y244" s="50" t="str">
        <f t="shared" si="74"/>
        <v>è in grado</v>
      </c>
      <c r="Z244" s="50" t="str">
        <f t="shared" si="75"/>
        <v>non sottende</v>
      </c>
      <c r="AA244" s="106">
        <f t="shared" si="76"/>
        <v>1.1148387096774193</v>
      </c>
      <c r="AB244" s="50" t="str">
        <f t="shared" si="77"/>
        <v>B</v>
      </c>
      <c r="AC244" s="50" t="str">
        <f t="shared" si="3"/>
        <v>SI</v>
      </c>
      <c r="AD244" s="50" t="str">
        <f t="shared" si="78"/>
        <v>No</v>
      </c>
      <c r="AE244" s="50"/>
      <c r="AF244" s="55"/>
      <c r="AG244" s="55"/>
      <c r="AH244" s="55"/>
      <c r="AI244" s="55" t="str">
        <f t="shared" si="69"/>
        <v xml:space="preserve"> </v>
      </c>
      <c r="AJ244" s="53"/>
      <c r="AK244" s="53" t="e">
        <f t="shared" si="70"/>
        <v>#DIV/0!</v>
      </c>
      <c r="AL244" s="53">
        <f t="shared" si="71"/>
        <v>-10.5</v>
      </c>
      <c r="AM244" s="50"/>
      <c r="AN244" s="56" t="s">
        <v>222</v>
      </c>
      <c r="AO244" s="57">
        <v>46276</v>
      </c>
      <c r="AP244" s="58" t="s">
        <v>1256</v>
      </c>
      <c r="AQ244" s="58" t="s">
        <v>255</v>
      </c>
      <c r="AR244" s="58" t="s">
        <v>626</v>
      </c>
      <c r="AS244" s="58"/>
      <c r="AT244" s="50" t="s">
        <v>1303</v>
      </c>
      <c r="AU244" s="1"/>
      <c r="AV244" s="1"/>
      <c r="AW244" s="1"/>
      <c r="AX244" s="1"/>
      <c r="AY244" s="1"/>
      <c r="AZ244" s="1"/>
      <c r="BA244" s="1"/>
      <c r="BB244" s="1"/>
      <c r="BC244" s="1"/>
      <c r="BD244" s="1"/>
      <c r="BE244" s="1"/>
      <c r="BF244" s="1"/>
      <c r="BG244" s="1"/>
    </row>
    <row r="245" spans="1:59" ht="14.25" customHeight="1" x14ac:dyDescent="0.25">
      <c r="A245" s="1"/>
      <c r="B245" s="50"/>
      <c r="C245" s="50" t="s">
        <v>1304</v>
      </c>
      <c r="D245" s="50" t="s">
        <v>1305</v>
      </c>
      <c r="E245" s="50" t="str">
        <f t="shared" si="0"/>
        <v>PP0200250002001B</v>
      </c>
      <c r="F245" s="50" t="s">
        <v>1306</v>
      </c>
      <c r="G245" s="50" t="s">
        <v>135</v>
      </c>
      <c r="H245" s="50" t="s">
        <v>1266</v>
      </c>
      <c r="I245" s="50" t="s">
        <v>1307</v>
      </c>
      <c r="J245" s="50" t="s">
        <v>1308</v>
      </c>
      <c r="K245" s="50" t="s">
        <v>135</v>
      </c>
      <c r="L245" s="50" t="s">
        <v>1269</v>
      </c>
      <c r="M245" s="50"/>
      <c r="N245" s="52"/>
      <c r="O245" s="50" t="s">
        <v>159</v>
      </c>
      <c r="P245" s="50">
        <v>75</v>
      </c>
      <c r="Q245" s="53">
        <v>0</v>
      </c>
      <c r="R245" s="53">
        <f t="shared" si="60"/>
        <v>75</v>
      </c>
      <c r="S245" s="54">
        <v>0.18</v>
      </c>
      <c r="T245" s="54">
        <v>0</v>
      </c>
      <c r="U245" s="54">
        <f t="shared" si="72"/>
        <v>0.18</v>
      </c>
      <c r="V245" s="54">
        <v>5</v>
      </c>
      <c r="W245" s="52">
        <f t="shared" si="31"/>
        <v>0.65104166666666663</v>
      </c>
      <c r="X245" s="54">
        <f t="shared" si="73"/>
        <v>27.777777777777779</v>
      </c>
      <c r="Y245" s="50" t="str">
        <f t="shared" si="74"/>
        <v>è in grado</v>
      </c>
      <c r="Z245" s="50" t="str">
        <f t="shared" si="75"/>
        <v>non sottende</v>
      </c>
      <c r="AA245" s="106">
        <f t="shared" si="76"/>
        <v>7.6800000000000006</v>
      </c>
      <c r="AB245" s="50" t="str">
        <f t="shared" si="77"/>
        <v>A</v>
      </c>
      <c r="AC245" s="50" t="str">
        <f t="shared" si="3"/>
        <v>SI</v>
      </c>
      <c r="AD245" s="50" t="str">
        <f t="shared" si="78"/>
        <v>No</v>
      </c>
      <c r="AE245" s="50"/>
      <c r="AF245" s="55"/>
      <c r="AG245" s="55"/>
      <c r="AH245" s="55"/>
      <c r="AI245" s="55" t="str">
        <f t="shared" si="69"/>
        <v xml:space="preserve"> </v>
      </c>
      <c r="AJ245" s="53"/>
      <c r="AK245" s="53" t="e">
        <f t="shared" si="70"/>
        <v>#DIV/0!</v>
      </c>
      <c r="AL245" s="53">
        <f t="shared" si="71"/>
        <v>-5</v>
      </c>
      <c r="AM245" s="50"/>
      <c r="AN245" s="56" t="s">
        <v>222</v>
      </c>
      <c r="AO245" s="57">
        <v>46276</v>
      </c>
      <c r="AP245" s="58" t="s">
        <v>1256</v>
      </c>
      <c r="AQ245" s="58" t="s">
        <v>255</v>
      </c>
      <c r="AR245" s="58" t="s">
        <v>225</v>
      </c>
      <c r="AS245" s="58"/>
      <c r="AT245" s="1"/>
      <c r="AU245" s="1"/>
      <c r="AV245" s="1"/>
      <c r="AW245" s="1"/>
      <c r="AX245" s="1"/>
      <c r="AY245" s="1"/>
      <c r="AZ245" s="1"/>
      <c r="BA245" s="1"/>
      <c r="BB245" s="1"/>
      <c r="BC245" s="1"/>
      <c r="BD245" s="1"/>
      <c r="BE245" s="1"/>
      <c r="BF245" s="1"/>
      <c r="BG245" s="1"/>
    </row>
    <row r="246" spans="1:59" ht="14.25" customHeight="1" x14ac:dyDescent="0.25">
      <c r="A246" s="1"/>
      <c r="B246" s="50"/>
      <c r="C246" s="50" t="s">
        <v>1309</v>
      </c>
      <c r="D246" s="50" t="s">
        <v>1310</v>
      </c>
      <c r="E246" s="50" t="str">
        <f t="shared" si="0"/>
        <v>PP0200290003001B</v>
      </c>
      <c r="F246" s="50"/>
      <c r="G246" s="50" t="s">
        <v>1311</v>
      </c>
      <c r="H246" s="50" t="s">
        <v>95</v>
      </c>
      <c r="I246" s="50" t="s">
        <v>1312</v>
      </c>
      <c r="J246" s="50" t="s">
        <v>1313</v>
      </c>
      <c r="K246" s="50" t="s">
        <v>1314</v>
      </c>
      <c r="L246" s="50" t="s">
        <v>1315</v>
      </c>
      <c r="M246" s="50"/>
      <c r="N246" s="52"/>
      <c r="O246" s="50" t="s">
        <v>151</v>
      </c>
      <c r="P246" s="50">
        <v>30</v>
      </c>
      <c r="Q246" s="53">
        <v>0</v>
      </c>
      <c r="R246" s="53">
        <f t="shared" si="60"/>
        <v>30</v>
      </c>
      <c r="S246" s="54">
        <v>7.0000000000000007E-2</v>
      </c>
      <c r="T246" s="54">
        <v>0</v>
      </c>
      <c r="U246" s="54">
        <f t="shared" si="72"/>
        <v>7.0000000000000007E-2</v>
      </c>
      <c r="V246" s="54">
        <v>67.39</v>
      </c>
      <c r="W246" s="52">
        <f t="shared" si="31"/>
        <v>0.26041666666666669</v>
      </c>
      <c r="X246" s="54">
        <f t="shared" si="73"/>
        <v>962.71428571428567</v>
      </c>
      <c r="Y246" s="50" t="str">
        <f t="shared" si="74"/>
        <v>è in grado</v>
      </c>
      <c r="Z246" s="50" t="str">
        <f t="shared" si="75"/>
        <v>non sottende</v>
      </c>
      <c r="AA246" s="106">
        <f t="shared" si="76"/>
        <v>258.77760000000001</v>
      </c>
      <c r="AB246" s="50" t="str">
        <f t="shared" si="77"/>
        <v>A</v>
      </c>
      <c r="AC246" s="50" t="str">
        <f t="shared" si="3"/>
        <v>SI</v>
      </c>
      <c r="AD246" s="50" t="str">
        <f t="shared" si="78"/>
        <v>Si</v>
      </c>
      <c r="AE246" s="50" t="s">
        <v>147</v>
      </c>
      <c r="AF246" s="55">
        <v>1.58</v>
      </c>
      <c r="AG246" s="55">
        <v>178</v>
      </c>
      <c r="AH246" s="55">
        <v>677</v>
      </c>
      <c r="AI246" s="55" t="str">
        <f t="shared" si="69"/>
        <v xml:space="preserve"> </v>
      </c>
      <c r="AJ246" s="53">
        <v>148.69999999999999</v>
      </c>
      <c r="AK246" s="53">
        <f t="shared" si="70"/>
        <v>0.74384667114996639</v>
      </c>
      <c r="AL246" s="53">
        <f t="shared" si="71"/>
        <v>110.61</v>
      </c>
      <c r="AM246" s="50" t="s">
        <v>190</v>
      </c>
      <c r="AN246" s="56" t="s">
        <v>222</v>
      </c>
      <c r="AO246" s="57">
        <v>46657</v>
      </c>
      <c r="AP246" s="58" t="s">
        <v>1316</v>
      </c>
      <c r="AQ246" s="58" t="s">
        <v>1094</v>
      </c>
      <c r="AR246" s="58" t="s">
        <v>239</v>
      </c>
      <c r="AS246" s="58"/>
      <c r="AT246" s="4" t="s">
        <v>1317</v>
      </c>
      <c r="AU246" s="1"/>
      <c r="AV246" s="1"/>
      <c r="AW246" s="1"/>
      <c r="AX246" s="1"/>
      <c r="AY246" s="1"/>
      <c r="AZ246" s="1"/>
      <c r="BA246" s="1"/>
      <c r="BB246" s="1"/>
      <c r="BC246" s="1"/>
      <c r="BD246" s="1"/>
      <c r="BE246" s="1"/>
      <c r="BF246" s="1"/>
      <c r="BG246" s="1"/>
    </row>
    <row r="247" spans="1:59" ht="14.25" customHeight="1" x14ac:dyDescent="0.25">
      <c r="A247" s="1"/>
      <c r="B247" s="50"/>
      <c r="C247" s="50" t="s">
        <v>1318</v>
      </c>
      <c r="D247" s="50" t="s">
        <v>1319</v>
      </c>
      <c r="E247" s="50" t="str">
        <f t="shared" si="0"/>
        <v>PP0200290002001B</v>
      </c>
      <c r="F247" s="50"/>
      <c r="G247" s="50" t="s">
        <v>1311</v>
      </c>
      <c r="H247" s="50" t="s">
        <v>1320</v>
      </c>
      <c r="I247" s="50" t="s">
        <v>1321</v>
      </c>
      <c r="J247" s="50" t="s">
        <v>1322</v>
      </c>
      <c r="K247" s="50" t="s">
        <v>1314</v>
      </c>
      <c r="L247" s="50" t="s">
        <v>1323</v>
      </c>
      <c r="M247" s="50" t="s">
        <v>286</v>
      </c>
      <c r="N247" s="52"/>
      <c r="O247" s="50" t="s">
        <v>159</v>
      </c>
      <c r="P247" s="50">
        <v>79</v>
      </c>
      <c r="Q247" s="53">
        <v>0</v>
      </c>
      <c r="R247" s="53">
        <f t="shared" si="60"/>
        <v>79</v>
      </c>
      <c r="S247" s="54">
        <v>0.19</v>
      </c>
      <c r="T247" s="54">
        <v>0</v>
      </c>
      <c r="U247" s="54">
        <f t="shared" si="72"/>
        <v>0.19</v>
      </c>
      <c r="V247" s="54">
        <v>6</v>
      </c>
      <c r="W247" s="52">
        <f t="shared" si="31"/>
        <v>0.68576388888888884</v>
      </c>
      <c r="X247" s="54">
        <f t="shared" si="73"/>
        <v>31.578947368421051</v>
      </c>
      <c r="Y247" s="50" t="str">
        <f t="shared" si="74"/>
        <v>è in grado</v>
      </c>
      <c r="Z247" s="50" t="str">
        <f t="shared" si="75"/>
        <v>non sottende</v>
      </c>
      <c r="AA247" s="106">
        <f t="shared" si="76"/>
        <v>8.7493670886075954</v>
      </c>
      <c r="AB247" s="50" t="str">
        <f t="shared" si="77"/>
        <v>A</v>
      </c>
      <c r="AC247" s="50" t="str">
        <f t="shared" si="3"/>
        <v>SI</v>
      </c>
      <c r="AD247" s="50" t="str">
        <f t="shared" si="78"/>
        <v>No</v>
      </c>
      <c r="AE247" s="50" t="s">
        <v>147</v>
      </c>
      <c r="AF247" s="55">
        <v>9.43</v>
      </c>
      <c r="AG247" s="55">
        <v>854</v>
      </c>
      <c r="AH247" s="55">
        <v>1033</v>
      </c>
      <c r="AI247" s="55" t="str">
        <f t="shared" si="69"/>
        <v xml:space="preserve"> </v>
      </c>
      <c r="AJ247" s="53">
        <v>210.94</v>
      </c>
      <c r="AK247" s="53">
        <f t="shared" si="70"/>
        <v>4.0201005025125625</v>
      </c>
      <c r="AL247" s="53">
        <f t="shared" si="71"/>
        <v>848</v>
      </c>
      <c r="AM247" s="50" t="s">
        <v>190</v>
      </c>
      <c r="AN247" s="56" t="s">
        <v>222</v>
      </c>
      <c r="AO247" s="57">
        <v>46657</v>
      </c>
      <c r="AP247" s="58" t="s">
        <v>1316</v>
      </c>
      <c r="AQ247" s="58" t="s">
        <v>1113</v>
      </c>
      <c r="AR247" s="58" t="s">
        <v>544</v>
      </c>
      <c r="AS247" s="58"/>
      <c r="AT247" s="58" t="s">
        <v>1324</v>
      </c>
      <c r="AU247" s="1"/>
      <c r="AV247" s="1"/>
      <c r="AW247" s="1"/>
      <c r="AX247" s="1"/>
      <c r="AY247" s="1"/>
      <c r="AZ247" s="1"/>
      <c r="BA247" s="1"/>
      <c r="BB247" s="1"/>
      <c r="BC247" s="1"/>
      <c r="BD247" s="1"/>
      <c r="BE247" s="1"/>
      <c r="BF247" s="1"/>
      <c r="BG247" s="1"/>
    </row>
    <row r="248" spans="1:59" ht="14.25" customHeight="1" x14ac:dyDescent="0.25">
      <c r="A248" s="1"/>
      <c r="B248" s="50"/>
      <c r="C248" s="50" t="s">
        <v>1325</v>
      </c>
      <c r="D248" s="50" t="s">
        <v>1326</v>
      </c>
      <c r="E248" s="50" t="str">
        <f t="shared" si="0"/>
        <v>PP0200290001001B</v>
      </c>
      <c r="F248" s="50"/>
      <c r="G248" s="50" t="s">
        <v>1311</v>
      </c>
      <c r="H248" s="50" t="s">
        <v>95</v>
      </c>
      <c r="I248" s="50" t="s">
        <v>1327</v>
      </c>
      <c r="J248" s="50" t="s">
        <v>1328</v>
      </c>
      <c r="K248" s="50" t="s">
        <v>1314</v>
      </c>
      <c r="L248" s="50" t="s">
        <v>1315</v>
      </c>
      <c r="M248" s="50" t="s">
        <v>286</v>
      </c>
      <c r="N248" s="52"/>
      <c r="O248" s="50" t="s">
        <v>118</v>
      </c>
      <c r="P248" s="50">
        <v>968</v>
      </c>
      <c r="Q248" s="53">
        <v>0</v>
      </c>
      <c r="R248" s="53">
        <f t="shared" si="60"/>
        <v>968</v>
      </c>
      <c r="S248" s="54">
        <v>2.2799999999999998</v>
      </c>
      <c r="T248" s="54">
        <v>0</v>
      </c>
      <c r="U248" s="54">
        <f t="shared" si="72"/>
        <v>2.2799999999999998</v>
      </c>
      <c r="V248" s="54">
        <v>15</v>
      </c>
      <c r="W248" s="52">
        <f t="shared" si="31"/>
        <v>8.4027777777777786</v>
      </c>
      <c r="X248" s="54">
        <f t="shared" si="73"/>
        <v>6.5789473684210531</v>
      </c>
      <c r="Y248" s="50" t="str">
        <f t="shared" si="74"/>
        <v>è in grado</v>
      </c>
      <c r="Z248" s="50" t="str">
        <f t="shared" si="75"/>
        <v>non sottende</v>
      </c>
      <c r="AA248" s="106">
        <f t="shared" si="76"/>
        <v>1.7851239669421486</v>
      </c>
      <c r="AB248" s="50" t="str">
        <f t="shared" si="77"/>
        <v>B</v>
      </c>
      <c r="AC248" s="50" t="str">
        <f t="shared" si="3"/>
        <v>SI</v>
      </c>
      <c r="AD248" s="50" t="str">
        <f t="shared" si="78"/>
        <v>No</v>
      </c>
      <c r="AE248" s="50" t="s">
        <v>343</v>
      </c>
      <c r="AF248" s="55">
        <v>75.7</v>
      </c>
      <c r="AG248" s="55">
        <v>4518</v>
      </c>
      <c r="AH248" s="55">
        <v>7794</v>
      </c>
      <c r="AI248" s="55" t="str">
        <f t="shared" si="69"/>
        <v xml:space="preserve"> </v>
      </c>
      <c r="AJ248" s="53">
        <v>14.6</v>
      </c>
      <c r="AK248" s="53">
        <v>32.880000000000003</v>
      </c>
      <c r="AL248" s="53">
        <f t="shared" si="71"/>
        <v>4503</v>
      </c>
      <c r="AM248" s="50" t="s">
        <v>490</v>
      </c>
      <c r="AN248" s="56" t="s">
        <v>236</v>
      </c>
      <c r="AO248" s="57">
        <v>46657</v>
      </c>
      <c r="AP248" s="58" t="s">
        <v>1316</v>
      </c>
      <c r="AQ248" s="58" t="s">
        <v>1094</v>
      </c>
      <c r="AR248" s="58" t="s">
        <v>239</v>
      </c>
      <c r="AS248" s="58"/>
      <c r="AT248" s="4" t="s">
        <v>1317</v>
      </c>
      <c r="AU248" s="1"/>
      <c r="AV248" s="1"/>
      <c r="AW248" s="1"/>
      <c r="AX248" s="1"/>
      <c r="AY248" s="1"/>
      <c r="AZ248" s="1"/>
      <c r="BA248" s="1"/>
      <c r="BB248" s="1"/>
      <c r="BC248" s="1"/>
      <c r="BD248" s="1"/>
      <c r="BE248" s="1"/>
      <c r="BF248" s="1"/>
      <c r="BG248" s="1"/>
    </row>
    <row r="249" spans="1:59" ht="14.25" customHeight="1" x14ac:dyDescent="0.25">
      <c r="A249" s="1"/>
      <c r="B249" s="50"/>
      <c r="C249" s="50" t="s">
        <v>1329</v>
      </c>
      <c r="D249" s="50" t="s">
        <v>1330</v>
      </c>
      <c r="E249" s="50" t="str">
        <f t="shared" si="0"/>
        <v>PP0200290004001B</v>
      </c>
      <c r="F249" s="50"/>
      <c r="G249" s="50" t="s">
        <v>1311</v>
      </c>
      <c r="H249" s="50" t="s">
        <v>95</v>
      </c>
      <c r="I249" s="50" t="s">
        <v>1331</v>
      </c>
      <c r="J249" s="50" t="s">
        <v>1332</v>
      </c>
      <c r="K249" s="50" t="s">
        <v>1314</v>
      </c>
      <c r="L249" s="50" t="s">
        <v>1333</v>
      </c>
      <c r="M249" s="50"/>
      <c r="N249" s="52"/>
      <c r="O249" s="50" t="s">
        <v>151</v>
      </c>
      <c r="P249" s="50">
        <v>63</v>
      </c>
      <c r="Q249" s="53">
        <v>0</v>
      </c>
      <c r="R249" s="53">
        <f t="shared" si="60"/>
        <v>63</v>
      </c>
      <c r="S249" s="54">
        <v>0.15</v>
      </c>
      <c r="T249" s="54">
        <v>0</v>
      </c>
      <c r="U249" s="54">
        <f t="shared" si="72"/>
        <v>0.15</v>
      </c>
      <c r="V249" s="54">
        <v>91.66</v>
      </c>
      <c r="W249" s="52">
        <f t="shared" si="31"/>
        <v>0.546875</v>
      </c>
      <c r="X249" s="54">
        <f t="shared" si="73"/>
        <v>611.06666666666672</v>
      </c>
      <c r="Y249" s="50" t="str">
        <f t="shared" si="74"/>
        <v>è in grado</v>
      </c>
      <c r="Z249" s="50" t="str">
        <f t="shared" si="75"/>
        <v>non sottende</v>
      </c>
      <c r="AA249" s="106">
        <f t="shared" si="76"/>
        <v>167.60685714285714</v>
      </c>
      <c r="AB249" s="50" t="str">
        <f t="shared" si="77"/>
        <v>A</v>
      </c>
      <c r="AC249" s="50" t="str">
        <f t="shared" si="3"/>
        <v>SI</v>
      </c>
      <c r="AD249" s="50" t="str">
        <f t="shared" si="78"/>
        <v>Si</v>
      </c>
      <c r="AE249" s="50" t="s">
        <v>147</v>
      </c>
      <c r="AF249" s="55">
        <v>3.4</v>
      </c>
      <c r="AG249" s="55">
        <v>382</v>
      </c>
      <c r="AH249" s="55">
        <v>1215</v>
      </c>
      <c r="AI249" s="55" t="str">
        <f t="shared" si="69"/>
        <v xml:space="preserve"> </v>
      </c>
      <c r="AJ249" s="53">
        <v>179.78</v>
      </c>
      <c r="AK249" s="53">
        <f t="shared" ref="AK249:AK251" si="79">((MIN(AG249:AH249))-V249)/AJ249</f>
        <v>1.6149738569362555</v>
      </c>
      <c r="AL249" s="53">
        <f t="shared" si="71"/>
        <v>290.34000000000003</v>
      </c>
      <c r="AM249" s="50" t="s">
        <v>190</v>
      </c>
      <c r="AN249" s="56" t="s">
        <v>222</v>
      </c>
      <c r="AO249" s="57">
        <v>46657</v>
      </c>
      <c r="AP249" s="58" t="s">
        <v>1316</v>
      </c>
      <c r="AQ249" s="58" t="s">
        <v>1094</v>
      </c>
      <c r="AR249" s="58" t="s">
        <v>239</v>
      </c>
      <c r="AS249" s="58"/>
      <c r="AT249" s="64" t="s">
        <v>1317</v>
      </c>
      <c r="AU249" s="1"/>
      <c r="AV249" s="1"/>
      <c r="AW249" s="1"/>
      <c r="AX249" s="1"/>
      <c r="AY249" s="1"/>
      <c r="AZ249" s="1"/>
      <c r="BA249" s="1"/>
      <c r="BB249" s="1"/>
      <c r="BC249" s="1"/>
      <c r="BD249" s="1"/>
      <c r="BE249" s="1"/>
      <c r="BF249" s="1"/>
      <c r="BG249" s="1"/>
    </row>
    <row r="250" spans="1:59" ht="14.25" customHeight="1" x14ac:dyDescent="0.25">
      <c r="A250" s="1"/>
      <c r="B250" s="50"/>
      <c r="C250" s="50" t="s">
        <v>1334</v>
      </c>
      <c r="D250" s="50" t="s">
        <v>1335</v>
      </c>
      <c r="E250" s="50" t="str">
        <f t="shared" si="0"/>
        <v>PP0200290005001B</v>
      </c>
      <c r="F250" s="50"/>
      <c r="G250" s="50" t="s">
        <v>1311</v>
      </c>
      <c r="H250" s="50" t="s">
        <v>95</v>
      </c>
      <c r="I250" s="50" t="s">
        <v>1336</v>
      </c>
      <c r="J250" s="50" t="s">
        <v>1337</v>
      </c>
      <c r="K250" s="50" t="s">
        <v>1314</v>
      </c>
      <c r="L250" s="50" t="s">
        <v>1333</v>
      </c>
      <c r="M250" s="50"/>
      <c r="N250" s="52"/>
      <c r="O250" s="50" t="s">
        <v>151</v>
      </c>
      <c r="P250" s="50">
        <v>33</v>
      </c>
      <c r="Q250" s="53">
        <v>0</v>
      </c>
      <c r="R250" s="53">
        <f t="shared" si="60"/>
        <v>33</v>
      </c>
      <c r="S250" s="54">
        <v>0.08</v>
      </c>
      <c r="T250" s="54">
        <v>0</v>
      </c>
      <c r="U250" s="54">
        <f t="shared" si="72"/>
        <v>0.08</v>
      </c>
      <c r="V250" s="54">
        <v>104.5</v>
      </c>
      <c r="W250" s="52">
        <f t="shared" si="31"/>
        <v>0.28645833333333331</v>
      </c>
      <c r="X250" s="54">
        <f t="shared" si="73"/>
        <v>1306.25</v>
      </c>
      <c r="Y250" s="50" t="str">
        <f t="shared" si="74"/>
        <v>è in grado</v>
      </c>
      <c r="Z250" s="50" t="str">
        <f t="shared" si="75"/>
        <v>non sottende</v>
      </c>
      <c r="AA250" s="106">
        <f t="shared" si="76"/>
        <v>364.8</v>
      </c>
      <c r="AB250" s="50" t="str">
        <f t="shared" si="77"/>
        <v>A</v>
      </c>
      <c r="AC250" s="50" t="str">
        <f t="shared" si="3"/>
        <v>SI</v>
      </c>
      <c r="AD250" s="50" t="str">
        <f t="shared" si="78"/>
        <v>Si</v>
      </c>
      <c r="AE250" s="50" t="s">
        <v>147</v>
      </c>
      <c r="AF250" s="55">
        <v>2.15</v>
      </c>
      <c r="AG250" s="55">
        <v>148</v>
      </c>
      <c r="AH250" s="55">
        <v>438</v>
      </c>
      <c r="AI250" s="55" t="str">
        <f t="shared" si="69"/>
        <v xml:space="preserve"> </v>
      </c>
      <c r="AJ250" s="53">
        <v>136.80000000000001</v>
      </c>
      <c r="AK250" s="53">
        <f t="shared" si="79"/>
        <v>0.31798245614035087</v>
      </c>
      <c r="AL250" s="53">
        <f t="shared" si="71"/>
        <v>43.5</v>
      </c>
      <c r="AM250" s="50" t="s">
        <v>190</v>
      </c>
      <c r="AN250" s="56" t="s">
        <v>222</v>
      </c>
      <c r="AO250" s="57">
        <v>46657</v>
      </c>
      <c r="AP250" s="58" t="s">
        <v>1316</v>
      </c>
      <c r="AQ250" s="58" t="s">
        <v>1094</v>
      </c>
      <c r="AR250" s="58" t="s">
        <v>239</v>
      </c>
      <c r="AS250" s="58"/>
      <c r="AT250" s="4" t="s">
        <v>1317</v>
      </c>
      <c r="AU250" s="1"/>
      <c r="AV250" s="1"/>
      <c r="AW250" s="1"/>
      <c r="AX250" s="1"/>
      <c r="AY250" s="1"/>
      <c r="AZ250" s="1"/>
      <c r="BA250" s="1"/>
      <c r="BB250" s="1"/>
      <c r="BC250" s="1"/>
      <c r="BD250" s="1"/>
      <c r="BE250" s="1"/>
      <c r="BF250" s="1"/>
      <c r="BG250" s="1"/>
    </row>
    <row r="251" spans="1:59" ht="14.25" customHeight="1" x14ac:dyDescent="0.25">
      <c r="A251" s="1"/>
      <c r="B251" s="50"/>
      <c r="C251" s="50" t="s">
        <v>1338</v>
      </c>
      <c r="D251" s="50"/>
      <c r="E251" s="50" t="str">
        <f t="shared" si="0"/>
        <v>001B</v>
      </c>
      <c r="F251" s="50" t="s">
        <v>1339</v>
      </c>
      <c r="G251" s="50" t="s">
        <v>141</v>
      </c>
      <c r="H251" s="50" t="s">
        <v>1340</v>
      </c>
      <c r="I251" s="50" t="s">
        <v>1341</v>
      </c>
      <c r="J251" s="50" t="s">
        <v>1342</v>
      </c>
      <c r="K251" s="50" t="s">
        <v>141</v>
      </c>
      <c r="L251" s="50" t="s">
        <v>1343</v>
      </c>
      <c r="M251" s="51" t="s">
        <v>221</v>
      </c>
      <c r="N251" s="52" t="s">
        <v>145</v>
      </c>
      <c r="O251" s="50" t="s">
        <v>151</v>
      </c>
      <c r="P251" s="50">
        <v>388</v>
      </c>
      <c r="Q251" s="53">
        <v>0</v>
      </c>
      <c r="R251" s="53">
        <f t="shared" si="60"/>
        <v>388</v>
      </c>
      <c r="S251" s="54">
        <v>0.91</v>
      </c>
      <c r="T251" s="54">
        <v>0</v>
      </c>
      <c r="U251" s="54">
        <f t="shared" si="72"/>
        <v>0.91</v>
      </c>
      <c r="V251" s="54">
        <v>116.88</v>
      </c>
      <c r="W251" s="52">
        <f t="shared" si="31"/>
        <v>4.4907407407407405</v>
      </c>
      <c r="X251" s="54">
        <f t="shared" si="73"/>
        <v>128.43956043956044</v>
      </c>
      <c r="Y251" s="50" t="str">
        <f t="shared" si="74"/>
        <v>è in grado</v>
      </c>
      <c r="Z251" s="50" t="str">
        <f t="shared" si="75"/>
        <v>non sottende</v>
      </c>
      <c r="AA251" s="106">
        <f t="shared" si="76"/>
        <v>26.026886597938145</v>
      </c>
      <c r="AB251" s="50" t="str">
        <f t="shared" si="77"/>
        <v>A</v>
      </c>
      <c r="AC251" s="50" t="str">
        <f t="shared" si="3"/>
        <v>SI</v>
      </c>
      <c r="AD251" s="50" t="str">
        <f t="shared" si="78"/>
        <v>Si</v>
      </c>
      <c r="AE251" s="50" t="s">
        <v>147</v>
      </c>
      <c r="AF251" s="55">
        <v>1.41</v>
      </c>
      <c r="AG251" s="55">
        <v>267</v>
      </c>
      <c r="AH251" s="55">
        <v>815</v>
      </c>
      <c r="AI251" s="55" t="str">
        <f t="shared" si="69"/>
        <v xml:space="preserve"> </v>
      </c>
      <c r="AJ251" s="53">
        <v>212.81</v>
      </c>
      <c r="AK251" s="53">
        <f t="shared" si="79"/>
        <v>0.705417978478455</v>
      </c>
      <c r="AL251" s="53">
        <f t="shared" si="71"/>
        <v>150.12</v>
      </c>
      <c r="AM251" s="50" t="s">
        <v>152</v>
      </c>
      <c r="AN251" s="56" t="s">
        <v>222</v>
      </c>
      <c r="AO251" s="66"/>
      <c r="AP251" s="58" t="s">
        <v>223</v>
      </c>
      <c r="AQ251" s="58" t="s">
        <v>224</v>
      </c>
      <c r="AR251" s="58" t="s">
        <v>225</v>
      </c>
      <c r="AS251" s="58" t="s">
        <v>92</v>
      </c>
      <c r="AT251" s="50"/>
      <c r="AU251" s="1"/>
      <c r="AV251" s="1"/>
      <c r="AW251" s="1"/>
      <c r="AX251" s="1"/>
      <c r="AY251" s="1"/>
      <c r="AZ251" s="1"/>
      <c r="BA251" s="1"/>
      <c r="BB251" s="1"/>
      <c r="BC251" s="1"/>
      <c r="BD251" s="1"/>
      <c r="BE251" s="1"/>
      <c r="BF251" s="1"/>
      <c r="BG251" s="1"/>
    </row>
    <row r="252" spans="1:59" ht="14.25" customHeight="1" x14ac:dyDescent="0.25">
      <c r="A252" s="1"/>
      <c r="B252" s="50"/>
      <c r="C252" s="50" t="s">
        <v>1344</v>
      </c>
      <c r="D252" s="50" t="s">
        <v>1345</v>
      </c>
      <c r="E252" s="50" t="str">
        <f t="shared" si="0"/>
        <v>PP0200300021001B</v>
      </c>
      <c r="F252" s="50" t="s">
        <v>1346</v>
      </c>
      <c r="G252" s="50" t="s">
        <v>141</v>
      </c>
      <c r="H252" s="50" t="s">
        <v>95</v>
      </c>
      <c r="I252" s="50" t="s">
        <v>1347</v>
      </c>
      <c r="J252" s="50" t="s">
        <v>1348</v>
      </c>
      <c r="K252" s="50" t="s">
        <v>141</v>
      </c>
      <c r="L252" s="50" t="s">
        <v>1349</v>
      </c>
      <c r="M252" s="50"/>
      <c r="N252" s="52" t="s">
        <v>145</v>
      </c>
      <c r="O252" s="50" t="s">
        <v>159</v>
      </c>
      <c r="P252" s="50">
        <v>11849</v>
      </c>
      <c r="Q252" s="53">
        <v>0</v>
      </c>
      <c r="R252" s="53">
        <f t="shared" si="60"/>
        <v>11849</v>
      </c>
      <c r="S252" s="54">
        <v>27.87</v>
      </c>
      <c r="T252" s="54">
        <v>0</v>
      </c>
      <c r="U252" s="54">
        <f t="shared" si="72"/>
        <v>27.87</v>
      </c>
      <c r="V252" s="54">
        <v>208</v>
      </c>
      <c r="W252" s="52">
        <f t="shared" si="31"/>
        <v>137.1412037037037</v>
      </c>
      <c r="X252" s="54">
        <f t="shared" si="73"/>
        <v>7.4632221026193033</v>
      </c>
      <c r="Y252" s="50" t="str">
        <f t="shared" si="74"/>
        <v>è in grado</v>
      </c>
      <c r="Z252" s="50" t="str">
        <f t="shared" si="75"/>
        <v>sottende</v>
      </c>
      <c r="AA252" s="106">
        <f t="shared" si="76"/>
        <v>1.5166849523166512</v>
      </c>
      <c r="AB252" s="50" t="str">
        <f t="shared" si="77"/>
        <v>B</v>
      </c>
      <c r="AC252" s="50" t="str">
        <f t="shared" si="3"/>
        <v>SI</v>
      </c>
      <c r="AD252" s="50" t="str">
        <f t="shared" si="78"/>
        <v>Si</v>
      </c>
      <c r="AE252" s="50" t="s">
        <v>605</v>
      </c>
      <c r="AF252" s="55">
        <v>129.33000000000001</v>
      </c>
      <c r="AG252" s="55">
        <v>7282</v>
      </c>
      <c r="AH252" s="55">
        <v>11047</v>
      </c>
      <c r="AI252" s="55" t="str">
        <f t="shared" si="69"/>
        <v xml:space="preserve"> </v>
      </c>
      <c r="AJ252" s="53">
        <v>116.64</v>
      </c>
      <c r="AK252" s="53">
        <f>((MIN(AG252))-V252)/AJ252</f>
        <v>60.648148148148145</v>
      </c>
      <c r="AL252" s="53">
        <f t="shared" si="71"/>
        <v>7074</v>
      </c>
      <c r="AM252" s="50" t="s">
        <v>152</v>
      </c>
      <c r="AN252" s="56" t="s">
        <v>236</v>
      </c>
      <c r="AO252" s="57">
        <v>46712</v>
      </c>
      <c r="AP252" s="58" t="s">
        <v>1350</v>
      </c>
      <c r="AQ252" s="58" t="s">
        <v>313</v>
      </c>
      <c r="AR252" s="75">
        <v>51037</v>
      </c>
      <c r="AS252" s="58" t="s">
        <v>1351</v>
      </c>
      <c r="AT252" s="55" t="s">
        <v>1352</v>
      </c>
      <c r="AU252" s="1"/>
      <c r="AV252" s="1"/>
      <c r="AW252" s="1"/>
      <c r="AX252" s="1"/>
      <c r="AY252" s="1"/>
      <c r="AZ252" s="1"/>
      <c r="BA252" s="1"/>
      <c r="BB252" s="1"/>
      <c r="BC252" s="1"/>
      <c r="BD252" s="1"/>
      <c r="BE252" s="1"/>
      <c r="BF252" s="1"/>
      <c r="BG252" s="1"/>
    </row>
    <row r="253" spans="1:59" ht="14.25" customHeight="1" x14ac:dyDescent="0.25">
      <c r="A253" s="1"/>
      <c r="B253" s="50"/>
      <c r="C253" s="50" t="s">
        <v>1353</v>
      </c>
      <c r="D253" s="50" t="s">
        <v>1354</v>
      </c>
      <c r="E253" s="50" t="str">
        <f t="shared" si="0"/>
        <v>PP0200300015001B</v>
      </c>
      <c r="F253" s="50"/>
      <c r="G253" s="50" t="s">
        <v>141</v>
      </c>
      <c r="H253" s="50" t="s">
        <v>95</v>
      </c>
      <c r="I253" s="50" t="s">
        <v>1355</v>
      </c>
      <c r="J253" s="50" t="s">
        <v>1356</v>
      </c>
      <c r="K253" s="50" t="s">
        <v>141</v>
      </c>
      <c r="L253" s="50" t="s">
        <v>1357</v>
      </c>
      <c r="M253" s="50"/>
      <c r="N253" s="52" t="s">
        <v>145</v>
      </c>
      <c r="O253" s="50" t="s">
        <v>159</v>
      </c>
      <c r="P253" s="50">
        <v>7268</v>
      </c>
      <c r="Q253" s="53">
        <v>0</v>
      </c>
      <c r="R253" s="53">
        <f t="shared" si="60"/>
        <v>7268</v>
      </c>
      <c r="S253" s="54">
        <v>17.09</v>
      </c>
      <c r="T253" s="54">
        <v>0.02</v>
      </c>
      <c r="U253" s="54">
        <f t="shared" si="72"/>
        <v>17.11</v>
      </c>
      <c r="V253" s="54">
        <v>150</v>
      </c>
      <c r="W253" s="52">
        <f t="shared" si="31"/>
        <v>84.120370370370367</v>
      </c>
      <c r="X253" s="54">
        <f t="shared" si="73"/>
        <v>8.766803039158388</v>
      </c>
      <c r="Y253" s="50" t="str">
        <f t="shared" si="74"/>
        <v>è in grado</v>
      </c>
      <c r="Z253" s="50" t="str">
        <f t="shared" si="75"/>
        <v>non sottende</v>
      </c>
      <c r="AA253" s="106">
        <f t="shared" si="76"/>
        <v>1.7831590533847002</v>
      </c>
      <c r="AB253" s="50" t="str">
        <f t="shared" si="77"/>
        <v>B</v>
      </c>
      <c r="AC253" s="50" t="str">
        <f t="shared" si="3"/>
        <v>SI</v>
      </c>
      <c r="AD253" s="50" t="str">
        <f t="shared" si="78"/>
        <v>Si</v>
      </c>
      <c r="AE253" s="50" t="s">
        <v>605</v>
      </c>
      <c r="AF253" s="55">
        <v>69.16</v>
      </c>
      <c r="AG253" s="55">
        <v>6247</v>
      </c>
      <c r="AH253" s="55">
        <v>4437</v>
      </c>
      <c r="AI253" s="55" t="str">
        <f t="shared" si="69"/>
        <v>Manufatto limitante</v>
      </c>
      <c r="AJ253" s="53">
        <v>101.47</v>
      </c>
      <c r="AK253" s="53">
        <f t="shared" ref="AK253:AK294" si="80">((MIN(AG253:AH253))-V253)/AJ253</f>
        <v>42.248940573568539</v>
      </c>
      <c r="AL253" s="53">
        <f t="shared" si="71"/>
        <v>4287</v>
      </c>
      <c r="AM253" s="50" t="s">
        <v>152</v>
      </c>
      <c r="AN253" s="56" t="s">
        <v>236</v>
      </c>
      <c r="AO253" s="57">
        <v>46698</v>
      </c>
      <c r="AP253" s="58" t="s">
        <v>1358</v>
      </c>
      <c r="AQ253" s="58" t="s">
        <v>313</v>
      </c>
      <c r="AR253" s="58" t="s">
        <v>544</v>
      </c>
      <c r="AS253" s="64"/>
      <c r="AT253" s="55"/>
      <c r="AU253" s="1"/>
      <c r="AV253" s="1"/>
      <c r="AW253" s="1"/>
      <c r="AX253" s="1"/>
      <c r="AY253" s="1"/>
      <c r="AZ253" s="1"/>
      <c r="BA253" s="1"/>
      <c r="BB253" s="1"/>
      <c r="BC253" s="1"/>
      <c r="BD253" s="1"/>
      <c r="BE253" s="1"/>
      <c r="BF253" s="1"/>
      <c r="BG253" s="1"/>
    </row>
    <row r="254" spans="1:59" ht="14.25" customHeight="1" x14ac:dyDescent="0.25">
      <c r="A254" s="1"/>
      <c r="B254" s="50"/>
      <c r="C254" s="50" t="s">
        <v>1359</v>
      </c>
      <c r="D254" s="50" t="s">
        <v>1360</v>
      </c>
      <c r="E254" s="50" t="str">
        <f t="shared" si="0"/>
        <v>PP0200300004001B</v>
      </c>
      <c r="F254" s="50"/>
      <c r="G254" s="50" t="s">
        <v>141</v>
      </c>
      <c r="H254" s="50" t="s">
        <v>167</v>
      </c>
      <c r="I254" s="50" t="s">
        <v>1361</v>
      </c>
      <c r="J254" s="50" t="s">
        <v>1362</v>
      </c>
      <c r="K254" s="50" t="s">
        <v>141</v>
      </c>
      <c r="L254" s="50" t="s">
        <v>1363</v>
      </c>
      <c r="M254" s="50"/>
      <c r="N254" s="52" t="s">
        <v>145</v>
      </c>
      <c r="O254" s="50" t="s">
        <v>159</v>
      </c>
      <c r="P254" s="50">
        <v>534</v>
      </c>
      <c r="Q254" s="53">
        <v>0</v>
      </c>
      <c r="R254" s="53">
        <f t="shared" si="60"/>
        <v>534</v>
      </c>
      <c r="S254" s="54">
        <v>1.26</v>
      </c>
      <c r="T254" s="54">
        <v>0</v>
      </c>
      <c r="U254" s="54">
        <f t="shared" si="72"/>
        <v>1.26</v>
      </c>
      <c r="V254" s="54">
        <v>7</v>
      </c>
      <c r="W254" s="52">
        <f t="shared" si="31"/>
        <v>6.1805555555555554</v>
      </c>
      <c r="X254" s="54">
        <f t="shared" si="73"/>
        <v>5.5555555555555554</v>
      </c>
      <c r="Y254" s="50" t="str">
        <f t="shared" si="74"/>
        <v>è in grado</v>
      </c>
      <c r="Z254" s="50" t="str">
        <f t="shared" si="75"/>
        <v>non sottende</v>
      </c>
      <c r="AA254" s="106">
        <f t="shared" si="76"/>
        <v>1.1325842696629214</v>
      </c>
      <c r="AB254" s="50" t="str">
        <f t="shared" si="77"/>
        <v>B</v>
      </c>
      <c r="AC254" s="50" t="str">
        <f t="shared" si="3"/>
        <v>SI</v>
      </c>
      <c r="AD254" s="50" t="str">
        <f t="shared" si="78"/>
        <v>No</v>
      </c>
      <c r="AE254" s="50" t="s">
        <v>605</v>
      </c>
      <c r="AF254" s="55">
        <v>3.17</v>
      </c>
      <c r="AG254" s="55">
        <v>374</v>
      </c>
      <c r="AH254" s="55">
        <v>1116</v>
      </c>
      <c r="AI254" s="55" t="str">
        <f t="shared" si="69"/>
        <v xml:space="preserve"> </v>
      </c>
      <c r="AJ254" s="53">
        <v>240.52</v>
      </c>
      <c r="AK254" s="53">
        <f t="shared" si="80"/>
        <v>1.5258606352902044</v>
      </c>
      <c r="AL254" s="53">
        <f t="shared" si="71"/>
        <v>367</v>
      </c>
      <c r="AM254" s="50" t="s">
        <v>152</v>
      </c>
      <c r="AN254" s="56" t="s">
        <v>236</v>
      </c>
      <c r="AO254" s="57">
        <v>46698</v>
      </c>
      <c r="AP254" s="58" t="s">
        <v>1364</v>
      </c>
      <c r="AQ254" s="58" t="s">
        <v>313</v>
      </c>
      <c r="AR254" s="58" t="s">
        <v>544</v>
      </c>
      <c r="AS254" s="64"/>
      <c r="AT254" s="55"/>
      <c r="AU254" s="1"/>
      <c r="AV254" s="1"/>
      <c r="AW254" s="1"/>
      <c r="AX254" s="1"/>
      <c r="AY254" s="1"/>
      <c r="AZ254" s="1"/>
      <c r="BA254" s="1"/>
      <c r="BB254" s="1"/>
      <c r="BC254" s="1"/>
      <c r="BD254" s="1"/>
      <c r="BE254" s="1"/>
      <c r="BF254" s="1"/>
      <c r="BG254" s="1"/>
    </row>
    <row r="255" spans="1:59" ht="14.25" customHeight="1" x14ac:dyDescent="0.25">
      <c r="A255" s="1"/>
      <c r="B255" s="50"/>
      <c r="C255" s="50" t="s">
        <v>1365</v>
      </c>
      <c r="D255" s="50" t="s">
        <v>1366</v>
      </c>
      <c r="E255" s="50" t="str">
        <f t="shared" si="0"/>
        <v>PP0200300007001B</v>
      </c>
      <c r="F255" s="50"/>
      <c r="G255" s="50" t="s">
        <v>141</v>
      </c>
      <c r="H255" s="50" t="s">
        <v>1367</v>
      </c>
      <c r="I255" s="50" t="s">
        <v>1367</v>
      </c>
      <c r="J255" s="50" t="s">
        <v>1368</v>
      </c>
      <c r="K255" s="50" t="s">
        <v>141</v>
      </c>
      <c r="L255" s="50" t="s">
        <v>1369</v>
      </c>
      <c r="M255" s="50"/>
      <c r="N255" s="52"/>
      <c r="O255" s="50" t="s">
        <v>151</v>
      </c>
      <c r="P255" s="50">
        <v>683</v>
      </c>
      <c r="Q255" s="53">
        <v>0</v>
      </c>
      <c r="R255" s="53">
        <f t="shared" si="60"/>
        <v>683</v>
      </c>
      <c r="S255" s="54">
        <v>1.61</v>
      </c>
      <c r="T255" s="54">
        <v>0</v>
      </c>
      <c r="U255" s="54">
        <f t="shared" si="72"/>
        <v>1.61</v>
      </c>
      <c r="V255" s="54">
        <v>36.659999999999997</v>
      </c>
      <c r="W255" s="52">
        <f t="shared" si="31"/>
        <v>5.9288194444444446</v>
      </c>
      <c r="X255" s="54">
        <f t="shared" si="73"/>
        <v>22.770186335403722</v>
      </c>
      <c r="Y255" s="50" t="str">
        <f t="shared" si="74"/>
        <v>è in grado</v>
      </c>
      <c r="Z255" s="50" t="str">
        <f t="shared" si="75"/>
        <v>non sottende</v>
      </c>
      <c r="AA255" s="106">
        <f t="shared" si="76"/>
        <v>6.1833557833089303</v>
      </c>
      <c r="AB255" s="50" t="str">
        <f t="shared" si="77"/>
        <v>A</v>
      </c>
      <c r="AC255" s="50" t="str">
        <f t="shared" si="3"/>
        <v>SI</v>
      </c>
      <c r="AD255" s="50" t="str">
        <f t="shared" si="78"/>
        <v>Si</v>
      </c>
      <c r="AE255" s="50" t="s">
        <v>147</v>
      </c>
      <c r="AF255" s="55">
        <v>22.51</v>
      </c>
      <c r="AG255" s="55">
        <v>2060</v>
      </c>
      <c r="AH255" s="55">
        <v>2638</v>
      </c>
      <c r="AI255" s="55" t="str">
        <f t="shared" si="69"/>
        <v xml:space="preserve"> </v>
      </c>
      <c r="AJ255" s="53">
        <v>197.08</v>
      </c>
      <c r="AK255" s="53">
        <f t="shared" si="80"/>
        <v>10.266592246803327</v>
      </c>
      <c r="AL255" s="53">
        <f t="shared" si="71"/>
        <v>2023.34</v>
      </c>
      <c r="AM255" s="50" t="s">
        <v>190</v>
      </c>
      <c r="AN255" s="56" t="s">
        <v>222</v>
      </c>
      <c r="AO255" s="66"/>
      <c r="AP255" s="58" t="s">
        <v>1370</v>
      </c>
      <c r="AQ255" s="58" t="s">
        <v>238</v>
      </c>
      <c r="AR255" s="58"/>
      <c r="AS255" s="64"/>
      <c r="AT255" s="50"/>
      <c r="AU255" s="1"/>
      <c r="AV255" s="1"/>
      <c r="AW255" s="1"/>
      <c r="AX255" s="1"/>
      <c r="AY255" s="1"/>
      <c r="AZ255" s="1"/>
      <c r="BA255" s="1"/>
      <c r="BB255" s="1"/>
      <c r="BC255" s="1"/>
      <c r="BD255" s="1"/>
      <c r="BE255" s="1"/>
      <c r="BF255" s="1"/>
      <c r="BG255" s="1"/>
    </row>
    <row r="256" spans="1:59" ht="14.25" customHeight="1" x14ac:dyDescent="0.25">
      <c r="A256" s="1"/>
      <c r="B256" s="50"/>
      <c r="C256" s="50" t="s">
        <v>1371</v>
      </c>
      <c r="D256" s="50" t="s">
        <v>1372</v>
      </c>
      <c r="E256" s="50" t="str">
        <f t="shared" si="0"/>
        <v>PP0200300008001B</v>
      </c>
      <c r="F256" s="50"/>
      <c r="G256" s="50" t="s">
        <v>141</v>
      </c>
      <c r="H256" s="50" t="s">
        <v>1367</v>
      </c>
      <c r="I256" s="50" t="s">
        <v>1367</v>
      </c>
      <c r="J256" s="50" t="s">
        <v>1373</v>
      </c>
      <c r="K256" s="50" t="s">
        <v>141</v>
      </c>
      <c r="L256" s="50" t="s">
        <v>1369</v>
      </c>
      <c r="M256" s="50"/>
      <c r="N256" s="52"/>
      <c r="O256" s="50" t="s">
        <v>159</v>
      </c>
      <c r="P256" s="50">
        <v>190</v>
      </c>
      <c r="Q256" s="53">
        <v>0</v>
      </c>
      <c r="R256" s="53">
        <f t="shared" si="60"/>
        <v>190</v>
      </c>
      <c r="S256" s="54">
        <v>0.45</v>
      </c>
      <c r="T256" s="54">
        <v>0</v>
      </c>
      <c r="U256" s="54">
        <f t="shared" si="72"/>
        <v>0.45</v>
      </c>
      <c r="V256" s="54">
        <v>17</v>
      </c>
      <c r="W256" s="52">
        <f t="shared" si="31"/>
        <v>1.6493055555555556</v>
      </c>
      <c r="X256" s="54">
        <f t="shared" si="73"/>
        <v>37.777777777777779</v>
      </c>
      <c r="Y256" s="50" t="str">
        <f t="shared" si="74"/>
        <v>è in grado</v>
      </c>
      <c r="Z256" s="50" t="str">
        <f t="shared" si="75"/>
        <v>non sottende</v>
      </c>
      <c r="AA256" s="106">
        <f t="shared" si="76"/>
        <v>10.307368421052631</v>
      </c>
      <c r="AB256" s="50" t="str">
        <f t="shared" si="77"/>
        <v>A</v>
      </c>
      <c r="AC256" s="50" t="str">
        <f t="shared" si="3"/>
        <v>SI</v>
      </c>
      <c r="AD256" s="50" t="str">
        <f t="shared" si="78"/>
        <v>No</v>
      </c>
      <c r="AE256" s="50" t="s">
        <v>147</v>
      </c>
      <c r="AF256" s="55">
        <v>3.06</v>
      </c>
      <c r="AG256" s="55">
        <v>290</v>
      </c>
      <c r="AH256" s="55">
        <v>680</v>
      </c>
      <c r="AI256" s="55" t="str">
        <f t="shared" si="69"/>
        <v xml:space="preserve"> </v>
      </c>
      <c r="AJ256" s="53">
        <v>203.8</v>
      </c>
      <c r="AK256" s="53">
        <f t="shared" si="80"/>
        <v>1.33954857703631</v>
      </c>
      <c r="AL256" s="53">
        <f t="shared" si="71"/>
        <v>273</v>
      </c>
      <c r="AM256" s="50" t="s">
        <v>190</v>
      </c>
      <c r="AN256" s="56" t="s">
        <v>236</v>
      </c>
      <c r="AO256" s="66"/>
      <c r="AP256" s="58" t="s">
        <v>1370</v>
      </c>
      <c r="AQ256" s="58" t="s">
        <v>238</v>
      </c>
      <c r="AR256" s="58"/>
      <c r="AS256" s="64"/>
      <c r="AT256" s="50"/>
      <c r="AU256" s="1"/>
      <c r="AV256" s="1"/>
      <c r="AW256" s="1"/>
      <c r="AX256" s="1"/>
      <c r="AY256" s="1"/>
      <c r="AZ256" s="1"/>
      <c r="BA256" s="1"/>
      <c r="BB256" s="1"/>
      <c r="BC256" s="1"/>
      <c r="BD256" s="1"/>
      <c r="BE256" s="1"/>
      <c r="BF256" s="1"/>
      <c r="BG256" s="1"/>
    </row>
    <row r="257" spans="1:59" ht="14.25" customHeight="1" x14ac:dyDescent="0.25">
      <c r="A257" s="1"/>
      <c r="B257" s="50"/>
      <c r="C257" s="50" t="s">
        <v>1374</v>
      </c>
      <c r="D257" s="50" t="s">
        <v>1375</v>
      </c>
      <c r="E257" s="50" t="str">
        <f t="shared" si="0"/>
        <v>PP0200300036001B</v>
      </c>
      <c r="F257" s="50"/>
      <c r="G257" s="50" t="s">
        <v>141</v>
      </c>
      <c r="H257" s="50" t="s">
        <v>1376</v>
      </c>
      <c r="I257" s="50" t="s">
        <v>1377</v>
      </c>
      <c r="J257" s="50" t="s">
        <v>1378</v>
      </c>
      <c r="K257" s="50" t="s">
        <v>141</v>
      </c>
      <c r="L257" s="50" t="s">
        <v>1379</v>
      </c>
      <c r="M257" s="50"/>
      <c r="N257" s="52" t="s">
        <v>145</v>
      </c>
      <c r="O257" s="50" t="s">
        <v>159</v>
      </c>
      <c r="P257" s="50">
        <v>5368</v>
      </c>
      <c r="Q257" s="53">
        <v>8</v>
      </c>
      <c r="R257" s="53">
        <f t="shared" si="60"/>
        <v>5376</v>
      </c>
      <c r="S257" s="54">
        <v>12.62</v>
      </c>
      <c r="T257" s="54">
        <v>0.66</v>
      </c>
      <c r="U257" s="54">
        <f t="shared" si="72"/>
        <v>13.28</v>
      </c>
      <c r="V257" s="54">
        <v>125</v>
      </c>
      <c r="W257" s="52">
        <f t="shared" si="31"/>
        <v>62.222222222222221</v>
      </c>
      <c r="X257" s="54">
        <f t="shared" si="73"/>
        <v>9.4126506024096397</v>
      </c>
      <c r="Y257" s="50" t="str">
        <f t="shared" si="74"/>
        <v>è in grado</v>
      </c>
      <c r="Z257" s="50" t="str">
        <f t="shared" si="75"/>
        <v>non sottende</v>
      </c>
      <c r="AA257" s="106">
        <f t="shared" si="76"/>
        <v>2.0089285714285716</v>
      </c>
      <c r="AB257" s="50" t="str">
        <f t="shared" si="77"/>
        <v>A</v>
      </c>
      <c r="AC257" s="50" t="str">
        <f t="shared" si="3"/>
        <v>SI</v>
      </c>
      <c r="AD257" s="50" t="str">
        <f t="shared" si="78"/>
        <v>Si</v>
      </c>
      <c r="AE257" s="50" t="s">
        <v>147</v>
      </c>
      <c r="AF257" s="55">
        <v>22.38</v>
      </c>
      <c r="AG257" s="55">
        <v>881.65</v>
      </c>
      <c r="AH257" s="55">
        <v>6524</v>
      </c>
      <c r="AI257" s="55" t="str">
        <f t="shared" si="69"/>
        <v xml:space="preserve"> </v>
      </c>
      <c r="AJ257" s="53">
        <v>164.2</v>
      </c>
      <c r="AK257" s="53">
        <f t="shared" si="80"/>
        <v>4.6080998781973204</v>
      </c>
      <c r="AL257" s="53">
        <v>756.65</v>
      </c>
      <c r="AM257" s="50" t="s">
        <v>152</v>
      </c>
      <c r="AN257" s="56" t="s">
        <v>236</v>
      </c>
      <c r="AO257" s="57">
        <v>47429</v>
      </c>
      <c r="AP257" s="58" t="s">
        <v>1380</v>
      </c>
      <c r="AQ257" s="58" t="s">
        <v>313</v>
      </c>
      <c r="AR257" s="58" t="s">
        <v>544</v>
      </c>
      <c r="AS257" s="64"/>
      <c r="AT257" s="1"/>
      <c r="AU257" s="1"/>
      <c r="AV257" s="1"/>
      <c r="AW257" s="1"/>
      <c r="AX257" s="1"/>
      <c r="AY257" s="1"/>
      <c r="AZ257" s="1"/>
      <c r="BA257" s="1"/>
      <c r="BB257" s="1"/>
      <c r="BC257" s="1"/>
      <c r="BD257" s="1"/>
      <c r="BE257" s="1"/>
      <c r="BF257" s="1"/>
      <c r="BG257" s="1"/>
    </row>
    <row r="258" spans="1:59" ht="14.25" customHeight="1" x14ac:dyDescent="0.25">
      <c r="A258" s="1"/>
      <c r="B258" s="50"/>
      <c r="C258" s="50" t="s">
        <v>1381</v>
      </c>
      <c r="D258" s="50"/>
      <c r="E258" s="50" t="str">
        <f t="shared" si="0"/>
        <v>001B</v>
      </c>
      <c r="F258" s="50" t="s">
        <v>1339</v>
      </c>
      <c r="G258" s="50" t="s">
        <v>141</v>
      </c>
      <c r="H258" s="50" t="s">
        <v>1340</v>
      </c>
      <c r="I258" s="50" t="s">
        <v>1382</v>
      </c>
      <c r="J258" s="50" t="s">
        <v>1383</v>
      </c>
      <c r="K258" s="50" t="s">
        <v>141</v>
      </c>
      <c r="L258" s="50" t="s">
        <v>1343</v>
      </c>
      <c r="M258" s="51" t="s">
        <v>221</v>
      </c>
      <c r="N258" s="52" t="s">
        <v>145</v>
      </c>
      <c r="O258" s="50" t="s">
        <v>151</v>
      </c>
      <c r="P258" s="50">
        <v>28</v>
      </c>
      <c r="Q258" s="53">
        <v>0</v>
      </c>
      <c r="R258" s="53">
        <f t="shared" si="60"/>
        <v>28</v>
      </c>
      <c r="S258" s="54">
        <v>7.0000000000000007E-2</v>
      </c>
      <c r="T258" s="54">
        <v>0</v>
      </c>
      <c r="U258" s="54">
        <f t="shared" si="72"/>
        <v>7.0000000000000007E-2</v>
      </c>
      <c r="V258" s="54">
        <v>88.5</v>
      </c>
      <c r="W258" s="52">
        <f t="shared" si="31"/>
        <v>0.32407407407407407</v>
      </c>
      <c r="X258" s="54">
        <f t="shared" si="73"/>
        <v>1264.2857142857142</v>
      </c>
      <c r="Y258" s="50" t="str">
        <f t="shared" si="74"/>
        <v>è in grado</v>
      </c>
      <c r="Z258" s="50" t="str">
        <f t="shared" si="75"/>
        <v>non sottende</v>
      </c>
      <c r="AA258" s="106">
        <f t="shared" si="76"/>
        <v>273.08571428571429</v>
      </c>
      <c r="AB258" s="50" t="str">
        <f t="shared" si="77"/>
        <v>A</v>
      </c>
      <c r="AC258" s="50" t="str">
        <f t="shared" si="3"/>
        <v>SI</v>
      </c>
      <c r="AD258" s="50" t="str">
        <f t="shared" si="78"/>
        <v>Si</v>
      </c>
      <c r="AE258" s="50" t="s">
        <v>147</v>
      </c>
      <c r="AF258" s="55">
        <v>0.44</v>
      </c>
      <c r="AG258" s="55">
        <v>63</v>
      </c>
      <c r="AH258" s="55">
        <v>198</v>
      </c>
      <c r="AI258" s="55" t="str">
        <f t="shared" si="69"/>
        <v xml:space="preserve"> </v>
      </c>
      <c r="AJ258" s="53">
        <v>0</v>
      </c>
      <c r="AK258" s="53" t="e">
        <f t="shared" si="80"/>
        <v>#DIV/0!</v>
      </c>
      <c r="AL258" s="53">
        <f t="shared" ref="AL258:AL283" si="81">MIN(AG258:AH258)-V258</f>
        <v>-25.5</v>
      </c>
      <c r="AM258" s="50" t="s">
        <v>147</v>
      </c>
      <c r="AN258" s="56" t="s">
        <v>222</v>
      </c>
      <c r="AO258" s="66"/>
      <c r="AP258" s="58" t="s">
        <v>223</v>
      </c>
      <c r="AQ258" s="58" t="s">
        <v>224</v>
      </c>
      <c r="AR258" s="58" t="s">
        <v>225</v>
      </c>
      <c r="AS258" s="64"/>
      <c r="AT258" s="55" t="s">
        <v>92</v>
      </c>
      <c r="AU258" s="1"/>
      <c r="AV258" s="1"/>
      <c r="AW258" s="1"/>
      <c r="AX258" s="1"/>
      <c r="AY258" s="1"/>
      <c r="AZ258" s="1"/>
      <c r="BA258" s="1"/>
      <c r="BB258" s="1"/>
      <c r="BC258" s="1"/>
      <c r="BD258" s="1"/>
      <c r="BE258" s="1"/>
      <c r="BF258" s="1"/>
      <c r="BG258" s="1"/>
    </row>
    <row r="259" spans="1:59" ht="14.25" customHeight="1" x14ac:dyDescent="0.25">
      <c r="A259" s="1"/>
      <c r="B259" s="50"/>
      <c r="C259" s="50" t="s">
        <v>1384</v>
      </c>
      <c r="D259" s="50" t="s">
        <v>1385</v>
      </c>
      <c r="E259" s="50" t="str">
        <f t="shared" si="0"/>
        <v>PP0200300029001B</v>
      </c>
      <c r="F259" s="50"/>
      <c r="G259" s="50" t="s">
        <v>141</v>
      </c>
      <c r="H259" s="50" t="s">
        <v>95</v>
      </c>
      <c r="I259" s="50" t="s">
        <v>1386</v>
      </c>
      <c r="J259" s="50" t="s">
        <v>1387</v>
      </c>
      <c r="K259" s="50" t="s">
        <v>141</v>
      </c>
      <c r="L259" s="50" t="s">
        <v>1357</v>
      </c>
      <c r="M259" s="50"/>
      <c r="N259" s="52" t="s">
        <v>145</v>
      </c>
      <c r="O259" s="50" t="s">
        <v>151</v>
      </c>
      <c r="P259" s="50">
        <v>1385</v>
      </c>
      <c r="Q259" s="53">
        <v>0</v>
      </c>
      <c r="R259" s="53">
        <f t="shared" si="60"/>
        <v>1385</v>
      </c>
      <c r="S259" s="54">
        <v>3.26</v>
      </c>
      <c r="T259" s="54">
        <v>0</v>
      </c>
      <c r="U259" s="54">
        <f t="shared" si="72"/>
        <v>3.26</v>
      </c>
      <c r="V259" s="54">
        <v>75.73</v>
      </c>
      <c r="W259" s="52">
        <f t="shared" si="31"/>
        <v>16.030092592592592</v>
      </c>
      <c r="X259" s="54">
        <f t="shared" si="73"/>
        <v>23.230061349693255</v>
      </c>
      <c r="Y259" s="50" t="str">
        <f t="shared" si="74"/>
        <v>è in grado</v>
      </c>
      <c r="Z259" s="50" t="str">
        <f t="shared" si="75"/>
        <v>non sottende</v>
      </c>
      <c r="AA259" s="106">
        <f t="shared" si="76"/>
        <v>4.7242397111913359</v>
      </c>
      <c r="AB259" s="50" t="str">
        <f t="shared" si="77"/>
        <v>A</v>
      </c>
      <c r="AC259" s="50" t="str">
        <f t="shared" si="3"/>
        <v>SI</v>
      </c>
      <c r="AD259" s="50" t="str">
        <f t="shared" si="78"/>
        <v>Si</v>
      </c>
      <c r="AE259" s="50" t="s">
        <v>147</v>
      </c>
      <c r="AF259" s="55">
        <v>8.33</v>
      </c>
      <c r="AG259" s="55">
        <v>1228</v>
      </c>
      <c r="AH259" s="55">
        <v>11604</v>
      </c>
      <c r="AI259" s="55" t="str">
        <f t="shared" si="69"/>
        <v xml:space="preserve"> </v>
      </c>
      <c r="AJ259" s="53">
        <v>203.8</v>
      </c>
      <c r="AK259" s="53">
        <f t="shared" si="80"/>
        <v>5.6539254170755635</v>
      </c>
      <c r="AL259" s="53">
        <f t="shared" si="81"/>
        <v>1152.27</v>
      </c>
      <c r="AM259" s="50" t="s">
        <v>152</v>
      </c>
      <c r="AN259" s="56" t="s">
        <v>236</v>
      </c>
      <c r="AO259" s="57">
        <v>47429</v>
      </c>
      <c r="AP259" s="58" t="s">
        <v>1388</v>
      </c>
      <c r="AQ259" s="58" t="s">
        <v>313</v>
      </c>
      <c r="AR259" s="58" t="s">
        <v>544</v>
      </c>
      <c r="AS259" s="64"/>
      <c r="AT259" s="1"/>
      <c r="AU259" s="1"/>
      <c r="AV259" s="1"/>
      <c r="AW259" s="1"/>
      <c r="AX259" s="1"/>
      <c r="AY259" s="1"/>
      <c r="AZ259" s="1"/>
      <c r="BA259" s="1"/>
      <c r="BB259" s="1"/>
      <c r="BC259" s="1"/>
      <c r="BD259" s="1"/>
      <c r="BE259" s="1"/>
      <c r="BF259" s="1"/>
      <c r="BG259" s="1"/>
    </row>
    <row r="260" spans="1:59" ht="14.25" customHeight="1" x14ac:dyDescent="0.25">
      <c r="A260" s="1"/>
      <c r="B260" s="50"/>
      <c r="C260" s="50" t="s">
        <v>1389</v>
      </c>
      <c r="D260" s="50" t="s">
        <v>1390</v>
      </c>
      <c r="E260" s="50" t="str">
        <f t="shared" si="0"/>
        <v>PP0200300013001B</v>
      </c>
      <c r="F260" s="50"/>
      <c r="G260" s="50" t="s">
        <v>141</v>
      </c>
      <c r="H260" s="50" t="s">
        <v>161</v>
      </c>
      <c r="I260" s="50" t="s">
        <v>162</v>
      </c>
      <c r="J260" s="50" t="s">
        <v>1391</v>
      </c>
      <c r="K260" s="50" t="s">
        <v>141</v>
      </c>
      <c r="L260" s="50" t="s">
        <v>164</v>
      </c>
      <c r="M260" s="50"/>
      <c r="N260" s="52" t="s">
        <v>145</v>
      </c>
      <c r="O260" s="50" t="s">
        <v>151</v>
      </c>
      <c r="P260" s="50">
        <v>15138</v>
      </c>
      <c r="Q260" s="53">
        <v>108</v>
      </c>
      <c r="R260" s="53">
        <f t="shared" si="60"/>
        <v>15246</v>
      </c>
      <c r="S260" s="54">
        <v>35.6</v>
      </c>
      <c r="T260" s="54">
        <v>3.17</v>
      </c>
      <c r="U260" s="54">
        <f t="shared" si="72"/>
        <v>38.770000000000003</v>
      </c>
      <c r="V260" s="54">
        <v>1105.7</v>
      </c>
      <c r="W260" s="52">
        <f t="shared" si="31"/>
        <v>176.45833333333334</v>
      </c>
      <c r="X260" s="54">
        <f t="shared" si="73"/>
        <v>28.519473819963888</v>
      </c>
      <c r="Y260" s="50" t="str">
        <f t="shared" si="74"/>
        <v>è in grado</v>
      </c>
      <c r="Z260" s="50" t="str">
        <f t="shared" si="75"/>
        <v>sottende</v>
      </c>
      <c r="AA260" s="106">
        <f t="shared" si="76"/>
        <v>6.2660684769775674</v>
      </c>
      <c r="AB260" s="50" t="str">
        <f t="shared" si="77"/>
        <v>B</v>
      </c>
      <c r="AC260" s="50" t="str">
        <f t="shared" si="3"/>
        <v>SI</v>
      </c>
      <c r="AD260" s="50" t="str">
        <f t="shared" si="78"/>
        <v>Si</v>
      </c>
      <c r="AE260" s="50" t="s">
        <v>605</v>
      </c>
      <c r="AF260" s="55">
        <v>48.3</v>
      </c>
      <c r="AG260" s="55">
        <v>3210</v>
      </c>
      <c r="AH260" s="55">
        <v>8236</v>
      </c>
      <c r="AI260" s="55" t="str">
        <f t="shared" si="69"/>
        <v xml:space="preserve"> </v>
      </c>
      <c r="AJ260" s="53">
        <v>123.94</v>
      </c>
      <c r="AK260" s="53">
        <f t="shared" si="80"/>
        <v>16.978376633855092</v>
      </c>
      <c r="AL260" s="53">
        <f t="shared" si="81"/>
        <v>2104.3000000000002</v>
      </c>
      <c r="AM260" s="50" t="s">
        <v>1392</v>
      </c>
      <c r="AN260" s="56" t="s">
        <v>222</v>
      </c>
      <c r="AO260" s="57">
        <v>46915</v>
      </c>
      <c r="AP260" s="58" t="s">
        <v>1393</v>
      </c>
      <c r="AQ260" s="58" t="s">
        <v>313</v>
      </c>
      <c r="AR260" s="58" t="s">
        <v>544</v>
      </c>
      <c r="AS260" s="64"/>
      <c r="AT260" s="2"/>
      <c r="AU260" s="1"/>
      <c r="AV260" s="1"/>
      <c r="AW260" s="1"/>
      <c r="AX260" s="1"/>
      <c r="AY260" s="1"/>
      <c r="AZ260" s="1"/>
      <c r="BA260" s="1"/>
      <c r="BB260" s="1"/>
      <c r="BC260" s="1"/>
      <c r="BD260" s="1"/>
      <c r="BE260" s="1"/>
      <c r="BF260" s="1"/>
      <c r="BG260" s="1"/>
    </row>
    <row r="261" spans="1:59" ht="14.25" customHeight="1" x14ac:dyDescent="0.25">
      <c r="A261" s="1"/>
      <c r="B261" s="50"/>
      <c r="C261" s="50" t="s">
        <v>1394</v>
      </c>
      <c r="D261" s="50" t="s">
        <v>1395</v>
      </c>
      <c r="E261" s="50" t="str">
        <f t="shared" si="0"/>
        <v>PP0200300014001B</v>
      </c>
      <c r="F261" s="50" t="s">
        <v>1396</v>
      </c>
      <c r="G261" s="50" t="s">
        <v>141</v>
      </c>
      <c r="H261" s="50" t="s">
        <v>161</v>
      </c>
      <c r="I261" s="50" t="s">
        <v>162</v>
      </c>
      <c r="J261" s="50" t="s">
        <v>1397</v>
      </c>
      <c r="K261" s="50" t="s">
        <v>141</v>
      </c>
      <c r="L261" s="50" t="s">
        <v>164</v>
      </c>
      <c r="M261" s="50"/>
      <c r="N261" s="52" t="s">
        <v>145</v>
      </c>
      <c r="O261" s="50" t="s">
        <v>151</v>
      </c>
      <c r="P261" s="50">
        <v>15237</v>
      </c>
      <c r="Q261" s="53">
        <v>108</v>
      </c>
      <c r="R261" s="53">
        <f t="shared" si="60"/>
        <v>15345</v>
      </c>
      <c r="S261" s="54">
        <v>35.840000000000003</v>
      </c>
      <c r="T261" s="54">
        <v>3.17</v>
      </c>
      <c r="U261" s="54">
        <f t="shared" si="72"/>
        <v>39.010000000000005</v>
      </c>
      <c r="V261" s="54">
        <v>204.32</v>
      </c>
      <c r="W261" s="52">
        <f t="shared" si="31"/>
        <v>177.60416666666666</v>
      </c>
      <c r="X261" s="54">
        <f t="shared" si="73"/>
        <v>5.2376313765701097</v>
      </c>
      <c r="Y261" s="50" t="str">
        <f t="shared" si="74"/>
        <v>è in grado</v>
      </c>
      <c r="Z261" s="50" t="str">
        <f t="shared" si="75"/>
        <v>sottende</v>
      </c>
      <c r="AA261" s="106">
        <f t="shared" si="76"/>
        <v>1.1504234604105572</v>
      </c>
      <c r="AB261" s="50" t="str">
        <f t="shared" si="77"/>
        <v>B</v>
      </c>
      <c r="AC261" s="50" t="str">
        <f t="shared" si="3"/>
        <v>SI</v>
      </c>
      <c r="AD261" s="50" t="str">
        <f t="shared" si="78"/>
        <v>Si</v>
      </c>
      <c r="AE261" s="50" t="s">
        <v>605</v>
      </c>
      <c r="AF261" s="55">
        <v>1.6</v>
      </c>
      <c r="AG261" s="55">
        <v>1256</v>
      </c>
      <c r="AH261" s="55">
        <v>2273</v>
      </c>
      <c r="AI261" s="55" t="str">
        <f t="shared" si="69"/>
        <v xml:space="preserve"> </v>
      </c>
      <c r="AJ261" s="53">
        <v>1856.25</v>
      </c>
      <c r="AK261" s="53">
        <f t="shared" si="80"/>
        <v>0.56656161616161616</v>
      </c>
      <c r="AL261" s="53">
        <f t="shared" si="81"/>
        <v>1051.68</v>
      </c>
      <c r="AM261" s="50" t="s">
        <v>152</v>
      </c>
      <c r="AN261" s="56" t="s">
        <v>222</v>
      </c>
      <c r="AO261" s="57">
        <v>46698</v>
      </c>
      <c r="AP261" s="58" t="s">
        <v>1398</v>
      </c>
      <c r="AQ261" s="58" t="s">
        <v>313</v>
      </c>
      <c r="AR261" s="58" t="s">
        <v>544</v>
      </c>
      <c r="AS261" s="64"/>
      <c r="AT261" s="55"/>
      <c r="AU261" s="1"/>
      <c r="AV261" s="1"/>
      <c r="AW261" s="1"/>
      <c r="AX261" s="1"/>
      <c r="AY261" s="1"/>
      <c r="AZ261" s="1"/>
      <c r="BA261" s="1"/>
      <c r="BB261" s="1"/>
      <c r="BC261" s="1"/>
      <c r="BD261" s="1"/>
      <c r="BE261" s="1"/>
      <c r="BF261" s="1"/>
      <c r="BG261" s="1"/>
    </row>
    <row r="262" spans="1:59" ht="14.25" customHeight="1" x14ac:dyDescent="0.25">
      <c r="A262" s="1"/>
      <c r="B262" s="50"/>
      <c r="C262" s="50" t="s">
        <v>1399</v>
      </c>
      <c r="D262" s="50" t="s">
        <v>1400</v>
      </c>
      <c r="E262" s="50" t="str">
        <f t="shared" si="0"/>
        <v>PP0200300023001B</v>
      </c>
      <c r="F262" s="50" t="s">
        <v>1396</v>
      </c>
      <c r="G262" s="50" t="s">
        <v>141</v>
      </c>
      <c r="H262" s="50" t="s">
        <v>161</v>
      </c>
      <c r="I262" s="50" t="s">
        <v>162</v>
      </c>
      <c r="J262" s="50" t="s">
        <v>1401</v>
      </c>
      <c r="K262" s="50" t="s">
        <v>141</v>
      </c>
      <c r="L262" s="50" t="s">
        <v>164</v>
      </c>
      <c r="M262" s="50"/>
      <c r="N262" s="52" t="s">
        <v>145</v>
      </c>
      <c r="O262" s="50" t="s">
        <v>151</v>
      </c>
      <c r="P262" s="50">
        <v>1447</v>
      </c>
      <c r="Q262" s="53">
        <v>1</v>
      </c>
      <c r="R262" s="53">
        <f t="shared" si="60"/>
        <v>1448</v>
      </c>
      <c r="S262" s="54">
        <v>3.4</v>
      </c>
      <c r="T262" s="54">
        <v>0.06</v>
      </c>
      <c r="U262" s="54">
        <f t="shared" si="72"/>
        <v>3.46</v>
      </c>
      <c r="V262" s="54">
        <v>101.76</v>
      </c>
      <c r="W262" s="52">
        <f t="shared" si="31"/>
        <v>16.75925925925926</v>
      </c>
      <c r="X262" s="54">
        <f t="shared" si="73"/>
        <v>29.410404624277458</v>
      </c>
      <c r="Y262" s="50" t="str">
        <f t="shared" si="74"/>
        <v>è in grado</v>
      </c>
      <c r="Z262" s="50" t="str">
        <f t="shared" si="75"/>
        <v>non sottende</v>
      </c>
      <c r="AA262" s="106">
        <f t="shared" si="76"/>
        <v>6.0718674033149176</v>
      </c>
      <c r="AB262" s="50" t="str">
        <f t="shared" si="77"/>
        <v>A</v>
      </c>
      <c r="AC262" s="50" t="str">
        <f t="shared" si="3"/>
        <v>SI</v>
      </c>
      <c r="AD262" s="50" t="str">
        <f t="shared" si="78"/>
        <v>Si</v>
      </c>
      <c r="AE262" s="50" t="s">
        <v>147</v>
      </c>
      <c r="AF262" s="55">
        <v>22.14</v>
      </c>
      <c r="AG262" s="55">
        <v>1590</v>
      </c>
      <c r="AH262" s="55">
        <v>4308</v>
      </c>
      <c r="AI262" s="55" t="str">
        <f t="shared" si="69"/>
        <v xml:space="preserve"> </v>
      </c>
      <c r="AJ262" s="53">
        <v>154.57</v>
      </c>
      <c r="AK262" s="53">
        <f t="shared" si="80"/>
        <v>9.628259041211102</v>
      </c>
      <c r="AL262" s="53">
        <f t="shared" si="81"/>
        <v>1488.24</v>
      </c>
      <c r="AM262" s="50" t="s">
        <v>152</v>
      </c>
      <c r="AN262" s="56" t="s">
        <v>222</v>
      </c>
      <c r="AO262" s="57">
        <v>46698</v>
      </c>
      <c r="AP262" s="58" t="s">
        <v>1402</v>
      </c>
      <c r="AQ262" s="58" t="s">
        <v>313</v>
      </c>
      <c r="AR262" s="58" t="s">
        <v>544</v>
      </c>
      <c r="AS262" s="64"/>
      <c r="AT262" s="55"/>
      <c r="AU262" s="1"/>
      <c r="AV262" s="1"/>
      <c r="AW262" s="1"/>
      <c r="AX262" s="1"/>
      <c r="AY262" s="1"/>
      <c r="AZ262" s="1"/>
      <c r="BA262" s="1"/>
      <c r="BB262" s="1"/>
      <c r="BC262" s="1"/>
      <c r="BD262" s="1"/>
      <c r="BE262" s="1"/>
      <c r="BF262" s="1"/>
      <c r="BG262" s="1"/>
    </row>
    <row r="263" spans="1:59" ht="14.25" customHeight="1" x14ac:dyDescent="0.25">
      <c r="A263" s="1"/>
      <c r="B263" s="50"/>
      <c r="C263" s="50" t="s">
        <v>1403</v>
      </c>
      <c r="D263" s="50" t="s">
        <v>1404</v>
      </c>
      <c r="E263" s="50" t="str">
        <f t="shared" si="0"/>
        <v>PP0200300002001B</v>
      </c>
      <c r="F263" s="50"/>
      <c r="G263" s="50" t="s">
        <v>141</v>
      </c>
      <c r="H263" s="50" t="s">
        <v>1405</v>
      </c>
      <c r="I263" s="50" t="s">
        <v>1405</v>
      </c>
      <c r="J263" s="50" t="s">
        <v>1406</v>
      </c>
      <c r="K263" s="50" t="s">
        <v>141</v>
      </c>
      <c r="L263" s="50" t="s">
        <v>1407</v>
      </c>
      <c r="M263" s="50"/>
      <c r="N263" s="52" t="s">
        <v>145</v>
      </c>
      <c r="O263" s="50" t="s">
        <v>151</v>
      </c>
      <c r="P263" s="50">
        <v>956</v>
      </c>
      <c r="Q263" s="53">
        <v>0</v>
      </c>
      <c r="R263" s="53">
        <f t="shared" si="60"/>
        <v>956</v>
      </c>
      <c r="S263" s="54">
        <v>2.25</v>
      </c>
      <c r="T263" s="54">
        <v>0</v>
      </c>
      <c r="U263" s="54">
        <f t="shared" si="72"/>
        <v>2.25</v>
      </c>
      <c r="V263" s="54">
        <v>113.4</v>
      </c>
      <c r="W263" s="52">
        <f t="shared" si="31"/>
        <v>11.064814814814815</v>
      </c>
      <c r="X263" s="54">
        <f t="shared" si="73"/>
        <v>50.400000000000006</v>
      </c>
      <c r="Y263" s="50" t="str">
        <f t="shared" si="74"/>
        <v>è in grado</v>
      </c>
      <c r="Z263" s="50" t="str">
        <f t="shared" si="75"/>
        <v>non sottende</v>
      </c>
      <c r="AA263" s="106">
        <f t="shared" si="76"/>
        <v>10.248702928870294</v>
      </c>
      <c r="AB263" s="50" t="str">
        <f t="shared" si="77"/>
        <v>A</v>
      </c>
      <c r="AC263" s="50" t="str">
        <f t="shared" si="3"/>
        <v>SI</v>
      </c>
      <c r="AD263" s="50" t="str">
        <f t="shared" si="78"/>
        <v>Si</v>
      </c>
      <c r="AE263" s="50" t="s">
        <v>147</v>
      </c>
      <c r="AF263" s="55">
        <v>15.59</v>
      </c>
      <c r="AG263" s="55">
        <v>1422</v>
      </c>
      <c r="AH263" s="55">
        <v>3319</v>
      </c>
      <c r="AI263" s="55" t="str">
        <f t="shared" si="69"/>
        <v xml:space="preserve"> </v>
      </c>
      <c r="AJ263" s="53">
        <v>168.5</v>
      </c>
      <c r="AK263" s="53">
        <f t="shared" si="80"/>
        <v>7.766172106824925</v>
      </c>
      <c r="AL263" s="53">
        <f t="shared" si="81"/>
        <v>1308.5999999999999</v>
      </c>
      <c r="AM263" s="50" t="s">
        <v>152</v>
      </c>
      <c r="AN263" s="56" t="s">
        <v>222</v>
      </c>
      <c r="AO263" s="57">
        <v>46698</v>
      </c>
      <c r="AP263" s="58" t="s">
        <v>1408</v>
      </c>
      <c r="AQ263" s="58" t="s">
        <v>313</v>
      </c>
      <c r="AR263" s="58" t="s">
        <v>544</v>
      </c>
      <c r="AS263" s="64"/>
      <c r="AT263" s="2"/>
      <c r="AU263" s="1"/>
      <c r="AV263" s="1"/>
      <c r="AW263" s="1"/>
      <c r="AX263" s="1"/>
      <c r="AY263" s="1"/>
      <c r="AZ263" s="1"/>
      <c r="BA263" s="1"/>
      <c r="BB263" s="1"/>
      <c r="BC263" s="1"/>
      <c r="BD263" s="1"/>
      <c r="BE263" s="1"/>
      <c r="BF263" s="1"/>
      <c r="BG263" s="1"/>
    </row>
    <row r="264" spans="1:59" ht="14.25" customHeight="1" x14ac:dyDescent="0.25">
      <c r="A264" s="1"/>
      <c r="B264" s="50"/>
      <c r="C264" s="7" t="s">
        <v>1409</v>
      </c>
      <c r="D264" s="50"/>
      <c r="E264" s="50" t="str">
        <f t="shared" ref="E264:E451" si="82">D264&amp;""&amp;$E$1</f>
        <v>001B</v>
      </c>
      <c r="F264" s="50" t="s">
        <v>1410</v>
      </c>
      <c r="G264" s="50" t="s">
        <v>141</v>
      </c>
      <c r="H264" s="50" t="s">
        <v>95</v>
      </c>
      <c r="I264" s="50" t="s">
        <v>1411</v>
      </c>
      <c r="J264" s="50" t="s">
        <v>1412</v>
      </c>
      <c r="K264" s="50" t="s">
        <v>141</v>
      </c>
      <c r="L264" s="50" t="s">
        <v>1413</v>
      </c>
      <c r="M264" s="51" t="s">
        <v>221</v>
      </c>
      <c r="N264" s="52"/>
      <c r="O264" s="50" t="s">
        <v>151</v>
      </c>
      <c r="P264" s="50">
        <v>117</v>
      </c>
      <c r="Q264" s="53">
        <v>0</v>
      </c>
      <c r="R264" s="53">
        <f t="shared" si="60"/>
        <v>117</v>
      </c>
      <c r="S264" s="54">
        <v>0.28000000000000003</v>
      </c>
      <c r="T264" s="54">
        <v>0</v>
      </c>
      <c r="U264" s="54">
        <f t="shared" si="72"/>
        <v>0.28000000000000003</v>
      </c>
      <c r="V264" s="54">
        <v>15.5</v>
      </c>
      <c r="W264" s="52">
        <f t="shared" si="31"/>
        <v>1.015625</v>
      </c>
      <c r="X264" s="54">
        <f t="shared" si="73"/>
        <v>55.357142857142854</v>
      </c>
      <c r="Y264" s="50" t="str">
        <f t="shared" si="74"/>
        <v>è in grado</v>
      </c>
      <c r="Z264" s="50" t="str">
        <f t="shared" si="75"/>
        <v>non sottende</v>
      </c>
      <c r="AA264" s="106">
        <f t="shared" si="76"/>
        <v>15.261538461538462</v>
      </c>
      <c r="AB264" s="50" t="str">
        <f t="shared" si="77"/>
        <v>A</v>
      </c>
      <c r="AC264" s="50" t="str">
        <f t="shared" ref="AC264:AC495" si="83">IF(O264="di testa rete",IF(V264&gt;W264,"SI","NO"),IF(V264&gt;20,IF(V264&gt;(W264+0.001),"SI","NO"),IF(V264&lt;(W264+0.001),"NO",IF(O264="in testa impianto sollevamento","SI",IF(O264="in testa impianto di depurazione",IF(K264="Ponti sul Mincio (Capoluogo)","NO","SI"),"NO")))))</f>
        <v>NO</v>
      </c>
      <c r="AD264" s="50" t="str">
        <f t="shared" si="78"/>
        <v>No</v>
      </c>
      <c r="AE264" s="50" t="s">
        <v>147</v>
      </c>
      <c r="AF264" s="55">
        <v>2.14</v>
      </c>
      <c r="AG264" s="55">
        <v>219</v>
      </c>
      <c r="AH264" s="55">
        <v>1430</v>
      </c>
      <c r="AI264" s="55" t="str">
        <f t="shared" si="69"/>
        <v xml:space="preserve"> </v>
      </c>
      <c r="AJ264" s="53">
        <v>244.1</v>
      </c>
      <c r="AK264" s="53">
        <f t="shared" si="80"/>
        <v>0.83367472347398608</v>
      </c>
      <c r="AL264" s="53">
        <f t="shared" si="81"/>
        <v>203.5</v>
      </c>
      <c r="AM264" s="50" t="s">
        <v>190</v>
      </c>
      <c r="AN264" s="56" t="s">
        <v>222</v>
      </c>
      <c r="AO264" s="66"/>
      <c r="AP264" s="58" t="s">
        <v>223</v>
      </c>
      <c r="AQ264" s="58" t="s">
        <v>224</v>
      </c>
      <c r="AR264" s="58" t="s">
        <v>225</v>
      </c>
      <c r="AS264" s="64"/>
      <c r="AT264" s="2" t="s">
        <v>92</v>
      </c>
      <c r="AU264" s="1"/>
      <c r="AV264" s="1"/>
      <c r="AW264" s="1"/>
      <c r="AX264" s="1"/>
      <c r="AY264" s="1"/>
      <c r="AZ264" s="1"/>
      <c r="BA264" s="1"/>
      <c r="BB264" s="1"/>
      <c r="BC264" s="1"/>
      <c r="BD264" s="1"/>
      <c r="BE264" s="1"/>
      <c r="BF264" s="1"/>
      <c r="BG264" s="1"/>
    </row>
    <row r="265" spans="1:59" ht="14.25" customHeight="1" x14ac:dyDescent="0.25">
      <c r="A265" s="1"/>
      <c r="B265" s="50"/>
      <c r="C265" s="50" t="s">
        <v>1414</v>
      </c>
      <c r="D265" s="50" t="s">
        <v>1415</v>
      </c>
      <c r="E265" s="50" t="str">
        <f t="shared" si="82"/>
        <v>PP0200300009001B</v>
      </c>
      <c r="F265" s="50"/>
      <c r="G265" s="50" t="s">
        <v>141</v>
      </c>
      <c r="H265" s="50" t="s">
        <v>1416</v>
      </c>
      <c r="I265" s="50" t="s">
        <v>1417</v>
      </c>
      <c r="J265" s="50" t="s">
        <v>1418</v>
      </c>
      <c r="K265" s="50" t="s">
        <v>141</v>
      </c>
      <c r="L265" s="50" t="s">
        <v>1419</v>
      </c>
      <c r="M265" s="50"/>
      <c r="N265" s="52"/>
      <c r="O265" s="50" t="s">
        <v>159</v>
      </c>
      <c r="P265" s="50">
        <v>547</v>
      </c>
      <c r="Q265" s="53">
        <v>0</v>
      </c>
      <c r="R265" s="53">
        <f t="shared" si="60"/>
        <v>547</v>
      </c>
      <c r="S265" s="54">
        <v>1.29</v>
      </c>
      <c r="T265" s="54">
        <v>0</v>
      </c>
      <c r="U265" s="54">
        <f t="shared" si="72"/>
        <v>1.29</v>
      </c>
      <c r="V265" s="54">
        <v>7.5</v>
      </c>
      <c r="W265" s="52">
        <f t="shared" si="31"/>
        <v>4.7482638888888893</v>
      </c>
      <c r="X265" s="54">
        <f t="shared" si="73"/>
        <v>5.8139534883720927</v>
      </c>
      <c r="Y265" s="50" t="str">
        <f t="shared" si="74"/>
        <v>è in grado</v>
      </c>
      <c r="Z265" s="50" t="str">
        <f t="shared" si="75"/>
        <v>non sottende</v>
      </c>
      <c r="AA265" s="106">
        <f t="shared" si="76"/>
        <v>1.579524680073126</v>
      </c>
      <c r="AB265" s="50" t="str">
        <f t="shared" si="77"/>
        <v>B</v>
      </c>
      <c r="AC265" s="50" t="str">
        <f t="shared" si="83"/>
        <v>SI</v>
      </c>
      <c r="AD265" s="50" t="str">
        <f t="shared" si="78"/>
        <v>No</v>
      </c>
      <c r="AE265" s="50" t="s">
        <v>605</v>
      </c>
      <c r="AF265" s="55">
        <v>14.17</v>
      </c>
      <c r="AG265" s="55">
        <v>1042</v>
      </c>
      <c r="AH265" s="55">
        <v>3533</v>
      </c>
      <c r="AI265" s="55" t="str">
        <f t="shared" si="69"/>
        <v xml:space="preserve"> </v>
      </c>
      <c r="AJ265" s="53">
        <v>178.28</v>
      </c>
      <c r="AK265" s="53">
        <f t="shared" si="80"/>
        <v>5.8026699573704281</v>
      </c>
      <c r="AL265" s="53">
        <f t="shared" si="81"/>
        <v>1034.5</v>
      </c>
      <c r="AM265" s="50" t="s">
        <v>1420</v>
      </c>
      <c r="AN265" s="56" t="s">
        <v>236</v>
      </c>
      <c r="AO265" s="57">
        <v>47429</v>
      </c>
      <c r="AP265" s="58" t="s">
        <v>1421</v>
      </c>
      <c r="AQ265" s="58" t="s">
        <v>238</v>
      </c>
      <c r="AR265" s="58"/>
      <c r="AS265" s="64"/>
      <c r="AT265" s="50"/>
      <c r="AU265" s="1"/>
      <c r="AV265" s="1"/>
      <c r="AW265" s="1"/>
      <c r="AX265" s="1"/>
      <c r="AY265" s="1"/>
      <c r="AZ265" s="1"/>
      <c r="BA265" s="1"/>
      <c r="BB265" s="1"/>
      <c r="BC265" s="1"/>
      <c r="BD265" s="1"/>
      <c r="BE265" s="1"/>
      <c r="BF265" s="1"/>
      <c r="BG265" s="1"/>
    </row>
    <row r="266" spans="1:59" ht="14.25" customHeight="1" x14ac:dyDescent="0.25">
      <c r="A266" s="1"/>
      <c r="B266" s="50"/>
      <c r="C266" s="50" t="s">
        <v>1422</v>
      </c>
      <c r="D266" s="50"/>
      <c r="E266" s="50" t="str">
        <f t="shared" si="82"/>
        <v>001B</v>
      </c>
      <c r="F266" s="50"/>
      <c r="G266" s="50" t="s">
        <v>141</v>
      </c>
      <c r="H266" s="50" t="s">
        <v>1405</v>
      </c>
      <c r="I266" s="50" t="s">
        <v>1423</v>
      </c>
      <c r="J266" s="50" t="s">
        <v>1424</v>
      </c>
      <c r="K266" s="50" t="s">
        <v>141</v>
      </c>
      <c r="L266" s="50" t="s">
        <v>170</v>
      </c>
      <c r="M266" s="51" t="s">
        <v>221</v>
      </c>
      <c r="N266" s="52"/>
      <c r="O266" s="50" t="s">
        <v>151</v>
      </c>
      <c r="P266" s="50">
        <v>1576</v>
      </c>
      <c r="Q266" s="53">
        <v>0</v>
      </c>
      <c r="R266" s="53">
        <f t="shared" si="60"/>
        <v>1576</v>
      </c>
      <c r="S266" s="54">
        <v>3.71</v>
      </c>
      <c r="T266" s="54">
        <v>0</v>
      </c>
      <c r="U266" s="54">
        <f t="shared" si="72"/>
        <v>3.71</v>
      </c>
      <c r="V266" s="54">
        <v>102.62</v>
      </c>
      <c r="W266" s="52">
        <f t="shared" si="31"/>
        <v>13.680555555555555</v>
      </c>
      <c r="X266" s="54">
        <f t="shared" si="73"/>
        <v>27.660377358490567</v>
      </c>
      <c r="Y266" s="50" t="str">
        <f t="shared" si="74"/>
        <v>è in grado</v>
      </c>
      <c r="Z266" s="50" t="str">
        <f t="shared" si="75"/>
        <v>non sottende</v>
      </c>
      <c r="AA266" s="106">
        <f t="shared" si="76"/>
        <v>7.5011573604060917</v>
      </c>
      <c r="AB266" s="50" t="str">
        <f t="shared" si="77"/>
        <v>A</v>
      </c>
      <c r="AC266" s="50" t="str">
        <f t="shared" si="83"/>
        <v>SI</v>
      </c>
      <c r="AD266" s="50" t="str">
        <f t="shared" si="78"/>
        <v>Si</v>
      </c>
      <c r="AE266" s="50" t="s">
        <v>147</v>
      </c>
      <c r="AF266" s="55">
        <v>11.53</v>
      </c>
      <c r="AG266" s="55">
        <v>934</v>
      </c>
      <c r="AH266" s="55">
        <v>1761</v>
      </c>
      <c r="AI266" s="55" t="str">
        <f t="shared" si="69"/>
        <v xml:space="preserve"> </v>
      </c>
      <c r="AJ266" s="53">
        <v>171.8</v>
      </c>
      <c r="AK266" s="53">
        <f t="shared" si="80"/>
        <v>4.8392316647264257</v>
      </c>
      <c r="AL266" s="53">
        <f t="shared" si="81"/>
        <v>831.38</v>
      </c>
      <c r="AM266" s="50" t="s">
        <v>190</v>
      </c>
      <c r="AN266" s="56" t="s">
        <v>222</v>
      </c>
      <c r="AO266" s="66"/>
      <c r="AP266" s="58" t="s">
        <v>223</v>
      </c>
      <c r="AQ266" s="58" t="s">
        <v>224</v>
      </c>
      <c r="AR266" s="58" t="s">
        <v>225</v>
      </c>
      <c r="AS266" s="64"/>
      <c r="AT266" s="2" t="s">
        <v>92</v>
      </c>
      <c r="AU266" s="1"/>
      <c r="AV266" s="1"/>
      <c r="AW266" s="1"/>
      <c r="AX266" s="1"/>
      <c r="AY266" s="1"/>
      <c r="AZ266" s="1"/>
      <c r="BA266" s="1"/>
      <c r="BB266" s="1"/>
      <c r="BC266" s="1"/>
      <c r="BD266" s="1"/>
      <c r="BE266" s="1"/>
      <c r="BF266" s="1"/>
      <c r="BG266" s="1"/>
    </row>
    <row r="267" spans="1:59" ht="14.25" customHeight="1" x14ac:dyDescent="0.25">
      <c r="A267" s="1"/>
      <c r="B267" s="50"/>
      <c r="C267" s="50" t="s">
        <v>1425</v>
      </c>
      <c r="D267" s="50" t="s">
        <v>1426</v>
      </c>
      <c r="E267" s="50" t="str">
        <f t="shared" si="82"/>
        <v>PP0200300031001B</v>
      </c>
      <c r="F267" s="50"/>
      <c r="G267" s="50" t="s">
        <v>141</v>
      </c>
      <c r="H267" s="50" t="s">
        <v>155</v>
      </c>
      <c r="I267" s="50" t="s">
        <v>1427</v>
      </c>
      <c r="J267" s="50" t="s">
        <v>1428</v>
      </c>
      <c r="K267" s="50" t="s">
        <v>141</v>
      </c>
      <c r="L267" s="50" t="s">
        <v>158</v>
      </c>
      <c r="M267" s="50"/>
      <c r="N267" s="52" t="s">
        <v>145</v>
      </c>
      <c r="O267" s="50" t="s">
        <v>151</v>
      </c>
      <c r="P267" s="50">
        <v>37</v>
      </c>
      <c r="Q267" s="53">
        <v>7</v>
      </c>
      <c r="R267" s="53">
        <f t="shared" si="60"/>
        <v>44</v>
      </c>
      <c r="S267" s="54">
        <v>0.09</v>
      </c>
      <c r="T267" s="54">
        <v>0.61</v>
      </c>
      <c r="U267" s="54">
        <f t="shared" si="72"/>
        <v>0.7</v>
      </c>
      <c r="V267" s="54">
        <v>54.1</v>
      </c>
      <c r="W267" s="52">
        <f t="shared" si="31"/>
        <v>1.49</v>
      </c>
      <c r="X267" s="54">
        <f t="shared" si="73"/>
        <v>77.285714285714292</v>
      </c>
      <c r="Y267" s="50" t="str">
        <f t="shared" si="74"/>
        <v>è in grado</v>
      </c>
      <c r="Z267" s="50" t="str">
        <f t="shared" si="75"/>
        <v>non sottende</v>
      </c>
      <c r="AA267" s="106">
        <f t="shared" si="76"/>
        <v>36.308724832214764</v>
      </c>
      <c r="AB267" s="50" t="str">
        <f t="shared" si="77"/>
        <v>A</v>
      </c>
      <c r="AC267" s="50" t="str">
        <f t="shared" si="83"/>
        <v>SI</v>
      </c>
      <c r="AD267" s="50" t="str">
        <f t="shared" si="78"/>
        <v>Si</v>
      </c>
      <c r="AE267" s="50" t="s">
        <v>147</v>
      </c>
      <c r="AF267" s="55">
        <v>10.84</v>
      </c>
      <c r="AG267" s="55">
        <v>1644</v>
      </c>
      <c r="AH267" s="55">
        <v>1441</v>
      </c>
      <c r="AI267" s="55" t="str">
        <f t="shared" si="69"/>
        <v>Manufatto limitante</v>
      </c>
      <c r="AJ267" s="53">
        <v>178.23</v>
      </c>
      <c r="AK267" s="53">
        <f t="shared" si="80"/>
        <v>7.7815182629187012</v>
      </c>
      <c r="AL267" s="53">
        <f t="shared" si="81"/>
        <v>1386.9</v>
      </c>
      <c r="AM267" s="50" t="s">
        <v>152</v>
      </c>
      <c r="AN267" s="56" t="s">
        <v>222</v>
      </c>
      <c r="AO267" s="57">
        <v>46698</v>
      </c>
      <c r="AP267" s="58" t="s">
        <v>1429</v>
      </c>
      <c r="AQ267" s="58" t="s">
        <v>238</v>
      </c>
      <c r="AR267" s="75">
        <v>48945</v>
      </c>
      <c r="AS267" s="64" t="s">
        <v>1430</v>
      </c>
      <c r="AT267" s="50"/>
      <c r="AU267" s="1"/>
      <c r="AV267" s="1"/>
      <c r="AW267" s="1"/>
      <c r="AX267" s="1"/>
      <c r="AY267" s="1"/>
      <c r="AZ267" s="1"/>
      <c r="BA267" s="1"/>
      <c r="BB267" s="1"/>
      <c r="BC267" s="1"/>
      <c r="BD267" s="1"/>
      <c r="BE267" s="1"/>
      <c r="BF267" s="1"/>
      <c r="BG267" s="1"/>
    </row>
    <row r="268" spans="1:59" ht="14.25" customHeight="1" x14ac:dyDescent="0.25">
      <c r="A268" s="1"/>
      <c r="B268" s="50"/>
      <c r="C268" s="50" t="s">
        <v>1431</v>
      </c>
      <c r="D268" s="50" t="s">
        <v>1432</v>
      </c>
      <c r="E268" s="50" t="str">
        <f t="shared" si="82"/>
        <v>PP0200300037001B</v>
      </c>
      <c r="F268" s="50" t="s">
        <v>1433</v>
      </c>
      <c r="G268" s="50" t="s">
        <v>141</v>
      </c>
      <c r="H268" s="50" t="s">
        <v>155</v>
      </c>
      <c r="I268" s="50" t="s">
        <v>1434</v>
      </c>
      <c r="J268" s="50" t="s">
        <v>1435</v>
      </c>
      <c r="K268" s="50" t="s">
        <v>141</v>
      </c>
      <c r="L268" s="50" t="s">
        <v>158</v>
      </c>
      <c r="M268" s="50"/>
      <c r="N268" s="52" t="s">
        <v>145</v>
      </c>
      <c r="O268" s="50" t="s">
        <v>159</v>
      </c>
      <c r="P268" s="50">
        <v>519</v>
      </c>
      <c r="Q268" s="53">
        <v>7</v>
      </c>
      <c r="R268" s="53">
        <f t="shared" si="60"/>
        <v>526</v>
      </c>
      <c r="S268" s="54">
        <v>1.22</v>
      </c>
      <c r="T268" s="54">
        <v>0.61</v>
      </c>
      <c r="U268" s="54">
        <f t="shared" si="72"/>
        <v>1.83</v>
      </c>
      <c r="V268" s="54">
        <v>34</v>
      </c>
      <c r="W268" s="52">
        <f t="shared" si="31"/>
        <v>6.0879629629629628</v>
      </c>
      <c r="X268" s="54">
        <f t="shared" si="73"/>
        <v>18.579234972677593</v>
      </c>
      <c r="Y268" s="50" t="str">
        <f t="shared" si="74"/>
        <v>è in grado</v>
      </c>
      <c r="Z268" s="50" t="str">
        <f t="shared" si="75"/>
        <v>non sottende</v>
      </c>
      <c r="AA268" s="106">
        <f t="shared" si="76"/>
        <v>5.5847908745247148</v>
      </c>
      <c r="AB268" s="50" t="str">
        <f t="shared" si="77"/>
        <v>A</v>
      </c>
      <c r="AC268" s="50" t="str">
        <f t="shared" si="83"/>
        <v>SI</v>
      </c>
      <c r="AD268" s="50" t="str">
        <f t="shared" si="78"/>
        <v>Si</v>
      </c>
      <c r="AE268" s="50" t="s">
        <v>147</v>
      </c>
      <c r="AF268" s="55">
        <v>32.83</v>
      </c>
      <c r="AG268" s="55">
        <v>3816</v>
      </c>
      <c r="AH268" s="55">
        <v>2881</v>
      </c>
      <c r="AI268" s="55" t="str">
        <f t="shared" si="69"/>
        <v>Manufatto limitante</v>
      </c>
      <c r="AJ268" s="53">
        <v>152</v>
      </c>
      <c r="AK268" s="53">
        <f t="shared" si="80"/>
        <v>18.730263157894736</v>
      </c>
      <c r="AL268" s="53">
        <f t="shared" si="81"/>
        <v>2847</v>
      </c>
      <c r="AM268" s="50" t="s">
        <v>152</v>
      </c>
      <c r="AN268" s="56" t="s">
        <v>222</v>
      </c>
      <c r="AO268" s="57">
        <v>46693</v>
      </c>
      <c r="AP268" s="58" t="s">
        <v>1436</v>
      </c>
      <c r="AQ268" s="58" t="s">
        <v>238</v>
      </c>
      <c r="AR268" s="75">
        <v>48945</v>
      </c>
      <c r="AS268" s="64" t="s">
        <v>1437</v>
      </c>
      <c r="AT268" s="1"/>
      <c r="AU268" s="1"/>
      <c r="AV268" s="1"/>
      <c r="AW268" s="1"/>
      <c r="AX268" s="1"/>
      <c r="AY268" s="1"/>
      <c r="AZ268" s="1"/>
      <c r="BA268" s="1"/>
      <c r="BB268" s="1"/>
      <c r="BC268" s="1"/>
      <c r="BD268" s="1"/>
      <c r="BE268" s="1"/>
      <c r="BF268" s="1"/>
      <c r="BG268" s="1"/>
    </row>
    <row r="269" spans="1:59" ht="14.25" customHeight="1" x14ac:dyDescent="0.25">
      <c r="A269" s="1"/>
      <c r="B269" s="50"/>
      <c r="C269" s="50" t="s">
        <v>1438</v>
      </c>
      <c r="D269" s="50" t="s">
        <v>1354</v>
      </c>
      <c r="E269" s="50" t="str">
        <f t="shared" si="82"/>
        <v>PP0200300015001B</v>
      </c>
      <c r="F269" s="50" t="s">
        <v>1339</v>
      </c>
      <c r="G269" s="50" t="s">
        <v>141</v>
      </c>
      <c r="H269" s="50" t="s">
        <v>1340</v>
      </c>
      <c r="I269" s="50" t="s">
        <v>1439</v>
      </c>
      <c r="J269" s="50" t="s">
        <v>1440</v>
      </c>
      <c r="K269" s="50" t="s">
        <v>141</v>
      </c>
      <c r="L269" s="50" t="s">
        <v>1441</v>
      </c>
      <c r="M269" s="50"/>
      <c r="N269" s="52" t="s">
        <v>145</v>
      </c>
      <c r="O269" s="50" t="s">
        <v>159</v>
      </c>
      <c r="P269" s="50">
        <v>154</v>
      </c>
      <c r="Q269" s="53">
        <v>0</v>
      </c>
      <c r="R269" s="53">
        <f t="shared" si="60"/>
        <v>154</v>
      </c>
      <c r="S269" s="54">
        <v>0.36</v>
      </c>
      <c r="T269" s="54">
        <v>0</v>
      </c>
      <c r="U269" s="54">
        <f t="shared" si="72"/>
        <v>0.36</v>
      </c>
      <c r="V269" s="54">
        <v>16</v>
      </c>
      <c r="W269" s="52">
        <f t="shared" si="31"/>
        <v>1.7824074074074074</v>
      </c>
      <c r="X269" s="54">
        <f t="shared" si="73"/>
        <v>44.444444444444443</v>
      </c>
      <c r="Y269" s="50" t="str">
        <f t="shared" si="74"/>
        <v>è in grado</v>
      </c>
      <c r="Z269" s="50" t="str">
        <f t="shared" si="75"/>
        <v>non sottende</v>
      </c>
      <c r="AA269" s="106">
        <f t="shared" si="76"/>
        <v>8.9766233766233761</v>
      </c>
      <c r="AB269" s="50" t="str">
        <f t="shared" si="77"/>
        <v>A</v>
      </c>
      <c r="AC269" s="50" t="str">
        <f t="shared" si="83"/>
        <v>SI</v>
      </c>
      <c r="AD269" s="50" t="str">
        <f t="shared" si="78"/>
        <v>No</v>
      </c>
      <c r="AE269" s="50" t="s">
        <v>147</v>
      </c>
      <c r="AF269" s="55">
        <v>1.58</v>
      </c>
      <c r="AG269" s="55">
        <v>207</v>
      </c>
      <c r="AH269" s="55">
        <v>426</v>
      </c>
      <c r="AI269" s="55" t="str">
        <f t="shared" si="69"/>
        <v xml:space="preserve"> </v>
      </c>
      <c r="AJ269" s="53">
        <v>262.95999999999998</v>
      </c>
      <c r="AK269" s="53">
        <f t="shared" si="80"/>
        <v>0.7263462123516885</v>
      </c>
      <c r="AL269" s="53">
        <f t="shared" si="81"/>
        <v>191</v>
      </c>
      <c r="AM269" s="50" t="s">
        <v>152</v>
      </c>
      <c r="AN269" s="56" t="s">
        <v>236</v>
      </c>
      <c r="AO269" s="57">
        <v>46712</v>
      </c>
      <c r="AP269" s="58" t="s">
        <v>1442</v>
      </c>
      <c r="AQ269" s="58" t="s">
        <v>313</v>
      </c>
      <c r="AR269" s="75">
        <v>51037</v>
      </c>
      <c r="AS269" s="58" t="s">
        <v>1351</v>
      </c>
      <c r="AT269" s="55"/>
      <c r="AU269" s="1"/>
      <c r="AV269" s="1"/>
      <c r="AW269" s="1"/>
      <c r="AX269" s="1"/>
      <c r="AY269" s="1"/>
      <c r="AZ269" s="1"/>
      <c r="BA269" s="1"/>
      <c r="BB269" s="1"/>
      <c r="BC269" s="1"/>
      <c r="BD269" s="1"/>
      <c r="BE269" s="1"/>
      <c r="BF269" s="1"/>
      <c r="BG269" s="1"/>
    </row>
    <row r="270" spans="1:59" ht="14.25" customHeight="1" x14ac:dyDescent="0.25">
      <c r="A270" s="1"/>
      <c r="B270" s="50"/>
      <c r="C270" s="50" t="s">
        <v>1443</v>
      </c>
      <c r="D270" s="50" t="s">
        <v>1444</v>
      </c>
      <c r="E270" s="50" t="str">
        <f t="shared" si="82"/>
        <v>PP0200300033001B</v>
      </c>
      <c r="F270" s="50"/>
      <c r="G270" s="50" t="s">
        <v>141</v>
      </c>
      <c r="H270" s="50" t="s">
        <v>142</v>
      </c>
      <c r="I270" s="50" t="s">
        <v>1445</v>
      </c>
      <c r="J270" s="50" t="s">
        <v>1446</v>
      </c>
      <c r="K270" s="50" t="s">
        <v>141</v>
      </c>
      <c r="L270" s="50" t="s">
        <v>1441</v>
      </c>
      <c r="M270" s="50"/>
      <c r="N270" s="52" t="s">
        <v>145</v>
      </c>
      <c r="O270" s="50" t="s">
        <v>159</v>
      </c>
      <c r="P270" s="50">
        <v>448</v>
      </c>
      <c r="Q270" s="53">
        <v>0</v>
      </c>
      <c r="R270" s="53">
        <f t="shared" si="60"/>
        <v>448</v>
      </c>
      <c r="S270" s="54">
        <v>1.05</v>
      </c>
      <c r="T270" s="54">
        <v>0</v>
      </c>
      <c r="U270" s="54">
        <f t="shared" si="72"/>
        <v>1.05</v>
      </c>
      <c r="V270" s="54">
        <v>7</v>
      </c>
      <c r="W270" s="52">
        <f t="shared" si="31"/>
        <v>5.1851851851851851</v>
      </c>
      <c r="X270" s="54">
        <f t="shared" si="73"/>
        <v>6.6666666666666661</v>
      </c>
      <c r="Y270" s="50" t="str">
        <f t="shared" si="74"/>
        <v>è in grado</v>
      </c>
      <c r="Z270" s="50" t="str">
        <f t="shared" si="75"/>
        <v>non sottende</v>
      </c>
      <c r="AA270" s="106">
        <f t="shared" si="76"/>
        <v>1.35</v>
      </c>
      <c r="AB270" s="50" t="str">
        <f t="shared" si="77"/>
        <v>B</v>
      </c>
      <c r="AC270" s="50" t="str">
        <f t="shared" si="83"/>
        <v>SI</v>
      </c>
      <c r="AD270" s="50" t="str">
        <f t="shared" si="78"/>
        <v>No</v>
      </c>
      <c r="AE270" s="50" t="s">
        <v>605</v>
      </c>
      <c r="AF270" s="55">
        <v>7.71</v>
      </c>
      <c r="AG270" s="55">
        <v>867</v>
      </c>
      <c r="AH270" s="55">
        <v>1601</v>
      </c>
      <c r="AI270" s="55" t="str">
        <f t="shared" si="69"/>
        <v xml:space="preserve"> </v>
      </c>
      <c r="AJ270" s="53">
        <v>263.61</v>
      </c>
      <c r="AK270" s="53">
        <f t="shared" si="80"/>
        <v>3.2623952050377452</v>
      </c>
      <c r="AL270" s="53">
        <f t="shared" si="81"/>
        <v>860</v>
      </c>
      <c r="AM270" s="50" t="s">
        <v>152</v>
      </c>
      <c r="AN270" s="56" t="s">
        <v>236</v>
      </c>
      <c r="AO270" s="57">
        <v>46712</v>
      </c>
      <c r="AP270" s="58" t="s">
        <v>1447</v>
      </c>
      <c r="AQ270" s="58" t="s">
        <v>313</v>
      </c>
      <c r="AR270" s="75">
        <v>51037</v>
      </c>
      <c r="AS270" s="58" t="s">
        <v>1351</v>
      </c>
      <c r="AT270" s="55"/>
      <c r="AU270" s="1"/>
      <c r="AV270" s="1"/>
      <c r="AW270" s="1"/>
      <c r="AX270" s="1"/>
      <c r="AY270" s="1"/>
      <c r="AZ270" s="1"/>
      <c r="BA270" s="1"/>
      <c r="BB270" s="1"/>
      <c r="BC270" s="1"/>
      <c r="BD270" s="1"/>
      <c r="BE270" s="1"/>
      <c r="BF270" s="1"/>
      <c r="BG270" s="1"/>
    </row>
    <row r="271" spans="1:59" ht="14.25" customHeight="1" x14ac:dyDescent="0.25">
      <c r="A271" s="1"/>
      <c r="B271" s="50"/>
      <c r="C271" s="50" t="s">
        <v>1448</v>
      </c>
      <c r="D271" s="50" t="s">
        <v>1449</v>
      </c>
      <c r="E271" s="50" t="str">
        <f t="shared" si="82"/>
        <v>PP0200300018001B</v>
      </c>
      <c r="F271" s="50"/>
      <c r="G271" s="50" t="s">
        <v>141</v>
      </c>
      <c r="H271" s="50" t="s">
        <v>1450</v>
      </c>
      <c r="I271" s="50" t="s">
        <v>1451</v>
      </c>
      <c r="J271" s="50" t="s">
        <v>1452</v>
      </c>
      <c r="K271" s="50" t="s">
        <v>141</v>
      </c>
      <c r="L271" s="50" t="s">
        <v>1453</v>
      </c>
      <c r="M271" s="50"/>
      <c r="N271" s="52" t="s">
        <v>145</v>
      </c>
      <c r="O271" s="50" t="s">
        <v>151</v>
      </c>
      <c r="P271" s="50">
        <v>7919</v>
      </c>
      <c r="Q271" s="53">
        <v>0</v>
      </c>
      <c r="R271" s="53">
        <f t="shared" si="60"/>
        <v>7919</v>
      </c>
      <c r="S271" s="54">
        <v>18.62</v>
      </c>
      <c r="T271" s="54">
        <v>0.09</v>
      </c>
      <c r="U271" s="54">
        <f t="shared" si="72"/>
        <v>18.71</v>
      </c>
      <c r="V271" s="54">
        <v>231.5</v>
      </c>
      <c r="W271" s="52">
        <f t="shared" si="31"/>
        <v>91.655092592592595</v>
      </c>
      <c r="X271" s="54">
        <f t="shared" si="73"/>
        <v>12.373062533404596</v>
      </c>
      <c r="Y271" s="50" t="str">
        <f t="shared" si="74"/>
        <v>è in grado</v>
      </c>
      <c r="Z271" s="50" t="str">
        <f t="shared" si="75"/>
        <v>non sottende</v>
      </c>
      <c r="AA271" s="106">
        <f t="shared" si="76"/>
        <v>2.5257734562444751</v>
      </c>
      <c r="AB271" s="50" t="str">
        <f t="shared" si="77"/>
        <v>A</v>
      </c>
      <c r="AC271" s="50" t="str">
        <f t="shared" si="83"/>
        <v>SI</v>
      </c>
      <c r="AD271" s="50" t="str">
        <f t="shared" si="78"/>
        <v>Si</v>
      </c>
      <c r="AE271" s="50" t="s">
        <v>147</v>
      </c>
      <c r="AF271" s="55">
        <v>61.78</v>
      </c>
      <c r="AG271" s="55">
        <v>4690</v>
      </c>
      <c r="AH271" s="55">
        <v>21499</v>
      </c>
      <c r="AI271" s="55" t="str">
        <f t="shared" si="69"/>
        <v xml:space="preserve"> </v>
      </c>
      <c r="AJ271" s="53">
        <v>140.74</v>
      </c>
      <c r="AK271" s="53">
        <f t="shared" si="80"/>
        <v>31.678982520960634</v>
      </c>
      <c r="AL271" s="53">
        <f t="shared" si="81"/>
        <v>4458.5</v>
      </c>
      <c r="AM271" s="50" t="s">
        <v>152</v>
      </c>
      <c r="AN271" s="56" t="s">
        <v>222</v>
      </c>
      <c r="AO271" s="57">
        <v>46698</v>
      </c>
      <c r="AP271" s="58" t="s">
        <v>1454</v>
      </c>
      <c r="AQ271" s="58" t="s">
        <v>238</v>
      </c>
      <c r="AR271" s="75">
        <v>48945</v>
      </c>
      <c r="AS271" s="64" t="s">
        <v>1455</v>
      </c>
      <c r="AT271" s="50"/>
      <c r="AU271" s="1"/>
      <c r="AV271" s="1"/>
      <c r="AW271" s="1"/>
      <c r="AX271" s="1"/>
      <c r="AY271" s="1"/>
      <c r="AZ271" s="1"/>
      <c r="BA271" s="1"/>
      <c r="BB271" s="1"/>
      <c r="BC271" s="1"/>
      <c r="BD271" s="1"/>
      <c r="BE271" s="1"/>
      <c r="BF271" s="1"/>
      <c r="BG271" s="1"/>
    </row>
    <row r="272" spans="1:59" ht="14.25" customHeight="1" x14ac:dyDescent="0.25">
      <c r="A272" s="1"/>
      <c r="B272" s="50"/>
      <c r="C272" s="50" t="s">
        <v>1456</v>
      </c>
      <c r="D272" s="50" t="s">
        <v>1457</v>
      </c>
      <c r="E272" s="50" t="str">
        <f t="shared" si="82"/>
        <v>PP0200300019001B</v>
      </c>
      <c r="F272" s="50"/>
      <c r="G272" s="50" t="s">
        <v>141</v>
      </c>
      <c r="H272" s="50" t="s">
        <v>1450</v>
      </c>
      <c r="I272" s="50" t="s">
        <v>1451</v>
      </c>
      <c r="J272" s="50" t="s">
        <v>1458</v>
      </c>
      <c r="K272" s="50" t="s">
        <v>141</v>
      </c>
      <c r="L272" s="50" t="s">
        <v>1453</v>
      </c>
      <c r="M272" s="50"/>
      <c r="N272" s="52" t="s">
        <v>145</v>
      </c>
      <c r="O272" s="50" t="s">
        <v>151</v>
      </c>
      <c r="P272" s="50">
        <v>19430</v>
      </c>
      <c r="Q272" s="53">
        <v>123</v>
      </c>
      <c r="R272" s="53">
        <f t="shared" si="60"/>
        <v>19553</v>
      </c>
      <c r="S272" s="54">
        <v>45.7</v>
      </c>
      <c r="T272" s="54">
        <v>5.08</v>
      </c>
      <c r="U272" s="54">
        <f t="shared" si="72"/>
        <v>50.78</v>
      </c>
      <c r="V272" s="54">
        <v>255.92</v>
      </c>
      <c r="W272" s="52">
        <f t="shared" si="31"/>
        <v>226.30787037037038</v>
      </c>
      <c r="X272" s="54">
        <f t="shared" si="73"/>
        <v>5.0397794407246943</v>
      </c>
      <c r="Y272" s="50" t="str">
        <f t="shared" si="74"/>
        <v>è in grado</v>
      </c>
      <c r="Z272" s="50" t="str">
        <f t="shared" si="75"/>
        <v>sottende</v>
      </c>
      <c r="AA272" s="106">
        <f t="shared" si="76"/>
        <v>1.1308488722958112</v>
      </c>
      <c r="AB272" s="50" t="str">
        <f t="shared" si="77"/>
        <v>B</v>
      </c>
      <c r="AC272" s="50" t="str">
        <f t="shared" si="83"/>
        <v>SI</v>
      </c>
      <c r="AD272" s="50" t="str">
        <f t="shared" si="78"/>
        <v>Si</v>
      </c>
      <c r="AE272" s="50" t="s">
        <v>605</v>
      </c>
      <c r="AF272" s="55">
        <v>276.63</v>
      </c>
      <c r="AG272" s="55">
        <v>13318</v>
      </c>
      <c r="AH272" s="55">
        <v>12554</v>
      </c>
      <c r="AI272" s="55" t="str">
        <f t="shared" si="69"/>
        <v>Manufatto limitante</v>
      </c>
      <c r="AJ272" s="53">
        <v>88.22</v>
      </c>
      <c r="AK272" s="53">
        <f t="shared" si="80"/>
        <v>139.40240308320108</v>
      </c>
      <c r="AL272" s="53">
        <f t="shared" si="81"/>
        <v>12298.08</v>
      </c>
      <c r="AM272" s="50" t="s">
        <v>152</v>
      </c>
      <c r="AN272" s="56" t="s">
        <v>222</v>
      </c>
      <c r="AO272" s="57">
        <v>46698</v>
      </c>
      <c r="AP272" s="58" t="s">
        <v>1459</v>
      </c>
      <c r="AQ272" s="58" t="s">
        <v>238</v>
      </c>
      <c r="AR272" s="75">
        <v>48945</v>
      </c>
      <c r="AS272" s="64" t="s">
        <v>1455</v>
      </c>
      <c r="AT272" s="50"/>
      <c r="AU272" s="1"/>
      <c r="AV272" s="1"/>
      <c r="AW272" s="1"/>
      <c r="AX272" s="1"/>
      <c r="AY272" s="1"/>
      <c r="AZ272" s="1"/>
      <c r="BA272" s="1"/>
      <c r="BB272" s="1"/>
      <c r="BC272" s="1"/>
      <c r="BD272" s="1"/>
      <c r="BE272" s="1"/>
      <c r="BF272" s="1"/>
      <c r="BG272" s="1"/>
    </row>
    <row r="273" spans="1:59" ht="14.25" customHeight="1" x14ac:dyDescent="0.25">
      <c r="A273" s="1"/>
      <c r="B273" s="50"/>
      <c r="C273" s="50" t="s">
        <v>1460</v>
      </c>
      <c r="D273" s="50" t="s">
        <v>1461</v>
      </c>
      <c r="E273" s="50" t="str">
        <f t="shared" si="82"/>
        <v>PP0200300026001B</v>
      </c>
      <c r="F273" s="50"/>
      <c r="G273" s="50" t="s">
        <v>141</v>
      </c>
      <c r="H273" s="50" t="s">
        <v>95</v>
      </c>
      <c r="I273" s="50" t="s">
        <v>1462</v>
      </c>
      <c r="J273" s="50" t="s">
        <v>1463</v>
      </c>
      <c r="K273" s="50" t="s">
        <v>141</v>
      </c>
      <c r="L273" s="50" t="s">
        <v>1357</v>
      </c>
      <c r="M273" s="50"/>
      <c r="N273" s="52" t="s">
        <v>145</v>
      </c>
      <c r="O273" s="50" t="s">
        <v>151</v>
      </c>
      <c r="P273" s="50">
        <v>4514</v>
      </c>
      <c r="Q273" s="53">
        <v>0</v>
      </c>
      <c r="R273" s="53">
        <f t="shared" si="60"/>
        <v>4514</v>
      </c>
      <c r="S273" s="54">
        <v>10.62</v>
      </c>
      <c r="T273" s="54">
        <v>0.03</v>
      </c>
      <c r="U273" s="54">
        <f t="shared" si="72"/>
        <v>10.649999999999999</v>
      </c>
      <c r="V273" s="54">
        <v>140</v>
      </c>
      <c r="W273" s="52">
        <f t="shared" si="31"/>
        <v>52.245370370370374</v>
      </c>
      <c r="X273" s="54">
        <f t="shared" si="73"/>
        <v>13.145539906103288</v>
      </c>
      <c r="Y273" s="50" t="str">
        <f t="shared" si="74"/>
        <v>è in grado</v>
      </c>
      <c r="Z273" s="50" t="str">
        <f t="shared" si="75"/>
        <v>non sottende</v>
      </c>
      <c r="AA273" s="106">
        <f t="shared" si="76"/>
        <v>2.6796632698272043</v>
      </c>
      <c r="AB273" s="50" t="str">
        <f t="shared" si="77"/>
        <v>A</v>
      </c>
      <c r="AC273" s="50" t="str">
        <f t="shared" si="83"/>
        <v>SI</v>
      </c>
      <c r="AD273" s="50" t="str">
        <f t="shared" si="78"/>
        <v>Si</v>
      </c>
      <c r="AE273" s="50" t="s">
        <v>147</v>
      </c>
      <c r="AF273" s="55">
        <v>21.05</v>
      </c>
      <c r="AG273" s="55">
        <v>810</v>
      </c>
      <c r="AH273" s="55">
        <v>4687</v>
      </c>
      <c r="AI273" s="55" t="str">
        <f t="shared" si="69"/>
        <v xml:space="preserve"> </v>
      </c>
      <c r="AJ273" s="53">
        <v>206.72</v>
      </c>
      <c r="AK273" s="53">
        <f t="shared" si="80"/>
        <v>3.2410990712074303</v>
      </c>
      <c r="AL273" s="53">
        <f t="shared" si="81"/>
        <v>670</v>
      </c>
      <c r="AM273" s="50" t="s">
        <v>152</v>
      </c>
      <c r="AN273" s="56" t="s">
        <v>236</v>
      </c>
      <c r="AO273" s="57">
        <v>46712</v>
      </c>
      <c r="AP273" s="58" t="s">
        <v>1464</v>
      </c>
      <c r="AQ273" s="58" t="s">
        <v>313</v>
      </c>
      <c r="AR273" s="58" t="s">
        <v>544</v>
      </c>
      <c r="AS273" s="64"/>
      <c r="AT273" s="55"/>
      <c r="AU273" s="1"/>
      <c r="AV273" s="1"/>
      <c r="AW273" s="1"/>
      <c r="AX273" s="1"/>
      <c r="AY273" s="1"/>
      <c r="AZ273" s="1"/>
      <c r="BA273" s="1"/>
      <c r="BB273" s="1"/>
      <c r="BC273" s="1"/>
      <c r="BD273" s="1"/>
      <c r="BE273" s="1"/>
      <c r="BF273" s="1"/>
      <c r="BG273" s="1"/>
    </row>
    <row r="274" spans="1:59" ht="13.5" customHeight="1" x14ac:dyDescent="0.25">
      <c r="A274" s="1"/>
      <c r="B274" s="50"/>
      <c r="C274" s="8" t="s">
        <v>1465</v>
      </c>
      <c r="D274" s="50" t="s">
        <v>1466</v>
      </c>
      <c r="E274" s="50" t="str">
        <f t="shared" si="82"/>
        <v>PP0200300032001B</v>
      </c>
      <c r="F274" s="50"/>
      <c r="G274" s="50" t="s">
        <v>141</v>
      </c>
      <c r="H274" s="50" t="s">
        <v>95</v>
      </c>
      <c r="I274" s="50" t="s">
        <v>1467</v>
      </c>
      <c r="J274" s="50" t="s">
        <v>1468</v>
      </c>
      <c r="K274" s="50" t="s">
        <v>141</v>
      </c>
      <c r="L274" s="50" t="s">
        <v>1357</v>
      </c>
      <c r="M274" s="50"/>
      <c r="N274" s="52" t="s">
        <v>145</v>
      </c>
      <c r="O274" s="50" t="s">
        <v>253</v>
      </c>
      <c r="P274" s="50">
        <v>380</v>
      </c>
      <c r="Q274" s="53">
        <v>0</v>
      </c>
      <c r="R274" s="53">
        <f t="shared" si="60"/>
        <v>380</v>
      </c>
      <c r="S274" s="54">
        <v>0.89</v>
      </c>
      <c r="T274" s="54">
        <v>0</v>
      </c>
      <c r="U274" s="54">
        <f t="shared" si="72"/>
        <v>0.89</v>
      </c>
      <c r="V274" s="54">
        <v>135.76</v>
      </c>
      <c r="W274" s="52">
        <f t="shared" si="31"/>
        <v>4.3981481481481479</v>
      </c>
      <c r="X274" s="54">
        <f t="shared" si="73"/>
        <v>152.53932584269663</v>
      </c>
      <c r="Y274" s="50" t="str">
        <f t="shared" si="74"/>
        <v>è in grado</v>
      </c>
      <c r="Z274" s="50" t="str">
        <f t="shared" si="75"/>
        <v>non sottende</v>
      </c>
      <c r="AA274" s="106">
        <f t="shared" si="76"/>
        <v>30.867536842105263</v>
      </c>
      <c r="AB274" s="50" t="str">
        <f t="shared" si="77"/>
        <v>A</v>
      </c>
      <c r="AC274" s="50" t="str">
        <f t="shared" si="83"/>
        <v>SI</v>
      </c>
      <c r="AD274" s="50" t="str">
        <f t="shared" si="78"/>
        <v>Si</v>
      </c>
      <c r="AE274" s="50" t="s">
        <v>147</v>
      </c>
      <c r="AF274" s="55">
        <v>1.6279999999999999</v>
      </c>
      <c r="AG274" s="55">
        <v>166</v>
      </c>
      <c r="AH274" s="55">
        <v>166</v>
      </c>
      <c r="AI274" s="55" t="str">
        <f t="shared" si="69"/>
        <v xml:space="preserve"> </v>
      </c>
      <c r="AJ274" s="53">
        <v>26</v>
      </c>
      <c r="AK274" s="53">
        <f t="shared" si="80"/>
        <v>1.1630769230769233</v>
      </c>
      <c r="AL274" s="53">
        <f t="shared" si="81"/>
        <v>30.240000000000009</v>
      </c>
      <c r="AM274" s="50" t="s">
        <v>152</v>
      </c>
      <c r="AN274" s="56" t="s">
        <v>222</v>
      </c>
      <c r="AO274" s="57">
        <v>47427</v>
      </c>
      <c r="AP274" s="58" t="s">
        <v>1469</v>
      </c>
      <c r="AQ274" s="58" t="s">
        <v>313</v>
      </c>
      <c r="AR274" s="58" t="s">
        <v>544</v>
      </c>
      <c r="AS274" s="64"/>
      <c r="AT274" s="50"/>
      <c r="AU274" s="1"/>
      <c r="AV274" s="1"/>
      <c r="AW274" s="1"/>
      <c r="AX274" s="1"/>
      <c r="AY274" s="1"/>
      <c r="AZ274" s="1"/>
      <c r="BA274" s="1"/>
      <c r="BB274" s="1"/>
      <c r="BC274" s="1"/>
      <c r="BD274" s="1"/>
      <c r="BE274" s="1"/>
      <c r="BF274" s="1"/>
      <c r="BG274" s="1"/>
    </row>
    <row r="275" spans="1:59" ht="14.25" customHeight="1" x14ac:dyDescent="0.25">
      <c r="A275" s="1"/>
      <c r="B275" s="50"/>
      <c r="C275" s="7" t="s">
        <v>1470</v>
      </c>
      <c r="D275" s="50"/>
      <c r="E275" s="50" t="str">
        <f t="shared" si="82"/>
        <v>001B</v>
      </c>
      <c r="F275" s="50" t="s">
        <v>1410</v>
      </c>
      <c r="G275" s="50" t="s">
        <v>141</v>
      </c>
      <c r="H275" s="50" t="s">
        <v>95</v>
      </c>
      <c r="I275" s="50" t="s">
        <v>1471</v>
      </c>
      <c r="J275" s="50" t="s">
        <v>1472</v>
      </c>
      <c r="K275" s="50" t="s">
        <v>141</v>
      </c>
      <c r="L275" s="50" t="s">
        <v>1473</v>
      </c>
      <c r="M275" s="51" t="s">
        <v>221</v>
      </c>
      <c r="N275" s="52" t="s">
        <v>145</v>
      </c>
      <c r="O275" s="50" t="s">
        <v>151</v>
      </c>
      <c r="P275" s="50">
        <v>71</v>
      </c>
      <c r="Q275" s="53">
        <v>0</v>
      </c>
      <c r="R275" s="53">
        <f t="shared" si="60"/>
        <v>71</v>
      </c>
      <c r="S275" s="54">
        <v>0.17</v>
      </c>
      <c r="T275" s="54">
        <v>0</v>
      </c>
      <c r="U275" s="54">
        <f t="shared" si="72"/>
        <v>0.17</v>
      </c>
      <c r="V275" s="54">
        <v>10.15</v>
      </c>
      <c r="W275" s="52">
        <f t="shared" si="31"/>
        <v>0.8217592592592593</v>
      </c>
      <c r="X275" s="54">
        <f t="shared" si="73"/>
        <v>59.705882352941174</v>
      </c>
      <c r="Y275" s="50" t="str">
        <f t="shared" si="74"/>
        <v>è in grado</v>
      </c>
      <c r="Z275" s="50" t="str">
        <f t="shared" si="75"/>
        <v>non sottende</v>
      </c>
      <c r="AA275" s="106">
        <f t="shared" si="76"/>
        <v>12.351549295774648</v>
      </c>
      <c r="AB275" s="50" t="str">
        <f t="shared" si="77"/>
        <v>A</v>
      </c>
      <c r="AC275" s="50" t="str">
        <f t="shared" si="83"/>
        <v>NO</v>
      </c>
      <c r="AD275" s="50" t="str">
        <f t="shared" si="78"/>
        <v>No</v>
      </c>
      <c r="AE275" s="50" t="s">
        <v>147</v>
      </c>
      <c r="AF275" s="55">
        <v>0.28999999999999998</v>
      </c>
      <c r="AG275" s="55">
        <v>58</v>
      </c>
      <c r="AH275" s="55">
        <v>1974</v>
      </c>
      <c r="AI275" s="55" t="str">
        <f t="shared" si="69"/>
        <v xml:space="preserve"> </v>
      </c>
      <c r="AJ275" s="53">
        <v>235.45</v>
      </c>
      <c r="AK275" s="53">
        <f t="shared" si="80"/>
        <v>0.20322786154172862</v>
      </c>
      <c r="AL275" s="53">
        <f t="shared" si="81"/>
        <v>47.85</v>
      </c>
      <c r="AM275" s="50" t="s">
        <v>152</v>
      </c>
      <c r="AN275" s="56" t="s">
        <v>222</v>
      </c>
      <c r="AO275" s="66"/>
      <c r="AP275" s="58" t="s">
        <v>223</v>
      </c>
      <c r="AQ275" s="58" t="s">
        <v>224</v>
      </c>
      <c r="AR275" s="58" t="s">
        <v>225</v>
      </c>
      <c r="AS275" s="64"/>
      <c r="AT275" s="55" t="s">
        <v>92</v>
      </c>
      <c r="AU275" s="1"/>
      <c r="AV275" s="1"/>
      <c r="AW275" s="1"/>
      <c r="AX275" s="1"/>
      <c r="AY275" s="1"/>
      <c r="AZ275" s="1"/>
      <c r="BA275" s="1"/>
      <c r="BB275" s="1"/>
      <c r="BC275" s="1"/>
      <c r="BD275" s="1"/>
      <c r="BE275" s="1"/>
      <c r="BF275" s="1"/>
      <c r="BG275" s="1"/>
    </row>
    <row r="276" spans="1:59" ht="14.25" customHeight="1" x14ac:dyDescent="0.25">
      <c r="A276" s="1"/>
      <c r="B276" s="50"/>
      <c r="C276" s="7" t="s">
        <v>1474</v>
      </c>
      <c r="D276" s="50"/>
      <c r="E276" s="50" t="str">
        <f t="shared" si="82"/>
        <v>001B</v>
      </c>
      <c r="F276" s="50" t="s">
        <v>1396</v>
      </c>
      <c r="G276" s="50" t="s">
        <v>141</v>
      </c>
      <c r="H276" s="50"/>
      <c r="I276" s="50" t="s">
        <v>1475</v>
      </c>
      <c r="J276" s="50" t="s">
        <v>1476</v>
      </c>
      <c r="K276" s="50" t="s">
        <v>141</v>
      </c>
      <c r="L276" s="50" t="s">
        <v>1477</v>
      </c>
      <c r="M276" s="50"/>
      <c r="N276" s="52"/>
      <c r="O276" s="50" t="s">
        <v>118</v>
      </c>
      <c r="P276" s="50"/>
      <c r="Q276" s="53"/>
      <c r="R276" s="50"/>
      <c r="S276" s="54"/>
      <c r="T276" s="54"/>
      <c r="U276" s="54"/>
      <c r="V276" s="54"/>
      <c r="W276" s="52">
        <f t="shared" si="31"/>
        <v>0</v>
      </c>
      <c r="X276" s="54"/>
      <c r="Y276" s="50"/>
      <c r="Z276" s="50"/>
      <c r="AA276" s="106"/>
      <c r="AB276" s="50"/>
      <c r="AC276" s="50" t="str">
        <f t="shared" si="83"/>
        <v>NO</v>
      </c>
      <c r="AD276" s="50"/>
      <c r="AE276" s="50"/>
      <c r="AF276" s="55"/>
      <c r="AG276" s="55"/>
      <c r="AH276" s="55"/>
      <c r="AI276" s="55" t="str">
        <f t="shared" si="69"/>
        <v xml:space="preserve"> </v>
      </c>
      <c r="AJ276" s="53"/>
      <c r="AK276" s="53" t="e">
        <f t="shared" si="80"/>
        <v>#DIV/0!</v>
      </c>
      <c r="AL276" s="53">
        <f t="shared" si="81"/>
        <v>0</v>
      </c>
      <c r="AM276" s="50"/>
      <c r="AN276" s="56" t="s">
        <v>236</v>
      </c>
      <c r="AO276" s="66"/>
      <c r="AP276" s="58" t="s">
        <v>1478</v>
      </c>
      <c r="AQ276" s="58" t="s">
        <v>313</v>
      </c>
      <c r="AR276" s="58" t="s">
        <v>544</v>
      </c>
      <c r="AS276" s="50"/>
      <c r="AT276" s="50"/>
      <c r="AU276" s="1"/>
      <c r="AV276" s="1"/>
      <c r="AW276" s="1"/>
      <c r="AX276" s="1"/>
      <c r="AY276" s="1"/>
      <c r="AZ276" s="1"/>
      <c r="BA276" s="1"/>
      <c r="BB276" s="1"/>
      <c r="BC276" s="1"/>
      <c r="BD276" s="1"/>
      <c r="BE276" s="1"/>
      <c r="BF276" s="1"/>
      <c r="BG276" s="1"/>
    </row>
    <row r="277" spans="1:59" ht="14.25" customHeight="1" x14ac:dyDescent="0.25">
      <c r="A277" s="1"/>
      <c r="B277" s="50"/>
      <c r="C277" s="50" t="s">
        <v>1479</v>
      </c>
      <c r="D277" s="50" t="s">
        <v>1480</v>
      </c>
      <c r="E277" s="50" t="str">
        <f t="shared" si="82"/>
        <v>PP0200300005001B</v>
      </c>
      <c r="F277" s="50"/>
      <c r="G277" s="50" t="s">
        <v>141</v>
      </c>
      <c r="H277" s="50" t="s">
        <v>167</v>
      </c>
      <c r="I277" s="50" t="s">
        <v>1481</v>
      </c>
      <c r="J277" s="50" t="s">
        <v>1482</v>
      </c>
      <c r="K277" s="50" t="s">
        <v>141</v>
      </c>
      <c r="L277" s="50" t="s">
        <v>1483</v>
      </c>
      <c r="M277" s="50"/>
      <c r="N277" s="52" t="s">
        <v>145</v>
      </c>
      <c r="O277" s="50" t="s">
        <v>159</v>
      </c>
      <c r="P277" s="50">
        <v>1075</v>
      </c>
      <c r="Q277" s="53">
        <v>0</v>
      </c>
      <c r="R277" s="53">
        <f t="shared" ref="R277:R415" si="84">P277+Q277</f>
        <v>1075</v>
      </c>
      <c r="S277" s="54">
        <v>2.5299999999999998</v>
      </c>
      <c r="T277" s="54">
        <v>0</v>
      </c>
      <c r="U277" s="54">
        <f t="shared" ref="U277:U415" si="85">T277+S277</f>
        <v>2.5299999999999998</v>
      </c>
      <c r="V277" s="54">
        <v>30</v>
      </c>
      <c r="W277" s="52">
        <f t="shared" si="31"/>
        <v>12.44212962962963</v>
      </c>
      <c r="X277" s="54">
        <f t="shared" ref="X277:X415" si="86">V277/U277</f>
        <v>11.857707509881424</v>
      </c>
      <c r="Y277" s="50" t="str">
        <f t="shared" ref="Y277:Y415" si="87">IF(V277&gt;W277, "è in grado", "non è in grado")</f>
        <v>è in grado</v>
      </c>
      <c r="Z277" s="50" t="str">
        <f t="shared" ref="Z277:Z415" si="88">IF(R277&gt;10000, "sottende", "non sottende")</f>
        <v>non sottende</v>
      </c>
      <c r="AA277" s="106">
        <f t="shared" ref="AA277:AA415" si="89">V277/W277</f>
        <v>2.4111627906976745</v>
      </c>
      <c r="AB277" s="50" t="str">
        <f t="shared" ref="AB277:AB415" si="90">IF(R277&gt;10000, "B", IF(AA277&gt;=2, "A", "B"))</f>
        <v>A</v>
      </c>
      <c r="AC277" s="50" t="str">
        <f t="shared" si="83"/>
        <v>SI</v>
      </c>
      <c r="AD277" s="50" t="str">
        <f t="shared" ref="AD277:AD415" si="91">IF(V277&gt;20, "Si", "No")</f>
        <v>Si</v>
      </c>
      <c r="AE277" s="50" t="s">
        <v>147</v>
      </c>
      <c r="AF277" s="55">
        <v>7.89</v>
      </c>
      <c r="AG277" s="55">
        <v>1048</v>
      </c>
      <c r="AH277" s="55">
        <v>1927</v>
      </c>
      <c r="AI277" s="55" t="str">
        <f t="shared" si="69"/>
        <v xml:space="preserve"> </v>
      </c>
      <c r="AJ277" s="53">
        <v>237.38</v>
      </c>
      <c r="AK277" s="53">
        <f t="shared" si="80"/>
        <v>4.2884826017356135</v>
      </c>
      <c r="AL277" s="53">
        <f t="shared" si="81"/>
        <v>1018</v>
      </c>
      <c r="AM277" s="50" t="s">
        <v>152</v>
      </c>
      <c r="AN277" s="56" t="s">
        <v>236</v>
      </c>
      <c r="AO277" s="57">
        <v>46698</v>
      </c>
      <c r="AP277" s="58" t="s">
        <v>1484</v>
      </c>
      <c r="AQ277" s="58" t="s">
        <v>313</v>
      </c>
      <c r="AR277" s="58" t="s">
        <v>544</v>
      </c>
      <c r="AS277" s="50"/>
      <c r="AT277" s="55"/>
      <c r="AU277" s="69"/>
      <c r="AV277" s="69"/>
      <c r="AW277" s="69"/>
      <c r="AX277" s="69"/>
      <c r="AY277" s="69"/>
      <c r="AZ277" s="69"/>
      <c r="BA277" s="69"/>
      <c r="BB277" s="69"/>
      <c r="BC277" s="69"/>
      <c r="BD277" s="69"/>
      <c r="BE277" s="69"/>
      <c r="BF277" s="1"/>
      <c r="BG277" s="1"/>
    </row>
    <row r="278" spans="1:59" ht="14.25" customHeight="1" x14ac:dyDescent="0.25">
      <c r="A278" s="1"/>
      <c r="B278" s="50"/>
      <c r="C278" s="70" t="s">
        <v>1485</v>
      </c>
      <c r="D278" s="50" t="s">
        <v>1486</v>
      </c>
      <c r="E278" s="50" t="str">
        <f t="shared" si="82"/>
        <v>PP0200300034001B</v>
      </c>
      <c r="F278" s="70"/>
      <c r="G278" s="70" t="s">
        <v>141</v>
      </c>
      <c r="H278" s="70" t="s">
        <v>142</v>
      </c>
      <c r="I278" s="70" t="s">
        <v>1487</v>
      </c>
      <c r="J278" s="50" t="s">
        <v>1488</v>
      </c>
      <c r="K278" s="70" t="s">
        <v>141</v>
      </c>
      <c r="L278" s="70" t="s">
        <v>1441</v>
      </c>
      <c r="M278" s="70"/>
      <c r="N278" s="72" t="s">
        <v>145</v>
      </c>
      <c r="O278" s="70" t="s">
        <v>159</v>
      </c>
      <c r="P278" s="70">
        <v>18</v>
      </c>
      <c r="Q278" s="73">
        <v>0</v>
      </c>
      <c r="R278" s="73">
        <f t="shared" si="84"/>
        <v>18</v>
      </c>
      <c r="S278" s="74">
        <v>0.04</v>
      </c>
      <c r="T278" s="74">
        <v>0</v>
      </c>
      <c r="U278" s="74">
        <f t="shared" si="85"/>
        <v>0.04</v>
      </c>
      <c r="V278" s="74">
        <v>9</v>
      </c>
      <c r="W278" s="52">
        <f t="shared" si="31"/>
        <v>0.20833333333333334</v>
      </c>
      <c r="X278" s="74">
        <f t="shared" si="86"/>
        <v>225</v>
      </c>
      <c r="Y278" s="70" t="str">
        <f t="shared" si="87"/>
        <v>è in grado</v>
      </c>
      <c r="Z278" s="70" t="str">
        <f t="shared" si="88"/>
        <v>non sottende</v>
      </c>
      <c r="AA278" s="112">
        <f t="shared" si="89"/>
        <v>43.199999999999996</v>
      </c>
      <c r="AB278" s="70" t="str">
        <f t="shared" si="90"/>
        <v>A</v>
      </c>
      <c r="AC278" s="50" t="str">
        <f t="shared" si="83"/>
        <v>SI</v>
      </c>
      <c r="AD278" s="70" t="str">
        <f t="shared" si="91"/>
        <v>No</v>
      </c>
      <c r="AE278" s="70" t="s">
        <v>147</v>
      </c>
      <c r="AF278" s="71">
        <v>0.63</v>
      </c>
      <c r="AG278" s="71">
        <v>72</v>
      </c>
      <c r="AH278" s="71">
        <v>167</v>
      </c>
      <c r="AI278" s="55" t="str">
        <f t="shared" si="69"/>
        <v xml:space="preserve"> </v>
      </c>
      <c r="AJ278" s="73">
        <v>249.14</v>
      </c>
      <c r="AK278" s="53">
        <f t="shared" si="80"/>
        <v>0.25286987236092157</v>
      </c>
      <c r="AL278" s="53">
        <f t="shared" si="81"/>
        <v>63</v>
      </c>
      <c r="AM278" s="70" t="s">
        <v>152</v>
      </c>
      <c r="AN278" s="56" t="s">
        <v>236</v>
      </c>
      <c r="AO278" s="129">
        <v>46712</v>
      </c>
      <c r="AP278" s="107" t="s">
        <v>1489</v>
      </c>
      <c r="AQ278" s="58" t="s">
        <v>313</v>
      </c>
      <c r="AR278" s="75">
        <v>51037</v>
      </c>
      <c r="AS278" s="50" t="s">
        <v>1351</v>
      </c>
      <c r="AT278" s="2"/>
      <c r="AU278" s="1"/>
      <c r="AV278" s="1"/>
      <c r="AW278" s="1"/>
      <c r="AX278" s="1"/>
      <c r="AY278" s="1"/>
      <c r="AZ278" s="1"/>
      <c r="BA278" s="1"/>
      <c r="BB278" s="1"/>
      <c r="BC278" s="1"/>
      <c r="BD278" s="1"/>
      <c r="BE278" s="1"/>
      <c r="BF278" s="1"/>
      <c r="BG278" s="1"/>
    </row>
    <row r="279" spans="1:59" ht="14.25" customHeight="1" x14ac:dyDescent="0.25">
      <c r="A279" s="1"/>
      <c r="B279" s="50"/>
      <c r="C279" s="50" t="s">
        <v>1490</v>
      </c>
      <c r="D279" s="50" t="s">
        <v>1491</v>
      </c>
      <c r="E279" s="50" t="str">
        <f t="shared" si="82"/>
        <v>PP0200300035001B</v>
      </c>
      <c r="F279" s="50"/>
      <c r="G279" s="50" t="s">
        <v>141</v>
      </c>
      <c r="H279" s="50" t="s">
        <v>95</v>
      </c>
      <c r="I279" s="50" t="s">
        <v>1492</v>
      </c>
      <c r="J279" s="50" t="s">
        <v>1493</v>
      </c>
      <c r="K279" s="50" t="s">
        <v>141</v>
      </c>
      <c r="L279" s="50" t="s">
        <v>1357</v>
      </c>
      <c r="M279" s="50"/>
      <c r="N279" s="52" t="s">
        <v>145</v>
      </c>
      <c r="O279" s="50" t="s">
        <v>151</v>
      </c>
      <c r="P279" s="50">
        <v>4789</v>
      </c>
      <c r="Q279" s="53">
        <v>1</v>
      </c>
      <c r="R279" s="53">
        <f t="shared" si="84"/>
        <v>4790</v>
      </c>
      <c r="S279" s="54">
        <v>11.26</v>
      </c>
      <c r="T279" s="54">
        <v>0.01</v>
      </c>
      <c r="U279" s="54">
        <f t="shared" si="85"/>
        <v>11.27</v>
      </c>
      <c r="V279" s="54">
        <v>177.42</v>
      </c>
      <c r="W279" s="52">
        <f t="shared" si="31"/>
        <v>55.439814814814817</v>
      </c>
      <c r="X279" s="54">
        <f t="shared" si="86"/>
        <v>15.742679680567878</v>
      </c>
      <c r="Y279" s="50" t="str">
        <f t="shared" si="87"/>
        <v>è in grado</v>
      </c>
      <c r="Z279" s="50" t="str">
        <f t="shared" si="88"/>
        <v>non sottende</v>
      </c>
      <c r="AA279" s="106">
        <f t="shared" si="89"/>
        <v>3.2002271398747388</v>
      </c>
      <c r="AB279" s="50" t="str">
        <f t="shared" si="90"/>
        <v>A</v>
      </c>
      <c r="AC279" s="50" t="str">
        <f t="shared" si="83"/>
        <v>SI</v>
      </c>
      <c r="AD279" s="50" t="str">
        <f t="shared" si="91"/>
        <v>Si</v>
      </c>
      <c r="AE279" s="50" t="s">
        <v>147</v>
      </c>
      <c r="AF279" s="55">
        <v>2.4700000000000002</v>
      </c>
      <c r="AG279" s="55">
        <v>578</v>
      </c>
      <c r="AH279" s="55">
        <v>2315</v>
      </c>
      <c r="AI279" s="55" t="str">
        <f t="shared" si="69"/>
        <v xml:space="preserve"> </v>
      </c>
      <c r="AJ279" s="53">
        <v>240.34</v>
      </c>
      <c r="AK279" s="53">
        <f t="shared" si="80"/>
        <v>1.6667221436298578</v>
      </c>
      <c r="AL279" s="53">
        <f t="shared" si="81"/>
        <v>400.58000000000004</v>
      </c>
      <c r="AM279" s="50" t="s">
        <v>152</v>
      </c>
      <c r="AN279" s="56" t="s">
        <v>236</v>
      </c>
      <c r="AO279" s="57">
        <v>47429</v>
      </c>
      <c r="AP279" s="58" t="s">
        <v>1494</v>
      </c>
      <c r="AQ279" s="58" t="s">
        <v>313</v>
      </c>
      <c r="AR279" s="58" t="s">
        <v>544</v>
      </c>
      <c r="AS279" s="50"/>
      <c r="AT279" s="50" t="s">
        <v>1495</v>
      </c>
      <c r="AU279" s="1"/>
      <c r="AV279" s="1"/>
      <c r="AW279" s="1"/>
      <c r="AX279" s="1"/>
      <c r="AY279" s="1"/>
      <c r="AZ279" s="1"/>
      <c r="BA279" s="1"/>
      <c r="BB279" s="1"/>
      <c r="BC279" s="1"/>
      <c r="BD279" s="1"/>
      <c r="BE279" s="1"/>
      <c r="BF279" s="1"/>
      <c r="BG279" s="1"/>
    </row>
    <row r="280" spans="1:59" ht="14.25" customHeight="1" x14ac:dyDescent="0.25">
      <c r="A280" s="1"/>
      <c r="B280" s="50"/>
      <c r="C280" s="50" t="s">
        <v>1496</v>
      </c>
      <c r="D280" s="50" t="s">
        <v>1497</v>
      </c>
      <c r="E280" s="50" t="str">
        <f t="shared" si="82"/>
        <v>PP0200300016001B</v>
      </c>
      <c r="F280" s="50" t="s">
        <v>1339</v>
      </c>
      <c r="G280" s="50" t="s">
        <v>141</v>
      </c>
      <c r="H280" s="50" t="s">
        <v>1340</v>
      </c>
      <c r="I280" s="50" t="s">
        <v>1498</v>
      </c>
      <c r="J280" s="50" t="s">
        <v>1499</v>
      </c>
      <c r="K280" s="50" t="s">
        <v>141</v>
      </c>
      <c r="L280" s="50" t="s">
        <v>1441</v>
      </c>
      <c r="M280" s="50"/>
      <c r="N280" s="52" t="s">
        <v>145</v>
      </c>
      <c r="O280" s="50" t="s">
        <v>151</v>
      </c>
      <c r="P280" s="50">
        <v>212</v>
      </c>
      <c r="Q280" s="53">
        <v>0</v>
      </c>
      <c r="R280" s="53">
        <f t="shared" si="84"/>
        <v>212</v>
      </c>
      <c r="S280" s="54">
        <v>0.5</v>
      </c>
      <c r="T280" s="54">
        <v>0</v>
      </c>
      <c r="U280" s="54">
        <f t="shared" si="85"/>
        <v>0.5</v>
      </c>
      <c r="V280" s="54">
        <v>240.34</v>
      </c>
      <c r="W280" s="52">
        <f t="shared" si="31"/>
        <v>2.4537037037037037</v>
      </c>
      <c r="X280" s="54">
        <f t="shared" si="86"/>
        <v>480.68</v>
      </c>
      <c r="Y280" s="50" t="str">
        <f t="shared" si="87"/>
        <v>è in grado</v>
      </c>
      <c r="Z280" s="50" t="str">
        <f t="shared" si="88"/>
        <v>non sottende</v>
      </c>
      <c r="AA280" s="106">
        <f t="shared" si="89"/>
        <v>97.94988679245283</v>
      </c>
      <c r="AB280" s="50" t="str">
        <f t="shared" si="90"/>
        <v>A</v>
      </c>
      <c r="AC280" s="50" t="str">
        <f t="shared" si="83"/>
        <v>SI</v>
      </c>
      <c r="AD280" s="50" t="str">
        <f t="shared" si="91"/>
        <v>Si</v>
      </c>
      <c r="AE280" s="50" t="s">
        <v>147</v>
      </c>
      <c r="AF280" s="55">
        <v>6.28</v>
      </c>
      <c r="AG280" s="55">
        <v>567</v>
      </c>
      <c r="AH280" s="55">
        <v>1715</v>
      </c>
      <c r="AI280" s="55" t="str">
        <f t="shared" si="69"/>
        <v xml:space="preserve"> </v>
      </c>
      <c r="AJ280" s="53">
        <v>132.1</v>
      </c>
      <c r="AK280" s="53">
        <f t="shared" si="80"/>
        <v>2.4728236184708554</v>
      </c>
      <c r="AL280" s="53">
        <f t="shared" si="81"/>
        <v>326.65999999999997</v>
      </c>
      <c r="AM280" s="50" t="s">
        <v>152</v>
      </c>
      <c r="AN280" s="56" t="s">
        <v>236</v>
      </c>
      <c r="AO280" s="57">
        <v>46712</v>
      </c>
      <c r="AP280" s="58" t="s">
        <v>1500</v>
      </c>
      <c r="AQ280" s="58" t="s">
        <v>313</v>
      </c>
      <c r="AR280" s="75">
        <v>51037</v>
      </c>
      <c r="AS280" s="50" t="s">
        <v>1351</v>
      </c>
      <c r="AT280" s="55"/>
      <c r="AU280" s="1"/>
      <c r="AV280" s="1"/>
      <c r="AW280" s="1"/>
      <c r="AX280" s="1"/>
      <c r="AY280" s="1"/>
      <c r="AZ280" s="1"/>
      <c r="BA280" s="1"/>
      <c r="BB280" s="1"/>
      <c r="BC280" s="1"/>
      <c r="BD280" s="1"/>
      <c r="BE280" s="1"/>
      <c r="BF280" s="1"/>
      <c r="BG280" s="1"/>
    </row>
    <row r="281" spans="1:59" ht="14.25" customHeight="1" x14ac:dyDescent="0.25">
      <c r="A281" s="1"/>
      <c r="B281" s="50"/>
      <c r="C281" s="50" t="s">
        <v>1501</v>
      </c>
      <c r="D281" s="50" t="s">
        <v>1502</v>
      </c>
      <c r="E281" s="50" t="str">
        <f t="shared" si="82"/>
        <v>PP0200300011001B</v>
      </c>
      <c r="F281" s="50"/>
      <c r="G281" s="50" t="s">
        <v>141</v>
      </c>
      <c r="H281" s="50"/>
      <c r="I281" s="50" t="s">
        <v>1503</v>
      </c>
      <c r="J281" s="50" t="s">
        <v>1504</v>
      </c>
      <c r="K281" s="50" t="s">
        <v>141</v>
      </c>
      <c r="L281" s="50" t="s">
        <v>1505</v>
      </c>
      <c r="M281" s="50"/>
      <c r="N281" s="52"/>
      <c r="O281" s="50" t="s">
        <v>159</v>
      </c>
      <c r="P281" s="50">
        <v>9487</v>
      </c>
      <c r="Q281" s="53">
        <v>9</v>
      </c>
      <c r="R281" s="53">
        <f t="shared" si="84"/>
        <v>9496</v>
      </c>
      <c r="S281" s="54">
        <v>22.31</v>
      </c>
      <c r="T281" s="54">
        <v>0.2</v>
      </c>
      <c r="U281" s="54">
        <f t="shared" si="85"/>
        <v>22.509999999999998</v>
      </c>
      <c r="V281" s="54">
        <v>116.2</v>
      </c>
      <c r="W281" s="52">
        <f t="shared" si="31"/>
        <v>82.430555555555557</v>
      </c>
      <c r="X281" s="54">
        <f t="shared" si="86"/>
        <v>5.1621501554864508</v>
      </c>
      <c r="Y281" s="50" t="str">
        <f t="shared" si="87"/>
        <v>è in grado</v>
      </c>
      <c r="Z281" s="50" t="str">
        <f t="shared" si="88"/>
        <v>non sottende</v>
      </c>
      <c r="AA281" s="106">
        <f t="shared" si="89"/>
        <v>1.4096714406065711</v>
      </c>
      <c r="AB281" s="50" t="str">
        <f t="shared" si="90"/>
        <v>B</v>
      </c>
      <c r="AC281" s="50" t="str">
        <f t="shared" si="83"/>
        <v>SI</v>
      </c>
      <c r="AD281" s="50" t="str">
        <f t="shared" si="91"/>
        <v>Si</v>
      </c>
      <c r="AE281" s="50" t="s">
        <v>605</v>
      </c>
      <c r="AF281" s="55">
        <v>98.57</v>
      </c>
      <c r="AG281" s="55">
        <v>6637</v>
      </c>
      <c r="AH281" s="55">
        <v>10310</v>
      </c>
      <c r="AI281" s="55" t="str">
        <f t="shared" si="69"/>
        <v xml:space="preserve"> </v>
      </c>
      <c r="AJ281" s="53">
        <v>127.24</v>
      </c>
      <c r="AK281" s="53">
        <f t="shared" si="80"/>
        <v>51.248035209053761</v>
      </c>
      <c r="AL281" s="53">
        <f t="shared" si="81"/>
        <v>6520.8</v>
      </c>
      <c r="AM281" s="50" t="s">
        <v>1420</v>
      </c>
      <c r="AN281" s="56" t="s">
        <v>236</v>
      </c>
      <c r="AO281" s="57">
        <v>46698</v>
      </c>
      <c r="AP281" s="58" t="s">
        <v>1506</v>
      </c>
      <c r="AQ281" s="58" t="s">
        <v>313</v>
      </c>
      <c r="AR281" s="75">
        <v>51037</v>
      </c>
      <c r="AS281" s="50" t="s">
        <v>1351</v>
      </c>
      <c r="AT281" s="55"/>
      <c r="AU281" s="1"/>
      <c r="AV281" s="1"/>
      <c r="AW281" s="1"/>
      <c r="AX281" s="1"/>
      <c r="AY281" s="1"/>
      <c r="AZ281" s="1"/>
      <c r="BA281" s="1"/>
      <c r="BB281" s="1"/>
      <c r="BC281" s="1"/>
      <c r="BD281" s="1"/>
      <c r="BE281" s="1"/>
      <c r="BF281" s="1"/>
      <c r="BG281" s="1"/>
    </row>
    <row r="282" spans="1:59" ht="14.25" customHeight="1" x14ac:dyDescent="0.25">
      <c r="A282" s="1"/>
      <c r="B282" s="50"/>
      <c r="C282" s="50" t="s">
        <v>1507</v>
      </c>
      <c r="D282" s="50" t="s">
        <v>1508</v>
      </c>
      <c r="E282" s="50" t="str">
        <f t="shared" si="82"/>
        <v>PP0200300028001B</v>
      </c>
      <c r="F282" s="50"/>
      <c r="G282" s="50" t="s">
        <v>141</v>
      </c>
      <c r="H282" s="50" t="s">
        <v>95</v>
      </c>
      <c r="I282" s="50" t="s">
        <v>1509</v>
      </c>
      <c r="J282" s="50" t="s">
        <v>1510</v>
      </c>
      <c r="K282" s="50" t="s">
        <v>141</v>
      </c>
      <c r="L282" s="50" t="s">
        <v>1357</v>
      </c>
      <c r="M282" s="50"/>
      <c r="N282" s="52" t="s">
        <v>145</v>
      </c>
      <c r="O282" s="50" t="s">
        <v>159</v>
      </c>
      <c r="P282" s="50">
        <v>404</v>
      </c>
      <c r="Q282" s="53">
        <v>0</v>
      </c>
      <c r="R282" s="53">
        <f t="shared" si="84"/>
        <v>404</v>
      </c>
      <c r="S282" s="54">
        <v>0.95</v>
      </c>
      <c r="T282" s="54">
        <v>0</v>
      </c>
      <c r="U282" s="54">
        <f t="shared" si="85"/>
        <v>0.95</v>
      </c>
      <c r="V282" s="54">
        <v>32</v>
      </c>
      <c r="W282" s="52">
        <f t="shared" si="31"/>
        <v>4.6759259259259256</v>
      </c>
      <c r="X282" s="54">
        <f t="shared" si="86"/>
        <v>33.684210526315788</v>
      </c>
      <c r="Y282" s="50" t="str">
        <f t="shared" si="87"/>
        <v>è in grado</v>
      </c>
      <c r="Z282" s="50" t="str">
        <f t="shared" si="88"/>
        <v>non sottende</v>
      </c>
      <c r="AA282" s="106">
        <f t="shared" si="89"/>
        <v>6.8435643564356443</v>
      </c>
      <c r="AB282" s="50" t="str">
        <f t="shared" si="90"/>
        <v>A</v>
      </c>
      <c r="AC282" s="50" t="str">
        <f t="shared" si="83"/>
        <v>SI</v>
      </c>
      <c r="AD282" s="50" t="str">
        <f t="shared" si="91"/>
        <v>Si</v>
      </c>
      <c r="AE282" s="50" t="s">
        <v>147</v>
      </c>
      <c r="AF282" s="55">
        <v>3.53</v>
      </c>
      <c r="AG282" s="55">
        <v>522</v>
      </c>
      <c r="AH282" s="55">
        <v>2232</v>
      </c>
      <c r="AI282" s="55" t="str">
        <f t="shared" si="69"/>
        <v xml:space="preserve"> </v>
      </c>
      <c r="AJ282" s="53">
        <v>246.76</v>
      </c>
      <c r="AK282" s="53">
        <f t="shared" si="80"/>
        <v>1.985735127249149</v>
      </c>
      <c r="AL282" s="53">
        <f t="shared" si="81"/>
        <v>490</v>
      </c>
      <c r="AM282" s="50" t="s">
        <v>152</v>
      </c>
      <c r="AN282" s="56" t="s">
        <v>236</v>
      </c>
      <c r="AO282" s="57">
        <v>47429</v>
      </c>
      <c r="AP282" s="58" t="s">
        <v>1511</v>
      </c>
      <c r="AQ282" s="58" t="s">
        <v>313</v>
      </c>
      <c r="AR282" s="58" t="s">
        <v>544</v>
      </c>
      <c r="AS282" s="50"/>
      <c r="AT282" s="50" t="s">
        <v>1495</v>
      </c>
      <c r="AU282" s="1"/>
      <c r="AV282" s="1"/>
      <c r="AW282" s="1"/>
      <c r="AX282" s="1"/>
      <c r="AY282" s="1"/>
      <c r="AZ282" s="1"/>
      <c r="BA282" s="1"/>
      <c r="BB282" s="1"/>
      <c r="BC282" s="1"/>
      <c r="BD282" s="1"/>
      <c r="BE282" s="1"/>
      <c r="BF282" s="1"/>
      <c r="BG282" s="1"/>
    </row>
    <row r="283" spans="1:59" ht="14.25" customHeight="1" x14ac:dyDescent="0.25">
      <c r="A283" s="1"/>
      <c r="B283" s="50"/>
      <c r="C283" s="50" t="s">
        <v>1512</v>
      </c>
      <c r="D283" s="50" t="s">
        <v>1513</v>
      </c>
      <c r="E283" s="50" t="str">
        <f t="shared" si="82"/>
        <v>PP0200300017001B</v>
      </c>
      <c r="F283" s="50" t="s">
        <v>1514</v>
      </c>
      <c r="G283" s="50" t="s">
        <v>141</v>
      </c>
      <c r="H283" s="50" t="s">
        <v>578</v>
      </c>
      <c r="I283" s="50" t="s">
        <v>1515</v>
      </c>
      <c r="J283" s="50" t="s">
        <v>1516</v>
      </c>
      <c r="K283" s="50" t="s">
        <v>141</v>
      </c>
      <c r="L283" s="50" t="s">
        <v>1517</v>
      </c>
      <c r="M283" s="50"/>
      <c r="N283" s="52"/>
      <c r="O283" s="50" t="s">
        <v>159</v>
      </c>
      <c r="P283" s="50">
        <v>120</v>
      </c>
      <c r="Q283" s="53">
        <v>0</v>
      </c>
      <c r="R283" s="53">
        <f t="shared" si="84"/>
        <v>120</v>
      </c>
      <c r="S283" s="54">
        <v>0.28000000000000003</v>
      </c>
      <c r="T283" s="54">
        <v>0</v>
      </c>
      <c r="U283" s="54">
        <f t="shared" si="85"/>
        <v>0.28000000000000003</v>
      </c>
      <c r="V283" s="54">
        <v>30</v>
      </c>
      <c r="W283" s="52">
        <f t="shared" si="31"/>
        <v>1.0416666666666667</v>
      </c>
      <c r="X283" s="54">
        <f t="shared" si="86"/>
        <v>107.14285714285714</v>
      </c>
      <c r="Y283" s="50" t="str">
        <f t="shared" si="87"/>
        <v>è in grado</v>
      </c>
      <c r="Z283" s="50" t="str">
        <f t="shared" si="88"/>
        <v>non sottende</v>
      </c>
      <c r="AA283" s="106">
        <f t="shared" si="89"/>
        <v>28.799999999999997</v>
      </c>
      <c r="AB283" s="50" t="str">
        <f t="shared" si="90"/>
        <v>A</v>
      </c>
      <c r="AC283" s="50" t="str">
        <f t="shared" si="83"/>
        <v>SI</v>
      </c>
      <c r="AD283" s="50" t="str">
        <f t="shared" si="91"/>
        <v>Si</v>
      </c>
      <c r="AE283" s="50" t="s">
        <v>147</v>
      </c>
      <c r="AF283" s="55">
        <v>15.76</v>
      </c>
      <c r="AG283" s="55">
        <v>1988</v>
      </c>
      <c r="AH283" s="55">
        <v>2754</v>
      </c>
      <c r="AI283" s="55" t="str">
        <f t="shared" si="69"/>
        <v xml:space="preserve"> </v>
      </c>
      <c r="AJ283" s="53">
        <v>214.21</v>
      </c>
      <c r="AK283" s="53">
        <f t="shared" si="80"/>
        <v>9.1405629989262867</v>
      </c>
      <c r="AL283" s="53">
        <f t="shared" si="81"/>
        <v>1958</v>
      </c>
      <c r="AM283" s="50" t="s">
        <v>1420</v>
      </c>
      <c r="AN283" s="56" t="s">
        <v>236</v>
      </c>
      <c r="AO283" s="57">
        <v>47429</v>
      </c>
      <c r="AP283" s="58" t="s">
        <v>1518</v>
      </c>
      <c r="AQ283" s="58" t="s">
        <v>238</v>
      </c>
      <c r="AR283" s="58"/>
      <c r="AS283" s="50"/>
      <c r="AT283" s="50" t="s">
        <v>1495</v>
      </c>
      <c r="AU283" s="1"/>
      <c r="AV283" s="1"/>
      <c r="AW283" s="1"/>
      <c r="AX283" s="1"/>
      <c r="AY283" s="1"/>
      <c r="AZ283" s="1"/>
      <c r="BA283" s="1"/>
      <c r="BB283" s="1"/>
      <c r="BC283" s="1"/>
      <c r="BD283" s="1"/>
      <c r="BE283" s="1"/>
      <c r="BF283" s="1"/>
      <c r="BG283" s="1"/>
    </row>
    <row r="284" spans="1:59" ht="14.25" customHeight="1" x14ac:dyDescent="0.25">
      <c r="A284" s="1"/>
      <c r="B284" s="50"/>
      <c r="C284" s="50" t="s">
        <v>1519</v>
      </c>
      <c r="D284" s="50" t="s">
        <v>1520</v>
      </c>
      <c r="E284" s="50" t="str">
        <f t="shared" si="82"/>
        <v>PP0200300010001B</v>
      </c>
      <c r="F284" s="50"/>
      <c r="G284" s="50" t="s">
        <v>141</v>
      </c>
      <c r="H284" s="50" t="s">
        <v>1521</v>
      </c>
      <c r="I284" s="50" t="s">
        <v>1522</v>
      </c>
      <c r="J284" s="50" t="s">
        <v>1523</v>
      </c>
      <c r="K284" s="50" t="s">
        <v>141</v>
      </c>
      <c r="L284" s="50" t="s">
        <v>1524</v>
      </c>
      <c r="M284" s="50"/>
      <c r="N284" s="52" t="s">
        <v>145</v>
      </c>
      <c r="O284" s="50" t="s">
        <v>159</v>
      </c>
      <c r="P284" s="50">
        <v>1883</v>
      </c>
      <c r="Q284" s="53">
        <v>45</v>
      </c>
      <c r="R284" s="53">
        <f t="shared" si="84"/>
        <v>1928</v>
      </c>
      <c r="S284" s="54">
        <v>4.43</v>
      </c>
      <c r="T284" s="50">
        <v>1.84</v>
      </c>
      <c r="U284" s="54">
        <f t="shared" si="85"/>
        <v>6.27</v>
      </c>
      <c r="V284" s="54">
        <v>40</v>
      </c>
      <c r="W284" s="52">
        <f t="shared" si="31"/>
        <v>22.314814814814813</v>
      </c>
      <c r="X284" s="54">
        <f t="shared" si="86"/>
        <v>6.3795853269537481</v>
      </c>
      <c r="Y284" s="50" t="str">
        <f t="shared" si="87"/>
        <v>è in grado</v>
      </c>
      <c r="Z284" s="50" t="str">
        <f t="shared" si="88"/>
        <v>non sottende</v>
      </c>
      <c r="AA284" s="106">
        <f t="shared" si="89"/>
        <v>1.7925311203319503</v>
      </c>
      <c r="AB284" s="50" t="str">
        <f t="shared" si="90"/>
        <v>B</v>
      </c>
      <c r="AC284" s="50" t="str">
        <f t="shared" si="83"/>
        <v>SI</v>
      </c>
      <c r="AD284" s="50" t="str">
        <f t="shared" si="91"/>
        <v>Si</v>
      </c>
      <c r="AE284" s="50" t="s">
        <v>147</v>
      </c>
      <c r="AF284" s="55">
        <v>111.99</v>
      </c>
      <c r="AG284" s="55">
        <v>10798</v>
      </c>
      <c r="AH284" s="55">
        <v>11436</v>
      </c>
      <c r="AI284" s="55" t="str">
        <f t="shared" si="69"/>
        <v xml:space="preserve"> </v>
      </c>
      <c r="AJ284" s="53">
        <v>143.38</v>
      </c>
      <c r="AK284" s="53">
        <f t="shared" si="80"/>
        <v>75.031385130422649</v>
      </c>
      <c r="AL284" s="53">
        <v>10758.35</v>
      </c>
      <c r="AM284" s="50" t="s">
        <v>1420</v>
      </c>
      <c r="AN284" s="56" t="s">
        <v>236</v>
      </c>
      <c r="AO284" s="57">
        <v>47429</v>
      </c>
      <c r="AP284" s="58" t="s">
        <v>1525</v>
      </c>
      <c r="AQ284" s="58" t="s">
        <v>955</v>
      </c>
      <c r="AR284" s="58" t="s">
        <v>225</v>
      </c>
      <c r="AS284" s="50"/>
      <c r="AT284" s="55"/>
      <c r="AU284" s="1"/>
      <c r="AV284" s="1"/>
      <c r="AW284" s="1"/>
      <c r="AX284" s="1"/>
      <c r="AY284" s="1"/>
      <c r="AZ284" s="1"/>
      <c r="BA284" s="1"/>
      <c r="BB284" s="1"/>
      <c r="BC284" s="1"/>
      <c r="BD284" s="1"/>
      <c r="BE284" s="1"/>
      <c r="BF284" s="1"/>
      <c r="BG284" s="1"/>
    </row>
    <row r="285" spans="1:59" ht="14.25" customHeight="1" x14ac:dyDescent="0.25">
      <c r="A285" s="1"/>
      <c r="B285" s="50"/>
      <c r="C285" s="50" t="s">
        <v>1526</v>
      </c>
      <c r="D285" s="50" t="s">
        <v>1527</v>
      </c>
      <c r="E285" s="50" t="str">
        <f t="shared" si="82"/>
        <v>PP0200300003001B</v>
      </c>
      <c r="F285" s="50"/>
      <c r="G285" s="50" t="s">
        <v>141</v>
      </c>
      <c r="H285" s="50" t="s">
        <v>95</v>
      </c>
      <c r="I285" s="50" t="s">
        <v>1528</v>
      </c>
      <c r="J285" s="50" t="s">
        <v>1529</v>
      </c>
      <c r="K285" s="50" t="s">
        <v>141</v>
      </c>
      <c r="L285" s="50" t="s">
        <v>1363</v>
      </c>
      <c r="M285" s="50"/>
      <c r="N285" s="52" t="s">
        <v>145</v>
      </c>
      <c r="O285" s="50" t="s">
        <v>151</v>
      </c>
      <c r="P285" s="50">
        <v>98</v>
      </c>
      <c r="Q285" s="53">
        <v>0</v>
      </c>
      <c r="R285" s="53">
        <f t="shared" si="84"/>
        <v>98</v>
      </c>
      <c r="S285" s="54">
        <v>0.23</v>
      </c>
      <c r="T285" s="54">
        <v>0</v>
      </c>
      <c r="U285" s="54">
        <f t="shared" si="85"/>
        <v>0.23</v>
      </c>
      <c r="V285" s="54">
        <v>57.44</v>
      </c>
      <c r="W285" s="52">
        <f t="shared" si="31"/>
        <v>1.1342592592592593</v>
      </c>
      <c r="X285" s="54">
        <f t="shared" si="86"/>
        <v>249.7391304347826</v>
      </c>
      <c r="Y285" s="50" t="str">
        <f t="shared" si="87"/>
        <v>è in grado</v>
      </c>
      <c r="Z285" s="50" t="str">
        <f t="shared" si="88"/>
        <v>non sottende</v>
      </c>
      <c r="AA285" s="106">
        <f t="shared" si="89"/>
        <v>50.640979591836732</v>
      </c>
      <c r="AB285" s="50" t="str">
        <f t="shared" si="90"/>
        <v>A</v>
      </c>
      <c r="AC285" s="50" t="str">
        <f t="shared" si="83"/>
        <v>SI</v>
      </c>
      <c r="AD285" s="50" t="str">
        <f t="shared" si="91"/>
        <v>Si</v>
      </c>
      <c r="AE285" s="50" t="s">
        <v>147</v>
      </c>
      <c r="AF285" s="55">
        <v>2.76</v>
      </c>
      <c r="AG285" s="55">
        <v>412</v>
      </c>
      <c r="AH285" s="55">
        <v>1416</v>
      </c>
      <c r="AI285" s="55" t="str">
        <f t="shared" si="69"/>
        <v xml:space="preserve"> </v>
      </c>
      <c r="AJ285" s="53">
        <v>210.36</v>
      </c>
      <c r="AK285" s="53">
        <f t="shared" si="80"/>
        <v>1.6854915383152689</v>
      </c>
      <c r="AL285" s="53">
        <f t="shared" ref="AL285:AL313" si="92">MIN(AG285:AH285)-V285</f>
        <v>354.56</v>
      </c>
      <c r="AM285" s="50" t="s">
        <v>152</v>
      </c>
      <c r="AN285" s="56" t="s">
        <v>222</v>
      </c>
      <c r="AO285" s="57">
        <v>46720</v>
      </c>
      <c r="AP285" s="58" t="s">
        <v>1530</v>
      </c>
      <c r="AQ285" s="58" t="s">
        <v>313</v>
      </c>
      <c r="AR285" s="58" t="s">
        <v>544</v>
      </c>
      <c r="AS285" s="50"/>
      <c r="AT285" s="50"/>
      <c r="AU285" s="1"/>
      <c r="AV285" s="1"/>
      <c r="AW285" s="1"/>
      <c r="AX285" s="1"/>
      <c r="AY285" s="1"/>
      <c r="AZ285" s="1"/>
      <c r="BA285" s="1"/>
      <c r="BB285" s="1"/>
      <c r="BC285" s="1"/>
      <c r="BD285" s="1"/>
      <c r="BE285" s="1"/>
      <c r="BF285" s="1"/>
      <c r="BG285" s="1"/>
    </row>
    <row r="286" spans="1:59" ht="14.25" customHeight="1" x14ac:dyDescent="0.25">
      <c r="A286" s="1"/>
      <c r="B286" s="50"/>
      <c r="C286" s="50" t="s">
        <v>1531</v>
      </c>
      <c r="D286" s="50" t="s">
        <v>1532</v>
      </c>
      <c r="E286" s="50" t="str">
        <f t="shared" si="82"/>
        <v>PP0200300027001B</v>
      </c>
      <c r="F286" s="50"/>
      <c r="G286" s="50" t="s">
        <v>141</v>
      </c>
      <c r="H286" s="50" t="s">
        <v>1533</v>
      </c>
      <c r="I286" s="50" t="s">
        <v>1534</v>
      </c>
      <c r="J286" s="50" t="s">
        <v>1535</v>
      </c>
      <c r="K286" s="50" t="s">
        <v>141</v>
      </c>
      <c r="L286" s="50" t="s">
        <v>1536</v>
      </c>
      <c r="M286" s="50"/>
      <c r="N286" s="52"/>
      <c r="O286" s="50" t="s">
        <v>159</v>
      </c>
      <c r="P286" s="50">
        <v>539</v>
      </c>
      <c r="Q286" s="53">
        <v>1</v>
      </c>
      <c r="R286" s="53">
        <f t="shared" si="84"/>
        <v>540</v>
      </c>
      <c r="S286" s="54">
        <v>1.27</v>
      </c>
      <c r="T286" s="54">
        <v>0.06</v>
      </c>
      <c r="U286" s="54">
        <f t="shared" si="85"/>
        <v>1.33</v>
      </c>
      <c r="V286" s="54">
        <v>48</v>
      </c>
      <c r="W286" s="52">
        <f t="shared" ref="W286:W492" si="93">MAX(IF(N286="si",R286*1000/86400,R286*750/86400),IF(Q286&gt;=(0.5*P286),(1.5*S286+T286)*2.5,(1.5*S286+T286)*2))</f>
        <v>4.6875</v>
      </c>
      <c r="X286" s="54">
        <f t="shared" si="86"/>
        <v>36.090225563909776</v>
      </c>
      <c r="Y286" s="50" t="str">
        <f t="shared" si="87"/>
        <v>è in grado</v>
      </c>
      <c r="Z286" s="50" t="str">
        <f t="shared" si="88"/>
        <v>non sottende</v>
      </c>
      <c r="AA286" s="106">
        <f t="shared" si="89"/>
        <v>10.24</v>
      </c>
      <c r="AB286" s="50" t="str">
        <f t="shared" si="90"/>
        <v>A</v>
      </c>
      <c r="AC286" s="50" t="str">
        <f t="shared" si="83"/>
        <v>SI</v>
      </c>
      <c r="AD286" s="50" t="str">
        <f t="shared" si="91"/>
        <v>Si</v>
      </c>
      <c r="AE286" s="50" t="s">
        <v>147</v>
      </c>
      <c r="AF286" s="55">
        <v>16.760000000000002</v>
      </c>
      <c r="AG286" s="55">
        <v>1758</v>
      </c>
      <c r="AH286" s="55">
        <v>6037</v>
      </c>
      <c r="AI286" s="55" t="str">
        <f t="shared" si="69"/>
        <v xml:space="preserve"> </v>
      </c>
      <c r="AJ286" s="53">
        <v>223.01</v>
      </c>
      <c r="AK286" s="53">
        <f t="shared" si="80"/>
        <v>7.6678175866553069</v>
      </c>
      <c r="AL286" s="53">
        <f t="shared" si="92"/>
        <v>1710</v>
      </c>
      <c r="AM286" s="50" t="s">
        <v>1420</v>
      </c>
      <c r="AN286" s="56" t="s">
        <v>236</v>
      </c>
      <c r="AO286" s="57">
        <v>46915</v>
      </c>
      <c r="AP286" s="58" t="s">
        <v>1537</v>
      </c>
      <c r="AQ286" s="58" t="s">
        <v>313</v>
      </c>
      <c r="AR286" s="75">
        <v>51037</v>
      </c>
      <c r="AS286" s="58" t="s">
        <v>1351</v>
      </c>
      <c r="AT286" s="55"/>
      <c r="AU286" s="1"/>
      <c r="AV286" s="1"/>
      <c r="AW286" s="1"/>
      <c r="AX286" s="1"/>
      <c r="AY286" s="1"/>
      <c r="AZ286" s="1"/>
      <c r="BA286" s="1"/>
      <c r="BB286" s="1"/>
      <c r="BC286" s="1"/>
      <c r="BD286" s="1"/>
      <c r="BE286" s="1"/>
      <c r="BF286" s="1"/>
      <c r="BG286" s="1"/>
    </row>
    <row r="287" spans="1:59" ht="14.25" customHeight="1" x14ac:dyDescent="0.25">
      <c r="A287" s="1"/>
      <c r="B287" s="50"/>
      <c r="C287" s="50" t="s">
        <v>1538</v>
      </c>
      <c r="D287" s="50"/>
      <c r="E287" s="50" t="str">
        <f t="shared" si="82"/>
        <v>001B</v>
      </c>
      <c r="F287" s="50"/>
      <c r="G287" s="50" t="s">
        <v>141</v>
      </c>
      <c r="H287" s="50" t="s">
        <v>95</v>
      </c>
      <c r="I287" s="50" t="s">
        <v>1539</v>
      </c>
      <c r="J287" s="50" t="s">
        <v>1540</v>
      </c>
      <c r="K287" s="50" t="s">
        <v>141</v>
      </c>
      <c r="L287" s="50" t="s">
        <v>1473</v>
      </c>
      <c r="M287" s="51" t="s">
        <v>221</v>
      </c>
      <c r="N287" s="52" t="s">
        <v>145</v>
      </c>
      <c r="O287" s="50" t="s">
        <v>151</v>
      </c>
      <c r="P287" s="50">
        <v>115</v>
      </c>
      <c r="Q287" s="53">
        <v>0</v>
      </c>
      <c r="R287" s="53">
        <f t="shared" si="84"/>
        <v>115</v>
      </c>
      <c r="S287" s="54">
        <v>0.27</v>
      </c>
      <c r="T287" s="54">
        <v>0</v>
      </c>
      <c r="U287" s="54">
        <f t="shared" si="85"/>
        <v>0.27</v>
      </c>
      <c r="V287" s="54">
        <v>30.25</v>
      </c>
      <c r="W287" s="52">
        <f t="shared" si="93"/>
        <v>1.3310185185185186</v>
      </c>
      <c r="X287" s="54">
        <f t="shared" si="86"/>
        <v>112.03703703703702</v>
      </c>
      <c r="Y287" s="50" t="str">
        <f t="shared" si="87"/>
        <v>è in grado</v>
      </c>
      <c r="Z287" s="50" t="str">
        <f t="shared" si="88"/>
        <v>non sottende</v>
      </c>
      <c r="AA287" s="106">
        <f t="shared" si="89"/>
        <v>22.72695652173913</v>
      </c>
      <c r="AB287" s="50" t="str">
        <f t="shared" si="90"/>
        <v>A</v>
      </c>
      <c r="AC287" s="50" t="str">
        <f t="shared" si="83"/>
        <v>SI</v>
      </c>
      <c r="AD287" s="50" t="str">
        <f t="shared" si="91"/>
        <v>Si</v>
      </c>
      <c r="AE287" s="50" t="s">
        <v>147</v>
      </c>
      <c r="AF287" s="55">
        <v>0.45</v>
      </c>
      <c r="AG287" s="55">
        <v>89</v>
      </c>
      <c r="AH287" s="55">
        <v>228</v>
      </c>
      <c r="AI287" s="55" t="str">
        <f t="shared" si="69"/>
        <v xml:space="preserve"> </v>
      </c>
      <c r="AJ287" s="53">
        <v>188.35</v>
      </c>
      <c r="AK287" s="53">
        <f t="shared" si="80"/>
        <v>0.31191929917706401</v>
      </c>
      <c r="AL287" s="53">
        <f t="shared" si="92"/>
        <v>58.75</v>
      </c>
      <c r="AM287" s="50" t="s">
        <v>152</v>
      </c>
      <c r="AN287" s="56" t="s">
        <v>222</v>
      </c>
      <c r="AO287" s="66"/>
      <c r="AP287" s="58" t="s">
        <v>223</v>
      </c>
      <c r="AQ287" s="58" t="s">
        <v>224</v>
      </c>
      <c r="AR287" s="58" t="s">
        <v>225</v>
      </c>
      <c r="AS287" s="58" t="s">
        <v>92</v>
      </c>
      <c r="AT287" s="50"/>
      <c r="AU287" s="69"/>
      <c r="AV287" s="69"/>
      <c r="AW287" s="69"/>
      <c r="AX287" s="69"/>
      <c r="AY287" s="69"/>
      <c r="AZ287" s="69"/>
      <c r="BA287" s="69"/>
      <c r="BB287" s="69"/>
      <c r="BC287" s="69"/>
      <c r="BD287" s="69"/>
      <c r="BE287" s="69"/>
      <c r="BF287" s="1"/>
      <c r="BG287" s="1"/>
    </row>
    <row r="288" spans="1:59" ht="14.25" customHeight="1" x14ac:dyDescent="0.25">
      <c r="A288" s="1"/>
      <c r="B288" s="70"/>
      <c r="C288" s="71" t="s">
        <v>1541</v>
      </c>
      <c r="D288" s="50"/>
      <c r="E288" s="50" t="str">
        <f t="shared" si="82"/>
        <v>001B</v>
      </c>
      <c r="F288" s="70" t="s">
        <v>1542</v>
      </c>
      <c r="G288" s="70" t="s">
        <v>141</v>
      </c>
      <c r="H288" s="70" t="s">
        <v>1340</v>
      </c>
      <c r="I288" s="70" t="s">
        <v>1543</v>
      </c>
      <c r="J288" s="50" t="s">
        <v>1544</v>
      </c>
      <c r="K288" s="70" t="s">
        <v>141</v>
      </c>
      <c r="L288" s="70" t="s">
        <v>1343</v>
      </c>
      <c r="M288" s="122" t="s">
        <v>221</v>
      </c>
      <c r="N288" s="72" t="s">
        <v>145</v>
      </c>
      <c r="O288" s="70" t="s">
        <v>151</v>
      </c>
      <c r="P288" s="70">
        <v>22</v>
      </c>
      <c r="Q288" s="73">
        <v>0</v>
      </c>
      <c r="R288" s="73">
        <f t="shared" si="84"/>
        <v>22</v>
      </c>
      <c r="S288" s="74">
        <v>0.05</v>
      </c>
      <c r="T288" s="74">
        <v>0</v>
      </c>
      <c r="U288" s="74">
        <f t="shared" si="85"/>
        <v>0.05</v>
      </c>
      <c r="V288" s="74">
        <v>21.1</v>
      </c>
      <c r="W288" s="52">
        <f t="shared" si="93"/>
        <v>0.25462962962962965</v>
      </c>
      <c r="X288" s="74">
        <f t="shared" si="86"/>
        <v>422</v>
      </c>
      <c r="Y288" s="70" t="str">
        <f t="shared" si="87"/>
        <v>è in grado</v>
      </c>
      <c r="Z288" s="70" t="str">
        <f t="shared" si="88"/>
        <v>non sottende</v>
      </c>
      <c r="AA288" s="112">
        <f t="shared" si="89"/>
        <v>82.86545454545454</v>
      </c>
      <c r="AB288" s="70" t="str">
        <f t="shared" si="90"/>
        <v>A</v>
      </c>
      <c r="AC288" s="50" t="str">
        <f t="shared" si="83"/>
        <v>SI</v>
      </c>
      <c r="AD288" s="70" t="str">
        <f t="shared" si="91"/>
        <v>Si</v>
      </c>
      <c r="AE288" s="70" t="s">
        <v>147</v>
      </c>
      <c r="AF288" s="71">
        <v>0.48</v>
      </c>
      <c r="AG288" s="71">
        <v>62</v>
      </c>
      <c r="AH288" s="71">
        <v>190</v>
      </c>
      <c r="AI288" s="55" t="str">
        <f t="shared" si="69"/>
        <v xml:space="preserve"> </v>
      </c>
      <c r="AJ288" s="73">
        <v>204.17</v>
      </c>
      <c r="AK288" s="53">
        <f t="shared" si="80"/>
        <v>0.2003232600284077</v>
      </c>
      <c r="AL288" s="53">
        <f t="shared" si="92"/>
        <v>40.9</v>
      </c>
      <c r="AM288" s="70" t="s">
        <v>152</v>
      </c>
      <c r="AN288" s="56" t="s">
        <v>222</v>
      </c>
      <c r="AO288" s="66"/>
      <c r="AP288" s="58" t="s">
        <v>223</v>
      </c>
      <c r="AQ288" s="58" t="s">
        <v>224</v>
      </c>
      <c r="AR288" s="58" t="s">
        <v>225</v>
      </c>
      <c r="AS288" s="58" t="s">
        <v>92</v>
      </c>
      <c r="AT288" s="50"/>
      <c r="AU288" s="1"/>
      <c r="AV288" s="1"/>
      <c r="AW288" s="1"/>
      <c r="AX288" s="1"/>
      <c r="AY288" s="1"/>
      <c r="AZ288" s="1"/>
      <c r="BA288" s="1"/>
      <c r="BB288" s="1"/>
      <c r="BC288" s="1"/>
      <c r="BD288" s="1"/>
      <c r="BE288" s="1"/>
      <c r="BF288" s="1"/>
      <c r="BG288" s="1"/>
    </row>
    <row r="289" spans="1:59" ht="14.25" customHeight="1" x14ac:dyDescent="0.25">
      <c r="A289" s="1"/>
      <c r="B289" s="50"/>
      <c r="C289" s="50" t="s">
        <v>1545</v>
      </c>
      <c r="D289" s="50" t="s">
        <v>1546</v>
      </c>
      <c r="E289" s="50" t="str">
        <f t="shared" si="82"/>
        <v>PP0200310004001B</v>
      </c>
      <c r="F289" s="50"/>
      <c r="G289" s="50" t="s">
        <v>1547</v>
      </c>
      <c r="H289" s="50" t="s">
        <v>1548</v>
      </c>
      <c r="I289" s="50" t="s">
        <v>1549</v>
      </c>
      <c r="J289" s="50" t="s">
        <v>1550</v>
      </c>
      <c r="K289" s="50" t="s">
        <v>1551</v>
      </c>
      <c r="L289" s="50" t="s">
        <v>1552</v>
      </c>
      <c r="M289" s="50"/>
      <c r="N289" s="52"/>
      <c r="O289" s="50" t="s">
        <v>151</v>
      </c>
      <c r="P289" s="50">
        <v>2337</v>
      </c>
      <c r="Q289" s="53">
        <v>7.1</v>
      </c>
      <c r="R289" s="53">
        <f t="shared" si="84"/>
        <v>2344.1</v>
      </c>
      <c r="S289" s="54">
        <v>5.5</v>
      </c>
      <c r="T289" s="54">
        <v>0.24</v>
      </c>
      <c r="U289" s="54">
        <f t="shared" si="85"/>
        <v>5.74</v>
      </c>
      <c r="V289" s="54">
        <v>20.67</v>
      </c>
      <c r="W289" s="52">
        <f t="shared" si="93"/>
        <v>20.348090277777779</v>
      </c>
      <c r="X289" s="54">
        <f t="shared" si="86"/>
        <v>3.6010452961672477</v>
      </c>
      <c r="Y289" s="50" t="str">
        <f t="shared" si="87"/>
        <v>è in grado</v>
      </c>
      <c r="Z289" s="50" t="str">
        <f t="shared" si="88"/>
        <v>non sottende</v>
      </c>
      <c r="AA289" s="106">
        <f t="shared" si="89"/>
        <v>1.0158201441918007</v>
      </c>
      <c r="AB289" s="50" t="str">
        <f t="shared" si="90"/>
        <v>B</v>
      </c>
      <c r="AC289" s="50" t="str">
        <f t="shared" si="83"/>
        <v>SI</v>
      </c>
      <c r="AD289" s="50" t="str">
        <f t="shared" si="91"/>
        <v>Si</v>
      </c>
      <c r="AE289" s="50" t="s">
        <v>1147</v>
      </c>
      <c r="AF289" s="55">
        <v>0.19</v>
      </c>
      <c r="AG289" s="55">
        <v>366</v>
      </c>
      <c r="AH289" s="55">
        <v>517</v>
      </c>
      <c r="AI289" s="55" t="str">
        <f t="shared" si="69"/>
        <v xml:space="preserve"> </v>
      </c>
      <c r="AJ289" s="53">
        <v>3762.2</v>
      </c>
      <c r="AK289" s="53">
        <f t="shared" si="80"/>
        <v>9.1789378555100734E-2</v>
      </c>
      <c r="AL289" s="53">
        <f t="shared" si="92"/>
        <v>345.33</v>
      </c>
      <c r="AM289" s="50" t="s">
        <v>190</v>
      </c>
      <c r="AN289" s="56" t="s">
        <v>222</v>
      </c>
      <c r="AO289" s="57">
        <v>46441</v>
      </c>
      <c r="AP289" s="58" t="s">
        <v>1553</v>
      </c>
      <c r="AQ289" s="58" t="s">
        <v>1554</v>
      </c>
      <c r="AR289" s="58" t="s">
        <v>544</v>
      </c>
      <c r="AS289" s="58"/>
      <c r="AT289" s="64"/>
      <c r="AU289" s="1"/>
      <c r="AV289" s="1"/>
      <c r="AW289" s="1"/>
      <c r="AX289" s="1"/>
      <c r="AY289" s="1"/>
      <c r="AZ289" s="1"/>
      <c r="BA289" s="1"/>
      <c r="BB289" s="1"/>
      <c r="BC289" s="1"/>
      <c r="BD289" s="1"/>
      <c r="BE289" s="1"/>
      <c r="BF289" s="1"/>
      <c r="BG289" s="1"/>
    </row>
    <row r="290" spans="1:59" ht="14.25" customHeight="1" x14ac:dyDescent="0.25">
      <c r="A290" s="1"/>
      <c r="B290" s="50"/>
      <c r="C290" s="50" t="s">
        <v>1555</v>
      </c>
      <c r="D290" s="50" t="s">
        <v>1556</v>
      </c>
      <c r="E290" s="50" t="str">
        <f t="shared" si="82"/>
        <v>PP0200310007001B</v>
      </c>
      <c r="F290" s="50"/>
      <c r="G290" s="50" t="s">
        <v>1547</v>
      </c>
      <c r="H290" s="50" t="s">
        <v>1548</v>
      </c>
      <c r="I290" s="50" t="s">
        <v>1557</v>
      </c>
      <c r="J290" s="50" t="s">
        <v>1558</v>
      </c>
      <c r="K290" s="50" t="s">
        <v>1551</v>
      </c>
      <c r="L290" s="50" t="s">
        <v>1559</v>
      </c>
      <c r="M290" s="50"/>
      <c r="N290" s="52"/>
      <c r="O290" s="50" t="s">
        <v>151</v>
      </c>
      <c r="P290" s="50">
        <v>2334</v>
      </c>
      <c r="Q290" s="53">
        <v>7.1</v>
      </c>
      <c r="R290" s="53">
        <f t="shared" si="84"/>
        <v>2341.1</v>
      </c>
      <c r="S290" s="54">
        <v>5.49</v>
      </c>
      <c r="T290" s="54">
        <v>0.24</v>
      </c>
      <c r="U290" s="54">
        <f t="shared" si="85"/>
        <v>5.73</v>
      </c>
      <c r="V290" s="54">
        <v>344.96</v>
      </c>
      <c r="W290" s="52">
        <f t="shared" si="93"/>
        <v>20.322048611111111</v>
      </c>
      <c r="X290" s="54">
        <f t="shared" si="86"/>
        <v>60.202443280977306</v>
      </c>
      <c r="Y290" s="50" t="str">
        <f t="shared" si="87"/>
        <v>è in grado</v>
      </c>
      <c r="Z290" s="50" t="str">
        <f t="shared" si="88"/>
        <v>non sottende</v>
      </c>
      <c r="AA290" s="106">
        <f t="shared" si="89"/>
        <v>16.974666609713381</v>
      </c>
      <c r="AB290" s="50" t="str">
        <f t="shared" si="90"/>
        <v>A</v>
      </c>
      <c r="AC290" s="50" t="str">
        <f t="shared" si="83"/>
        <v>SI</v>
      </c>
      <c r="AD290" s="50" t="str">
        <f t="shared" si="91"/>
        <v>Si</v>
      </c>
      <c r="AE290" s="50" t="s">
        <v>147</v>
      </c>
      <c r="AF290" s="55">
        <v>27.12</v>
      </c>
      <c r="AG290" s="55">
        <v>2675</v>
      </c>
      <c r="AH290" s="55">
        <v>1295</v>
      </c>
      <c r="AI290" s="55" t="str">
        <f t="shared" si="69"/>
        <v>Manufatto limitante</v>
      </c>
      <c r="AJ290" s="53">
        <v>68.09</v>
      </c>
      <c r="AK290" s="53">
        <f t="shared" si="80"/>
        <v>13.952709648993977</v>
      </c>
      <c r="AL290" s="53">
        <f t="shared" si="92"/>
        <v>950.04</v>
      </c>
      <c r="AM290" s="50" t="s">
        <v>190</v>
      </c>
      <c r="AN290" s="56" t="s">
        <v>222</v>
      </c>
      <c r="AO290" s="57">
        <v>46441</v>
      </c>
      <c r="AP290" s="58" t="s">
        <v>1553</v>
      </c>
      <c r="AQ290" s="58" t="s">
        <v>1554</v>
      </c>
      <c r="AR290" s="58" t="s">
        <v>544</v>
      </c>
      <c r="AS290" s="58"/>
      <c r="AT290" s="64"/>
      <c r="AU290" s="1"/>
      <c r="AV290" s="1"/>
      <c r="AW290" s="1"/>
      <c r="AX290" s="1"/>
      <c r="AY290" s="1"/>
      <c r="AZ290" s="1"/>
      <c r="BA290" s="1"/>
      <c r="BB290" s="1"/>
      <c r="BC290" s="1"/>
      <c r="BD290" s="1"/>
      <c r="BE290" s="1"/>
      <c r="BF290" s="1"/>
      <c r="BG290" s="1"/>
    </row>
    <row r="291" spans="1:59" ht="14.25" customHeight="1" x14ac:dyDescent="0.25">
      <c r="A291" s="1"/>
      <c r="B291" s="50"/>
      <c r="C291" s="50" t="s">
        <v>1560</v>
      </c>
      <c r="D291" s="50" t="s">
        <v>1561</v>
      </c>
      <c r="E291" s="50" t="str">
        <f t="shared" si="82"/>
        <v>PP0200310008001B</v>
      </c>
      <c r="F291" s="50"/>
      <c r="G291" s="50" t="s">
        <v>1547</v>
      </c>
      <c r="H291" s="50" t="s">
        <v>1548</v>
      </c>
      <c r="I291" s="50" t="s">
        <v>1562</v>
      </c>
      <c r="J291" s="50" t="s">
        <v>1563</v>
      </c>
      <c r="K291" s="50" t="s">
        <v>1551</v>
      </c>
      <c r="L291" s="50" t="s">
        <v>1564</v>
      </c>
      <c r="M291" s="51" t="s">
        <v>221</v>
      </c>
      <c r="N291" s="52"/>
      <c r="O291" s="50" t="s">
        <v>159</v>
      </c>
      <c r="P291" s="50">
        <v>1620</v>
      </c>
      <c r="Q291" s="53">
        <v>7.1</v>
      </c>
      <c r="R291" s="53">
        <f t="shared" si="84"/>
        <v>1627.1</v>
      </c>
      <c r="S291" s="54">
        <v>3.81</v>
      </c>
      <c r="T291" s="54">
        <v>0.24</v>
      </c>
      <c r="U291" s="54">
        <f t="shared" si="85"/>
        <v>4.05</v>
      </c>
      <c r="V291" s="54">
        <v>17.02</v>
      </c>
      <c r="W291" s="52">
        <f t="shared" si="93"/>
        <v>14.124131944444445</v>
      </c>
      <c r="X291" s="54">
        <f t="shared" si="86"/>
        <v>4.2024691358024695</v>
      </c>
      <c r="Y291" s="50" t="str">
        <f t="shared" si="87"/>
        <v>è in grado</v>
      </c>
      <c r="Z291" s="50" t="str">
        <f t="shared" si="88"/>
        <v>non sottende</v>
      </c>
      <c r="AA291" s="106">
        <f t="shared" si="89"/>
        <v>1.2050298076332124</v>
      </c>
      <c r="AB291" s="50" t="str">
        <f t="shared" si="90"/>
        <v>B</v>
      </c>
      <c r="AC291" s="50" t="str">
        <f t="shared" si="83"/>
        <v>SI</v>
      </c>
      <c r="AD291" s="50" t="str">
        <f t="shared" si="91"/>
        <v>No</v>
      </c>
      <c r="AE291" s="50" t="s">
        <v>605</v>
      </c>
      <c r="AF291" s="55">
        <v>21.71</v>
      </c>
      <c r="AG291" s="55">
        <v>1951</v>
      </c>
      <c r="AH291" s="55">
        <v>629</v>
      </c>
      <c r="AI291" s="55" t="str">
        <f t="shared" si="69"/>
        <v>Manufatto limitante</v>
      </c>
      <c r="AJ291" s="53">
        <v>57.39</v>
      </c>
      <c r="AK291" s="53">
        <f t="shared" si="80"/>
        <v>10.663530231747691</v>
      </c>
      <c r="AL291" s="53">
        <f t="shared" si="92"/>
        <v>611.98</v>
      </c>
      <c r="AM291" s="50" t="s">
        <v>190</v>
      </c>
      <c r="AN291" s="56" t="s">
        <v>222</v>
      </c>
      <c r="AO291" s="57">
        <v>46441</v>
      </c>
      <c r="AP291" s="58" t="s">
        <v>1553</v>
      </c>
      <c r="AQ291" s="58" t="s">
        <v>224</v>
      </c>
      <c r="AR291" s="58" t="s">
        <v>225</v>
      </c>
      <c r="AS291" s="58" t="s">
        <v>92</v>
      </c>
      <c r="AT291" s="64"/>
      <c r="AU291" s="1"/>
      <c r="AV291" s="1"/>
      <c r="AW291" s="1"/>
      <c r="AX291" s="1"/>
      <c r="AY291" s="1"/>
      <c r="AZ291" s="1"/>
      <c r="BA291" s="1"/>
      <c r="BB291" s="1"/>
      <c r="BC291" s="1"/>
      <c r="BD291" s="1"/>
      <c r="BE291" s="1"/>
      <c r="BF291" s="1"/>
      <c r="BG291" s="1"/>
    </row>
    <row r="292" spans="1:59" ht="14.25" customHeight="1" x14ac:dyDescent="0.25">
      <c r="A292" s="1"/>
      <c r="B292" s="50"/>
      <c r="C292" s="50" t="s">
        <v>1565</v>
      </c>
      <c r="D292" s="50" t="s">
        <v>1566</v>
      </c>
      <c r="E292" s="50" t="str">
        <f t="shared" si="82"/>
        <v>PP0200310003001B</v>
      </c>
      <c r="F292" s="50"/>
      <c r="G292" s="50" t="s">
        <v>1547</v>
      </c>
      <c r="H292" s="50" t="s">
        <v>1567</v>
      </c>
      <c r="I292" s="50" t="s">
        <v>1568</v>
      </c>
      <c r="J292" s="50" t="s">
        <v>1569</v>
      </c>
      <c r="K292" s="50" t="s">
        <v>1551</v>
      </c>
      <c r="L292" s="50" t="s">
        <v>1570</v>
      </c>
      <c r="M292" s="50"/>
      <c r="N292" s="52"/>
      <c r="O292" s="50" t="s">
        <v>159</v>
      </c>
      <c r="P292" s="50">
        <v>353</v>
      </c>
      <c r="Q292" s="53">
        <v>0</v>
      </c>
      <c r="R292" s="53">
        <f t="shared" si="84"/>
        <v>353</v>
      </c>
      <c r="S292" s="54">
        <v>0.83</v>
      </c>
      <c r="T292" s="54">
        <v>0</v>
      </c>
      <c r="U292" s="54">
        <f t="shared" si="85"/>
        <v>0.83</v>
      </c>
      <c r="V292" s="54">
        <v>7.05</v>
      </c>
      <c r="W292" s="52">
        <f t="shared" si="93"/>
        <v>3.0642361111111112</v>
      </c>
      <c r="X292" s="54">
        <f t="shared" si="86"/>
        <v>8.4939759036144586</v>
      </c>
      <c r="Y292" s="50" t="str">
        <f t="shared" si="87"/>
        <v>è in grado</v>
      </c>
      <c r="Z292" s="50" t="str">
        <f t="shared" si="88"/>
        <v>non sottende</v>
      </c>
      <c r="AA292" s="106">
        <f t="shared" si="89"/>
        <v>2.3007365439093483</v>
      </c>
      <c r="AB292" s="50" t="str">
        <f t="shared" si="90"/>
        <v>A</v>
      </c>
      <c r="AC292" s="50" t="str">
        <f t="shared" si="83"/>
        <v>SI</v>
      </c>
      <c r="AD292" s="50" t="str">
        <f t="shared" si="91"/>
        <v>No</v>
      </c>
      <c r="AE292" s="50" t="s">
        <v>147</v>
      </c>
      <c r="AF292" s="55">
        <v>16.170000000000002</v>
      </c>
      <c r="AG292" s="55">
        <v>1307</v>
      </c>
      <c r="AH292" s="55">
        <v>589</v>
      </c>
      <c r="AI292" s="55" t="str">
        <f t="shared" si="69"/>
        <v>Manufatto limitante</v>
      </c>
      <c r="AJ292" s="53">
        <v>88.11</v>
      </c>
      <c r="AK292" s="53">
        <f t="shared" si="80"/>
        <v>6.6048121666099195</v>
      </c>
      <c r="AL292" s="53">
        <f t="shared" si="92"/>
        <v>581.95000000000005</v>
      </c>
      <c r="AM292" s="50" t="s">
        <v>190</v>
      </c>
      <c r="AN292" s="56" t="s">
        <v>236</v>
      </c>
      <c r="AO292" s="57">
        <v>46441</v>
      </c>
      <c r="AP292" s="58" t="s">
        <v>1553</v>
      </c>
      <c r="AQ292" s="58" t="s">
        <v>238</v>
      </c>
      <c r="AR292" s="58" t="s">
        <v>544</v>
      </c>
      <c r="AS292" s="58"/>
      <c r="AT292" s="64"/>
      <c r="AU292" s="1"/>
      <c r="AV292" s="1"/>
      <c r="AW292" s="1"/>
      <c r="AX292" s="1"/>
      <c r="AY292" s="1"/>
      <c r="AZ292" s="1"/>
      <c r="BA292" s="1"/>
      <c r="BB292" s="1"/>
      <c r="BC292" s="1"/>
      <c r="BD292" s="1"/>
      <c r="BE292" s="1"/>
      <c r="BF292" s="1"/>
      <c r="BG292" s="1"/>
    </row>
    <row r="293" spans="1:59" ht="14.25" customHeight="1" x14ac:dyDescent="0.25">
      <c r="A293" s="1"/>
      <c r="B293" s="70"/>
      <c r="C293" s="70" t="s">
        <v>1571</v>
      </c>
      <c r="D293" s="50" t="s">
        <v>1572</v>
      </c>
      <c r="E293" s="50" t="str">
        <f t="shared" si="82"/>
        <v>PP0200310006001B</v>
      </c>
      <c r="F293" s="70"/>
      <c r="G293" s="50" t="s">
        <v>1547</v>
      </c>
      <c r="H293" s="70" t="s">
        <v>95</v>
      </c>
      <c r="I293" s="70" t="s">
        <v>1573</v>
      </c>
      <c r="J293" s="50" t="s">
        <v>1574</v>
      </c>
      <c r="K293" s="70" t="s">
        <v>1575</v>
      </c>
      <c r="L293" s="70" t="s">
        <v>1552</v>
      </c>
      <c r="M293" s="70"/>
      <c r="N293" s="72"/>
      <c r="O293" s="70" t="s">
        <v>151</v>
      </c>
      <c r="P293" s="70">
        <v>558</v>
      </c>
      <c r="Q293" s="73">
        <v>1</v>
      </c>
      <c r="R293" s="73">
        <f t="shared" si="84"/>
        <v>559</v>
      </c>
      <c r="S293" s="74">
        <v>1.31</v>
      </c>
      <c r="T293" s="74">
        <v>0.01</v>
      </c>
      <c r="U293" s="74">
        <f t="shared" si="85"/>
        <v>1.32</v>
      </c>
      <c r="V293" s="74">
        <v>93.38</v>
      </c>
      <c r="W293" s="52">
        <f t="shared" si="93"/>
        <v>4.8524305555555554</v>
      </c>
      <c r="X293" s="74">
        <f t="shared" si="86"/>
        <v>70.742424242424235</v>
      </c>
      <c r="Y293" s="70" t="str">
        <f t="shared" si="87"/>
        <v>è in grado</v>
      </c>
      <c r="Z293" s="70" t="str">
        <f t="shared" si="88"/>
        <v>non sottende</v>
      </c>
      <c r="AA293" s="112">
        <f t="shared" si="89"/>
        <v>19.243964221824687</v>
      </c>
      <c r="AB293" s="70" t="str">
        <f t="shared" si="90"/>
        <v>A</v>
      </c>
      <c r="AC293" s="50" t="str">
        <f t="shared" si="83"/>
        <v>SI</v>
      </c>
      <c r="AD293" s="70" t="str">
        <f t="shared" si="91"/>
        <v>Si</v>
      </c>
      <c r="AE293" s="70" t="s">
        <v>147</v>
      </c>
      <c r="AF293" s="71">
        <v>12.23</v>
      </c>
      <c r="AG293" s="71">
        <v>1505</v>
      </c>
      <c r="AH293" s="71">
        <v>920</v>
      </c>
      <c r="AI293" s="55" t="str">
        <f t="shared" si="69"/>
        <v>Manufatto limitante</v>
      </c>
      <c r="AJ293" s="73">
        <v>109.65</v>
      </c>
      <c r="AK293" s="53">
        <f t="shared" si="80"/>
        <v>7.5387140902872778</v>
      </c>
      <c r="AL293" s="53">
        <f t="shared" si="92"/>
        <v>826.62</v>
      </c>
      <c r="AM293" s="70" t="s">
        <v>190</v>
      </c>
      <c r="AN293" s="56" t="s">
        <v>222</v>
      </c>
      <c r="AO293" s="57">
        <v>47053</v>
      </c>
      <c r="AP293" s="58" t="s">
        <v>1576</v>
      </c>
      <c r="AQ293" s="58" t="s">
        <v>543</v>
      </c>
      <c r="AR293" s="58" t="s">
        <v>544</v>
      </c>
      <c r="AS293" s="58"/>
      <c r="AT293" s="58" t="s">
        <v>1577</v>
      </c>
      <c r="AU293" s="1"/>
      <c r="AV293" s="1"/>
      <c r="AW293" s="1"/>
      <c r="AX293" s="1"/>
      <c r="AY293" s="1"/>
      <c r="AZ293" s="1"/>
      <c r="BA293" s="1"/>
      <c r="BB293" s="1"/>
      <c r="BC293" s="1"/>
      <c r="BD293" s="1"/>
      <c r="BE293" s="1"/>
      <c r="BF293" s="1"/>
      <c r="BG293" s="1"/>
    </row>
    <row r="294" spans="1:59" ht="14.25" customHeight="1" x14ac:dyDescent="0.25">
      <c r="A294" s="1"/>
      <c r="B294" s="50"/>
      <c r="C294" s="70" t="s">
        <v>1578</v>
      </c>
      <c r="D294" s="50" t="s">
        <v>1572</v>
      </c>
      <c r="E294" s="50" t="str">
        <f t="shared" si="82"/>
        <v>PP0200310006001B</v>
      </c>
      <c r="F294" s="70"/>
      <c r="G294" s="70" t="s">
        <v>1547</v>
      </c>
      <c r="H294" s="70" t="s">
        <v>95</v>
      </c>
      <c r="I294" s="70" t="s">
        <v>1579</v>
      </c>
      <c r="J294" s="50" t="s">
        <v>1580</v>
      </c>
      <c r="K294" s="70" t="s">
        <v>1575</v>
      </c>
      <c r="L294" s="70" t="s">
        <v>1552</v>
      </c>
      <c r="M294" s="70"/>
      <c r="N294" s="72"/>
      <c r="O294" s="70" t="s">
        <v>151</v>
      </c>
      <c r="P294" s="70">
        <v>756</v>
      </c>
      <c r="Q294" s="73">
        <v>1</v>
      </c>
      <c r="R294" s="73">
        <f t="shared" si="84"/>
        <v>757</v>
      </c>
      <c r="S294" s="74">
        <v>1.78</v>
      </c>
      <c r="T294" s="74">
        <v>0.01</v>
      </c>
      <c r="U294" s="74">
        <f t="shared" si="85"/>
        <v>1.79</v>
      </c>
      <c r="V294" s="74">
        <v>109.82</v>
      </c>
      <c r="W294" s="52">
        <f t="shared" si="93"/>
        <v>6.5711805555555554</v>
      </c>
      <c r="X294" s="74">
        <f t="shared" si="86"/>
        <v>61.351955307262564</v>
      </c>
      <c r="Y294" s="70" t="str">
        <f t="shared" si="87"/>
        <v>è in grado</v>
      </c>
      <c r="Z294" s="70" t="str">
        <f t="shared" si="88"/>
        <v>non sottende</v>
      </c>
      <c r="AA294" s="112">
        <f t="shared" si="89"/>
        <v>16.712369881109641</v>
      </c>
      <c r="AB294" s="70" t="str">
        <f t="shared" si="90"/>
        <v>A</v>
      </c>
      <c r="AC294" s="50" t="str">
        <f t="shared" si="83"/>
        <v>SI</v>
      </c>
      <c r="AD294" s="70" t="str">
        <f t="shared" si="91"/>
        <v>Si</v>
      </c>
      <c r="AE294" s="70" t="s">
        <v>147</v>
      </c>
      <c r="AF294" s="71">
        <v>9.92</v>
      </c>
      <c r="AG294" s="71">
        <v>1192</v>
      </c>
      <c r="AH294" s="71">
        <v>469</v>
      </c>
      <c r="AI294" s="55" t="str">
        <f t="shared" si="69"/>
        <v>Manufatto limitante</v>
      </c>
      <c r="AJ294" s="73">
        <v>62.36</v>
      </c>
      <c r="AK294" s="53">
        <f t="shared" si="80"/>
        <v>5.7597819114817188</v>
      </c>
      <c r="AL294" s="53">
        <f t="shared" si="92"/>
        <v>359.18</v>
      </c>
      <c r="AM294" s="70" t="s">
        <v>190</v>
      </c>
      <c r="AN294" s="56" t="s">
        <v>222</v>
      </c>
      <c r="AO294" s="57">
        <v>47053</v>
      </c>
      <c r="AP294" s="107" t="s">
        <v>1576</v>
      </c>
      <c r="AQ294" s="58" t="s">
        <v>543</v>
      </c>
      <c r="AR294" s="107" t="s">
        <v>544</v>
      </c>
      <c r="AS294" s="58"/>
      <c r="AT294" s="58" t="s">
        <v>1577</v>
      </c>
      <c r="AU294" s="1"/>
      <c r="AV294" s="1"/>
      <c r="AW294" s="1"/>
      <c r="AX294" s="1"/>
      <c r="AY294" s="1"/>
      <c r="AZ294" s="1"/>
      <c r="BA294" s="1"/>
      <c r="BB294" s="1"/>
      <c r="BC294" s="1"/>
      <c r="BD294" s="1"/>
      <c r="BE294" s="1"/>
      <c r="BF294" s="1"/>
      <c r="BG294" s="1"/>
    </row>
    <row r="295" spans="1:59" ht="14.25" customHeight="1" x14ac:dyDescent="0.25">
      <c r="A295" s="1"/>
      <c r="B295" s="50"/>
      <c r="C295" s="50" t="s">
        <v>1581</v>
      </c>
      <c r="D295" s="50" t="s">
        <v>1582</v>
      </c>
      <c r="E295" s="50" t="str">
        <f t="shared" si="82"/>
        <v>PP0200310010001B</v>
      </c>
      <c r="F295" s="50"/>
      <c r="G295" s="50" t="s">
        <v>1547</v>
      </c>
      <c r="H295" s="50" t="s">
        <v>1548</v>
      </c>
      <c r="I295" s="1" t="s">
        <v>1583</v>
      </c>
      <c r="J295" s="50" t="s">
        <v>1584</v>
      </c>
      <c r="K295" s="50" t="s">
        <v>1551</v>
      </c>
      <c r="L295" s="1" t="s">
        <v>1585</v>
      </c>
      <c r="M295" s="50"/>
      <c r="N295" s="52"/>
      <c r="O295" s="50" t="s">
        <v>151</v>
      </c>
      <c r="P295" s="50">
        <v>54</v>
      </c>
      <c r="Q295" s="53">
        <v>0</v>
      </c>
      <c r="R295" s="53">
        <f t="shared" si="84"/>
        <v>54</v>
      </c>
      <c r="S295" s="54">
        <v>0.13</v>
      </c>
      <c r="T295" s="54">
        <v>0</v>
      </c>
      <c r="U295" s="54">
        <f t="shared" si="85"/>
        <v>0.13</v>
      </c>
      <c r="V295" s="54">
        <v>155.93</v>
      </c>
      <c r="W295" s="52">
        <f t="shared" si="93"/>
        <v>0.46875</v>
      </c>
      <c r="X295" s="54">
        <f t="shared" si="86"/>
        <v>1199.4615384615386</v>
      </c>
      <c r="Y295" s="50" t="str">
        <f t="shared" si="87"/>
        <v>è in grado</v>
      </c>
      <c r="Z295" s="50" t="str">
        <f t="shared" si="88"/>
        <v>non sottende</v>
      </c>
      <c r="AA295" s="106">
        <f t="shared" si="89"/>
        <v>332.65066666666667</v>
      </c>
      <c r="AB295" s="50" t="str">
        <f t="shared" si="90"/>
        <v>A</v>
      </c>
      <c r="AC295" s="50" t="str">
        <f t="shared" si="83"/>
        <v>SI</v>
      </c>
      <c r="AD295" s="50" t="str">
        <f t="shared" si="91"/>
        <v>Si</v>
      </c>
      <c r="AE295" s="50" t="s">
        <v>147</v>
      </c>
      <c r="AF295" s="55">
        <v>1.04</v>
      </c>
      <c r="AG295" s="55">
        <v>120</v>
      </c>
      <c r="AH295" s="55">
        <v>93</v>
      </c>
      <c r="AI295" s="55" t="str">
        <f t="shared" si="69"/>
        <v>Manufatto limitante</v>
      </c>
      <c r="AJ295" s="53">
        <v>0</v>
      </c>
      <c r="AK295" s="53">
        <v>0.55000000000000004</v>
      </c>
      <c r="AL295" s="53">
        <f t="shared" si="92"/>
        <v>-62.930000000000007</v>
      </c>
      <c r="AM295" s="50" t="s">
        <v>147</v>
      </c>
      <c r="AN295" s="56" t="s">
        <v>222</v>
      </c>
      <c r="AO295" s="57">
        <v>46441</v>
      </c>
      <c r="AP295" s="58" t="s">
        <v>1553</v>
      </c>
      <c r="AQ295" s="58" t="s">
        <v>255</v>
      </c>
      <c r="AR295" s="58" t="s">
        <v>544</v>
      </c>
      <c r="AS295" s="58"/>
      <c r="AT295" s="58" t="s">
        <v>1586</v>
      </c>
      <c r="AU295" s="1"/>
      <c r="AV295" s="1"/>
      <c r="AW295" s="1"/>
      <c r="AX295" s="1"/>
      <c r="AY295" s="1"/>
      <c r="AZ295" s="1"/>
      <c r="BA295" s="1"/>
      <c r="BB295" s="1"/>
      <c r="BC295" s="1"/>
      <c r="BD295" s="1"/>
      <c r="BE295" s="1"/>
      <c r="BF295" s="1"/>
      <c r="BG295" s="1"/>
    </row>
    <row r="296" spans="1:59" ht="14.25" customHeight="1" x14ac:dyDescent="0.25">
      <c r="A296" s="1"/>
      <c r="B296" s="50"/>
      <c r="C296" s="50" t="s">
        <v>1587</v>
      </c>
      <c r="D296" s="50" t="s">
        <v>1588</v>
      </c>
      <c r="E296" s="50" t="str">
        <f t="shared" si="82"/>
        <v>PP0200310001001B</v>
      </c>
      <c r="F296" s="50"/>
      <c r="G296" s="50" t="s">
        <v>1547</v>
      </c>
      <c r="H296" s="50" t="s">
        <v>95</v>
      </c>
      <c r="I296" s="50" t="s">
        <v>1589</v>
      </c>
      <c r="J296" s="50" t="s">
        <v>1590</v>
      </c>
      <c r="K296" s="50" t="s">
        <v>1575</v>
      </c>
      <c r="L296" s="50" t="s">
        <v>1591</v>
      </c>
      <c r="M296" s="50"/>
      <c r="N296" s="52"/>
      <c r="O296" s="50" t="s">
        <v>118</v>
      </c>
      <c r="P296" s="50">
        <v>1141</v>
      </c>
      <c r="Q296" s="53">
        <v>1</v>
      </c>
      <c r="R296" s="53">
        <f t="shared" si="84"/>
        <v>1142</v>
      </c>
      <c r="S296" s="54">
        <v>2.68</v>
      </c>
      <c r="T296" s="54">
        <v>0.01</v>
      </c>
      <c r="U296" s="54">
        <f t="shared" si="85"/>
        <v>2.69</v>
      </c>
      <c r="V296" s="54">
        <v>10.8</v>
      </c>
      <c r="W296" s="52">
        <f t="shared" si="93"/>
        <v>9.9131944444444446</v>
      </c>
      <c r="X296" s="54">
        <f t="shared" si="86"/>
        <v>4.0148698884758369</v>
      </c>
      <c r="Y296" s="50" t="str">
        <f t="shared" si="87"/>
        <v>è in grado</v>
      </c>
      <c r="Z296" s="50" t="str">
        <f t="shared" si="88"/>
        <v>non sottende</v>
      </c>
      <c r="AA296" s="106">
        <f t="shared" si="89"/>
        <v>1.0894570928196148</v>
      </c>
      <c r="AB296" s="50" t="str">
        <f t="shared" si="90"/>
        <v>B</v>
      </c>
      <c r="AC296" s="50" t="str">
        <f t="shared" si="83"/>
        <v>SI</v>
      </c>
      <c r="AD296" s="50" t="str">
        <f t="shared" si="91"/>
        <v>No</v>
      </c>
      <c r="AE296" s="50" t="s">
        <v>343</v>
      </c>
      <c r="AF296" s="55">
        <v>16.21</v>
      </c>
      <c r="AG296" s="55">
        <v>1670</v>
      </c>
      <c r="AH296" s="55">
        <v>811</v>
      </c>
      <c r="AI296" s="55" t="str">
        <f t="shared" si="69"/>
        <v>Manufatto limitante</v>
      </c>
      <c r="AJ296" s="53">
        <v>119.66</v>
      </c>
      <c r="AK296" s="53">
        <f t="shared" ref="AK296:AK308" si="94">((MIN(AG296:AH296))-V296)/AJ296</f>
        <v>6.6872806284472679</v>
      </c>
      <c r="AL296" s="53">
        <f t="shared" si="92"/>
        <v>800.2</v>
      </c>
      <c r="AM296" s="50" t="s">
        <v>190</v>
      </c>
      <c r="AN296" s="56" t="s">
        <v>236</v>
      </c>
      <c r="AO296" s="57">
        <v>47053</v>
      </c>
      <c r="AP296" s="58" t="s">
        <v>1576</v>
      </c>
      <c r="AQ296" s="58" t="s">
        <v>543</v>
      </c>
      <c r="AR296" s="58" t="s">
        <v>544</v>
      </c>
      <c r="AS296" s="58"/>
      <c r="AT296" s="58" t="s">
        <v>1577</v>
      </c>
      <c r="AU296" s="1"/>
      <c r="AV296" s="1"/>
      <c r="AW296" s="1"/>
      <c r="AX296" s="1"/>
      <c r="AY296" s="1"/>
      <c r="AZ296" s="1"/>
      <c r="BA296" s="1"/>
      <c r="BB296" s="1"/>
      <c r="BC296" s="1"/>
      <c r="BD296" s="1"/>
      <c r="BE296" s="1"/>
      <c r="BF296" s="1"/>
      <c r="BG296" s="1"/>
    </row>
    <row r="297" spans="1:59" ht="14.25" customHeight="1" x14ac:dyDescent="0.25">
      <c r="A297" s="1"/>
      <c r="B297" s="50"/>
      <c r="C297" s="50" t="s">
        <v>1592</v>
      </c>
      <c r="D297" s="50" t="s">
        <v>1593</v>
      </c>
      <c r="E297" s="50" t="str">
        <f t="shared" si="82"/>
        <v>PP0200310005001B</v>
      </c>
      <c r="F297" s="50"/>
      <c r="G297" s="50" t="s">
        <v>1547</v>
      </c>
      <c r="H297" s="50" t="s">
        <v>95</v>
      </c>
      <c r="I297" s="50" t="s">
        <v>1594</v>
      </c>
      <c r="J297" s="50" t="s">
        <v>1595</v>
      </c>
      <c r="K297" s="50" t="s">
        <v>1575</v>
      </c>
      <c r="L297" s="50" t="s">
        <v>1596</v>
      </c>
      <c r="M297" s="50"/>
      <c r="N297" s="52"/>
      <c r="O297" s="50" t="s">
        <v>151</v>
      </c>
      <c r="P297" s="50">
        <v>66</v>
      </c>
      <c r="Q297" s="53">
        <v>0</v>
      </c>
      <c r="R297" s="53">
        <f t="shared" si="84"/>
        <v>66</v>
      </c>
      <c r="S297" s="54">
        <v>0.16</v>
      </c>
      <c r="T297" s="54">
        <v>0</v>
      </c>
      <c r="U297" s="54">
        <f t="shared" si="85"/>
        <v>0.16</v>
      </c>
      <c r="V297" s="54">
        <v>75.599999999999994</v>
      </c>
      <c r="W297" s="52">
        <f t="shared" si="93"/>
        <v>0.57291666666666663</v>
      </c>
      <c r="X297" s="54">
        <f t="shared" si="86"/>
        <v>472.49999999999994</v>
      </c>
      <c r="Y297" s="50" t="str">
        <f t="shared" si="87"/>
        <v>è in grado</v>
      </c>
      <c r="Z297" s="50" t="str">
        <f t="shared" si="88"/>
        <v>non sottende</v>
      </c>
      <c r="AA297" s="106">
        <f t="shared" si="89"/>
        <v>131.95636363636365</v>
      </c>
      <c r="AB297" s="50" t="str">
        <f t="shared" si="90"/>
        <v>A</v>
      </c>
      <c r="AC297" s="50" t="str">
        <f t="shared" si="83"/>
        <v>SI</v>
      </c>
      <c r="AD297" s="50" t="str">
        <f t="shared" si="91"/>
        <v>Si</v>
      </c>
      <c r="AE297" s="50" t="s">
        <v>147</v>
      </c>
      <c r="AF297" s="55">
        <v>4.93</v>
      </c>
      <c r="AG297" s="55">
        <v>450</v>
      </c>
      <c r="AH297" s="55">
        <v>362</v>
      </c>
      <c r="AI297" s="55" t="str">
        <f t="shared" si="69"/>
        <v>Manufatto limitante</v>
      </c>
      <c r="AJ297" s="53">
        <v>151.41</v>
      </c>
      <c r="AK297" s="53">
        <f t="shared" si="94"/>
        <v>1.8915527375998942</v>
      </c>
      <c r="AL297" s="53">
        <f t="shared" si="92"/>
        <v>286.39999999999998</v>
      </c>
      <c r="AM297" s="50" t="s">
        <v>190</v>
      </c>
      <c r="AN297" s="56" t="s">
        <v>222</v>
      </c>
      <c r="AO297" s="57">
        <v>47053</v>
      </c>
      <c r="AP297" s="58" t="s">
        <v>1576</v>
      </c>
      <c r="AQ297" s="58" t="s">
        <v>255</v>
      </c>
      <c r="AR297" s="58" t="s">
        <v>225</v>
      </c>
      <c r="AS297" s="58" t="s">
        <v>92</v>
      </c>
      <c r="AT297" s="64"/>
      <c r="AU297" s="1"/>
      <c r="AV297" s="1"/>
      <c r="AW297" s="1"/>
      <c r="AX297" s="1"/>
      <c r="AY297" s="1"/>
      <c r="AZ297" s="1"/>
      <c r="BA297" s="1"/>
      <c r="BB297" s="1"/>
      <c r="BC297" s="1"/>
      <c r="BD297" s="1"/>
      <c r="BE297" s="1"/>
      <c r="BF297" s="1"/>
      <c r="BG297" s="1"/>
    </row>
    <row r="298" spans="1:59" ht="14.25" customHeight="1" x14ac:dyDescent="0.25">
      <c r="A298" s="1"/>
      <c r="B298" s="50"/>
      <c r="C298" s="50" t="s">
        <v>1597</v>
      </c>
      <c r="D298" s="50"/>
      <c r="E298" s="50" t="str">
        <f t="shared" si="82"/>
        <v>001B</v>
      </c>
      <c r="F298" s="50"/>
      <c r="G298" s="50" t="s">
        <v>1547</v>
      </c>
      <c r="H298" s="50" t="s">
        <v>1598</v>
      </c>
      <c r="I298" s="50" t="s">
        <v>1599</v>
      </c>
      <c r="J298" s="50" t="s">
        <v>1600</v>
      </c>
      <c r="K298" s="50" t="s">
        <v>1601</v>
      </c>
      <c r="L298" s="50" t="s">
        <v>1602</v>
      </c>
      <c r="M298" s="50"/>
      <c r="N298" s="52"/>
      <c r="O298" s="50" t="s">
        <v>118</v>
      </c>
      <c r="P298" s="50">
        <v>421</v>
      </c>
      <c r="Q298" s="53">
        <v>0</v>
      </c>
      <c r="R298" s="53">
        <f t="shared" si="84"/>
        <v>421</v>
      </c>
      <c r="S298" s="54">
        <v>0.99</v>
      </c>
      <c r="T298" s="54">
        <v>0</v>
      </c>
      <c r="U298" s="54">
        <f t="shared" si="85"/>
        <v>0.99</v>
      </c>
      <c r="V298" s="54">
        <v>6.33</v>
      </c>
      <c r="W298" s="52">
        <f t="shared" si="93"/>
        <v>3.6545138888888888</v>
      </c>
      <c r="X298" s="54">
        <f t="shared" si="86"/>
        <v>6.3939393939393945</v>
      </c>
      <c r="Y298" s="50" t="str">
        <f t="shared" si="87"/>
        <v>è in grado</v>
      </c>
      <c r="Z298" s="50" t="str">
        <f t="shared" si="88"/>
        <v>non sottende</v>
      </c>
      <c r="AA298" s="106">
        <f t="shared" si="89"/>
        <v>1.732104513064133</v>
      </c>
      <c r="AB298" s="50" t="str">
        <f t="shared" si="90"/>
        <v>B</v>
      </c>
      <c r="AC298" s="50" t="str">
        <f t="shared" si="83"/>
        <v>SI</v>
      </c>
      <c r="AD298" s="50" t="str">
        <f t="shared" si="91"/>
        <v>No</v>
      </c>
      <c r="AE298" s="50" t="s">
        <v>343</v>
      </c>
      <c r="AF298" s="55">
        <v>27.59</v>
      </c>
      <c r="AG298" s="55">
        <v>1860</v>
      </c>
      <c r="AH298" s="55">
        <v>17780</v>
      </c>
      <c r="AI298" s="55" t="str">
        <f t="shared" si="69"/>
        <v xml:space="preserve"> </v>
      </c>
      <c r="AJ298" s="53">
        <v>163.78</v>
      </c>
      <c r="AK298" s="53">
        <f t="shared" si="94"/>
        <v>11.318048601782881</v>
      </c>
      <c r="AL298" s="53">
        <f t="shared" si="92"/>
        <v>1853.67</v>
      </c>
      <c r="AM298" s="50" t="s">
        <v>190</v>
      </c>
      <c r="AN298" s="56" t="s">
        <v>236</v>
      </c>
      <c r="AO298" s="66"/>
      <c r="AP298" s="58" t="s">
        <v>1603</v>
      </c>
      <c r="AQ298" s="58" t="s">
        <v>224</v>
      </c>
      <c r="AR298" s="58" t="s">
        <v>225</v>
      </c>
      <c r="AS298" s="58" t="s">
        <v>92</v>
      </c>
      <c r="AT298" s="50"/>
      <c r="AU298" s="1"/>
      <c r="AV298" s="1"/>
      <c r="AW298" s="1"/>
      <c r="AX298" s="1"/>
      <c r="AY298" s="1"/>
      <c r="AZ298" s="1"/>
      <c r="BA298" s="1"/>
      <c r="BB298" s="1"/>
      <c r="BC298" s="1"/>
      <c r="BD298" s="1"/>
      <c r="BE298" s="1"/>
      <c r="BF298" s="1"/>
      <c r="BG298" s="1"/>
    </row>
    <row r="299" spans="1:59" ht="14.25" customHeight="1" x14ac:dyDescent="0.25">
      <c r="A299" s="1"/>
      <c r="B299" s="50"/>
      <c r="C299" s="50" t="s">
        <v>1604</v>
      </c>
      <c r="D299" s="50" t="s">
        <v>1605</v>
      </c>
      <c r="E299" s="50" t="str">
        <f t="shared" si="82"/>
        <v>PP0200330004001B</v>
      </c>
      <c r="F299" s="50"/>
      <c r="G299" s="50" t="s">
        <v>1606</v>
      </c>
      <c r="H299" s="50" t="s">
        <v>1607</v>
      </c>
      <c r="I299" s="50" t="s">
        <v>1608</v>
      </c>
      <c r="J299" s="50" t="s">
        <v>1609</v>
      </c>
      <c r="K299" s="50" t="s">
        <v>1610</v>
      </c>
      <c r="L299" s="50" t="s">
        <v>1611</v>
      </c>
      <c r="M299" s="70"/>
      <c r="N299" s="52"/>
      <c r="O299" s="50" t="s">
        <v>151</v>
      </c>
      <c r="P299" s="50">
        <v>1003</v>
      </c>
      <c r="Q299" s="53">
        <v>0</v>
      </c>
      <c r="R299" s="53">
        <f t="shared" si="84"/>
        <v>1003</v>
      </c>
      <c r="S299" s="54">
        <v>2.36</v>
      </c>
      <c r="T299" s="54">
        <v>0</v>
      </c>
      <c r="U299" s="54">
        <f t="shared" si="85"/>
        <v>2.36</v>
      </c>
      <c r="V299" s="54">
        <v>59.41</v>
      </c>
      <c r="W299" s="52">
        <f t="shared" si="93"/>
        <v>8.7065972222222214</v>
      </c>
      <c r="X299" s="54">
        <f t="shared" si="86"/>
        <v>25.173728813559322</v>
      </c>
      <c r="Y299" s="50" t="str">
        <f t="shared" si="87"/>
        <v>è in grado</v>
      </c>
      <c r="Z299" s="50" t="str">
        <f t="shared" si="88"/>
        <v>non sottende</v>
      </c>
      <c r="AA299" s="106">
        <f t="shared" si="89"/>
        <v>6.8235613160518449</v>
      </c>
      <c r="AB299" s="50" t="str">
        <f t="shared" si="90"/>
        <v>A</v>
      </c>
      <c r="AC299" s="50" t="str">
        <f t="shared" si="83"/>
        <v>SI</v>
      </c>
      <c r="AD299" s="50" t="str">
        <f t="shared" si="91"/>
        <v>Si</v>
      </c>
      <c r="AE299" s="50" t="s">
        <v>147</v>
      </c>
      <c r="AF299" s="55">
        <v>9.75</v>
      </c>
      <c r="AG299" s="55">
        <v>1118</v>
      </c>
      <c r="AH299" s="55">
        <v>776</v>
      </c>
      <c r="AI299" s="55" t="str">
        <f t="shared" si="69"/>
        <v>Manufatto limitante</v>
      </c>
      <c r="AJ299" s="53">
        <v>150.07</v>
      </c>
      <c r="AK299" s="53">
        <f t="shared" si="94"/>
        <v>4.7750383154527896</v>
      </c>
      <c r="AL299" s="53">
        <f t="shared" si="92"/>
        <v>716.59</v>
      </c>
      <c r="AM299" s="50" t="s">
        <v>190</v>
      </c>
      <c r="AN299" s="56" t="s">
        <v>222</v>
      </c>
      <c r="AO299" s="57">
        <v>46720</v>
      </c>
      <c r="AP299" s="58" t="s">
        <v>1612</v>
      </c>
      <c r="AQ299" s="58" t="s">
        <v>255</v>
      </c>
      <c r="AR299" s="58" t="s">
        <v>239</v>
      </c>
      <c r="AS299" s="58"/>
      <c r="AT299" s="64" t="s">
        <v>1613</v>
      </c>
      <c r="AU299" s="1"/>
      <c r="AV299" s="1"/>
      <c r="AW299" s="1"/>
      <c r="AX299" s="1"/>
      <c r="AY299" s="1"/>
      <c r="AZ299" s="1"/>
      <c r="BA299" s="1"/>
      <c r="BB299" s="1"/>
      <c r="BC299" s="1"/>
      <c r="BD299" s="1"/>
      <c r="BE299" s="1"/>
      <c r="BF299" s="1"/>
      <c r="BG299" s="1"/>
    </row>
    <row r="300" spans="1:59" ht="14.25" customHeight="1" x14ac:dyDescent="0.25">
      <c r="A300" s="1"/>
      <c r="B300" s="50"/>
      <c r="C300" s="50" t="s">
        <v>1614</v>
      </c>
      <c r="D300" s="50" t="s">
        <v>1615</v>
      </c>
      <c r="E300" s="50" t="str">
        <f t="shared" si="82"/>
        <v>PP0200330006001B</v>
      </c>
      <c r="F300" s="50" t="s">
        <v>1616</v>
      </c>
      <c r="G300" s="50" t="s">
        <v>1606</v>
      </c>
      <c r="H300" s="50" t="s">
        <v>1617</v>
      </c>
      <c r="I300" s="50" t="s">
        <v>1618</v>
      </c>
      <c r="J300" s="50" t="s">
        <v>1619</v>
      </c>
      <c r="K300" s="50" t="s">
        <v>1620</v>
      </c>
      <c r="L300" s="50" t="s">
        <v>1621</v>
      </c>
      <c r="M300" s="70"/>
      <c r="N300" s="52"/>
      <c r="O300" s="50" t="s">
        <v>151</v>
      </c>
      <c r="P300" s="50">
        <v>199</v>
      </c>
      <c r="Q300" s="53">
        <v>0</v>
      </c>
      <c r="R300" s="53">
        <f t="shared" si="84"/>
        <v>199</v>
      </c>
      <c r="S300" s="54">
        <v>0.47</v>
      </c>
      <c r="T300" s="54">
        <v>0</v>
      </c>
      <c r="U300" s="54">
        <f t="shared" si="85"/>
        <v>0.47</v>
      </c>
      <c r="V300" s="54">
        <v>26.63</v>
      </c>
      <c r="W300" s="52">
        <f t="shared" si="93"/>
        <v>1.7274305555555556</v>
      </c>
      <c r="X300" s="54">
        <f t="shared" si="86"/>
        <v>56.659574468085104</v>
      </c>
      <c r="Y300" s="50" t="str">
        <f t="shared" si="87"/>
        <v>è in grado</v>
      </c>
      <c r="Z300" s="50" t="str">
        <f t="shared" si="88"/>
        <v>non sottende</v>
      </c>
      <c r="AA300" s="106">
        <f t="shared" si="89"/>
        <v>15.415959798994974</v>
      </c>
      <c r="AB300" s="50" t="str">
        <f t="shared" si="90"/>
        <v>A</v>
      </c>
      <c r="AC300" s="50" t="str">
        <f t="shared" si="83"/>
        <v>SI</v>
      </c>
      <c r="AD300" s="50" t="str">
        <f t="shared" si="91"/>
        <v>Si</v>
      </c>
      <c r="AE300" s="50" t="s">
        <v>147</v>
      </c>
      <c r="AF300" s="55">
        <v>4.8099999999999996</v>
      </c>
      <c r="AG300" s="55">
        <v>462</v>
      </c>
      <c r="AH300" s="55">
        <v>222</v>
      </c>
      <c r="AI300" s="55" t="str">
        <f t="shared" si="69"/>
        <v>Manufatto limitante</v>
      </c>
      <c r="AJ300" s="53">
        <v>94.96</v>
      </c>
      <c r="AK300" s="53">
        <f t="shared" si="94"/>
        <v>2.0573925863521483</v>
      </c>
      <c r="AL300" s="53">
        <f t="shared" si="92"/>
        <v>195.37</v>
      </c>
      <c r="AM300" s="50" t="s">
        <v>190</v>
      </c>
      <c r="AN300" s="56" t="s">
        <v>222</v>
      </c>
      <c r="AO300" s="57">
        <v>47312</v>
      </c>
      <c r="AP300" s="58" t="s">
        <v>1622</v>
      </c>
      <c r="AQ300" s="58" t="s">
        <v>238</v>
      </c>
      <c r="AR300" s="58">
        <v>2044</v>
      </c>
      <c r="AS300" s="58" t="s">
        <v>1623</v>
      </c>
      <c r="AT300" s="64" t="s">
        <v>1624</v>
      </c>
      <c r="AU300" s="1"/>
      <c r="AV300" s="1"/>
      <c r="AW300" s="1"/>
      <c r="AX300" s="1"/>
      <c r="AY300" s="1"/>
      <c r="AZ300" s="1"/>
      <c r="BA300" s="1"/>
      <c r="BB300" s="1"/>
      <c r="BC300" s="1"/>
      <c r="BD300" s="1"/>
      <c r="BE300" s="1"/>
      <c r="BF300" s="1"/>
      <c r="BG300" s="1"/>
    </row>
    <row r="301" spans="1:59" ht="14.25" customHeight="1" x14ac:dyDescent="0.25">
      <c r="A301" s="1"/>
      <c r="B301" s="50"/>
      <c r="C301" s="50" t="s">
        <v>1625</v>
      </c>
      <c r="D301" s="50" t="s">
        <v>1626</v>
      </c>
      <c r="E301" s="50" t="str">
        <f t="shared" si="82"/>
        <v>PP0200330003001B</v>
      </c>
      <c r="F301" s="50"/>
      <c r="G301" s="50" t="s">
        <v>1606</v>
      </c>
      <c r="H301" s="50" t="s">
        <v>1607</v>
      </c>
      <c r="I301" s="50" t="s">
        <v>1627</v>
      </c>
      <c r="J301" s="50" t="s">
        <v>1628</v>
      </c>
      <c r="K301" s="50" t="s">
        <v>1610</v>
      </c>
      <c r="L301" s="50" t="s">
        <v>1629</v>
      </c>
      <c r="M301" s="50"/>
      <c r="N301" s="52"/>
      <c r="O301" s="50" t="s">
        <v>118</v>
      </c>
      <c r="P301" s="50">
        <v>1328</v>
      </c>
      <c r="Q301" s="53">
        <v>0</v>
      </c>
      <c r="R301" s="53">
        <f t="shared" si="84"/>
        <v>1328</v>
      </c>
      <c r="S301" s="54">
        <v>3.12</v>
      </c>
      <c r="T301" s="54">
        <v>0</v>
      </c>
      <c r="U301" s="54">
        <f t="shared" si="85"/>
        <v>3.12</v>
      </c>
      <c r="V301" s="54">
        <v>12.5</v>
      </c>
      <c r="W301" s="52">
        <f t="shared" si="93"/>
        <v>11.527777777777779</v>
      </c>
      <c r="X301" s="54">
        <f t="shared" si="86"/>
        <v>4.0064102564102564</v>
      </c>
      <c r="Y301" s="50" t="str">
        <f t="shared" si="87"/>
        <v>è in grado</v>
      </c>
      <c r="Z301" s="50" t="str">
        <f t="shared" si="88"/>
        <v>non sottende</v>
      </c>
      <c r="AA301" s="106">
        <f t="shared" si="89"/>
        <v>1.0843373493975903</v>
      </c>
      <c r="AB301" s="50" t="str">
        <f t="shared" si="90"/>
        <v>B</v>
      </c>
      <c r="AC301" s="50" t="str">
        <f t="shared" si="83"/>
        <v>SI</v>
      </c>
      <c r="AD301" s="50" t="str">
        <f t="shared" si="91"/>
        <v>No</v>
      </c>
      <c r="AE301" s="50" t="s">
        <v>343</v>
      </c>
      <c r="AF301" s="55">
        <v>5.84</v>
      </c>
      <c r="AG301" s="55">
        <v>559</v>
      </c>
      <c r="AH301" s="55">
        <v>57</v>
      </c>
      <c r="AI301" s="55" t="str">
        <f t="shared" si="69"/>
        <v>Manufatto limitante</v>
      </c>
      <c r="AJ301" s="53">
        <v>14.1</v>
      </c>
      <c r="AK301" s="53">
        <f t="shared" si="94"/>
        <v>3.1560283687943262</v>
      </c>
      <c r="AL301" s="53">
        <f t="shared" si="92"/>
        <v>44.5</v>
      </c>
      <c r="AM301" s="50" t="s">
        <v>147</v>
      </c>
      <c r="AN301" s="56" t="s">
        <v>236</v>
      </c>
      <c r="AO301" s="57">
        <v>46720</v>
      </c>
      <c r="AP301" s="58" t="s">
        <v>1612</v>
      </c>
      <c r="AQ301" s="58" t="s">
        <v>238</v>
      </c>
      <c r="AR301" s="58" t="s">
        <v>239</v>
      </c>
      <c r="AS301" s="58"/>
      <c r="AT301" s="64" t="s">
        <v>1630</v>
      </c>
      <c r="AU301" s="69"/>
      <c r="AV301" s="69"/>
      <c r="AW301" s="69"/>
      <c r="AX301" s="69"/>
      <c r="AY301" s="69"/>
      <c r="AZ301" s="69"/>
      <c r="BA301" s="69"/>
      <c r="BB301" s="69"/>
      <c r="BC301" s="69"/>
      <c r="BD301" s="69"/>
      <c r="BE301" s="69"/>
      <c r="BF301" s="1"/>
      <c r="BG301" s="1"/>
    </row>
    <row r="302" spans="1:59" ht="14.25" customHeight="1" x14ac:dyDescent="0.25">
      <c r="A302" s="1"/>
      <c r="B302" s="70"/>
      <c r="C302" s="70" t="s">
        <v>1631</v>
      </c>
      <c r="D302" s="50" t="s">
        <v>1632</v>
      </c>
      <c r="E302" s="50" t="str">
        <f t="shared" si="82"/>
        <v>PP0200330005001B</v>
      </c>
      <c r="F302" s="70" t="s">
        <v>1396</v>
      </c>
      <c r="G302" s="70" t="s">
        <v>1606</v>
      </c>
      <c r="H302" s="70" t="s">
        <v>1607</v>
      </c>
      <c r="I302" s="70" t="s">
        <v>1633</v>
      </c>
      <c r="J302" s="50" t="s">
        <v>1634</v>
      </c>
      <c r="K302" s="70" t="s">
        <v>1610</v>
      </c>
      <c r="L302" s="70" t="s">
        <v>1635</v>
      </c>
      <c r="M302" s="1"/>
      <c r="N302" s="72"/>
      <c r="O302" s="50" t="s">
        <v>151</v>
      </c>
      <c r="P302" s="70">
        <v>563</v>
      </c>
      <c r="Q302" s="73">
        <v>0</v>
      </c>
      <c r="R302" s="53">
        <f t="shared" si="84"/>
        <v>563</v>
      </c>
      <c r="S302" s="74">
        <v>1.32</v>
      </c>
      <c r="T302" s="74">
        <v>0</v>
      </c>
      <c r="U302" s="54">
        <f t="shared" si="85"/>
        <v>1.32</v>
      </c>
      <c r="V302" s="74">
        <v>55</v>
      </c>
      <c r="W302" s="52">
        <f t="shared" si="93"/>
        <v>4.8871527777777777</v>
      </c>
      <c r="X302" s="54">
        <f t="shared" si="86"/>
        <v>41.666666666666664</v>
      </c>
      <c r="Y302" s="50" t="str">
        <f t="shared" si="87"/>
        <v>è in grado</v>
      </c>
      <c r="Z302" s="50" t="str">
        <f t="shared" si="88"/>
        <v>non sottende</v>
      </c>
      <c r="AA302" s="106">
        <f t="shared" si="89"/>
        <v>11.253996447602132</v>
      </c>
      <c r="AB302" s="50" t="str">
        <f t="shared" si="90"/>
        <v>A</v>
      </c>
      <c r="AC302" s="50" t="str">
        <f t="shared" si="83"/>
        <v>SI</v>
      </c>
      <c r="AD302" s="50" t="str">
        <f t="shared" si="91"/>
        <v>Si</v>
      </c>
      <c r="AE302" s="50" t="s">
        <v>147</v>
      </c>
      <c r="AF302" s="71">
        <v>12.58</v>
      </c>
      <c r="AG302" s="71">
        <v>1271</v>
      </c>
      <c r="AH302" s="71">
        <v>1407</v>
      </c>
      <c r="AI302" s="55" t="str">
        <f t="shared" si="69"/>
        <v xml:space="preserve"> </v>
      </c>
      <c r="AJ302" s="73">
        <v>192.22</v>
      </c>
      <c r="AK302" s="53">
        <f t="shared" si="94"/>
        <v>6.3260846946207474</v>
      </c>
      <c r="AL302" s="53">
        <f t="shared" si="92"/>
        <v>1216</v>
      </c>
      <c r="AM302" s="50" t="s">
        <v>1636</v>
      </c>
      <c r="AN302" s="56" t="s">
        <v>236</v>
      </c>
      <c r="AO302" s="129">
        <v>46720</v>
      </c>
      <c r="AP302" s="58" t="s">
        <v>1612</v>
      </c>
      <c r="AQ302" s="58" t="s">
        <v>313</v>
      </c>
      <c r="AR302" s="58">
        <v>2049</v>
      </c>
      <c r="AS302" s="58" t="s">
        <v>1637</v>
      </c>
      <c r="AT302" s="64"/>
      <c r="AU302" s="1"/>
      <c r="AV302" s="1"/>
      <c r="AW302" s="1"/>
      <c r="AX302" s="1"/>
      <c r="AY302" s="1"/>
      <c r="AZ302" s="1"/>
      <c r="BA302" s="1"/>
      <c r="BB302" s="1"/>
      <c r="BC302" s="1"/>
      <c r="BD302" s="1"/>
      <c r="BE302" s="1"/>
      <c r="BF302" s="1"/>
      <c r="BG302" s="1"/>
    </row>
    <row r="303" spans="1:59" ht="14.25" customHeight="1" x14ac:dyDescent="0.25">
      <c r="A303" s="1"/>
      <c r="B303" s="50"/>
      <c r="C303" s="130" t="s">
        <v>1638</v>
      </c>
      <c r="D303" s="50"/>
      <c r="E303" s="50" t="str">
        <f t="shared" si="82"/>
        <v>001B</v>
      </c>
      <c r="F303" s="50" t="s">
        <v>1639</v>
      </c>
      <c r="G303" s="50" t="s">
        <v>1606</v>
      </c>
      <c r="H303" s="50" t="s">
        <v>1640</v>
      </c>
      <c r="I303" s="50"/>
      <c r="J303" s="50" t="s">
        <v>1641</v>
      </c>
      <c r="K303" s="50" t="s">
        <v>1642</v>
      </c>
      <c r="L303" s="50"/>
      <c r="M303" s="50"/>
      <c r="N303" s="52"/>
      <c r="O303" s="50" t="s">
        <v>118</v>
      </c>
      <c r="P303" s="50"/>
      <c r="Q303" s="53"/>
      <c r="R303" s="53">
        <f t="shared" si="84"/>
        <v>0</v>
      </c>
      <c r="S303" s="54"/>
      <c r="T303" s="54"/>
      <c r="U303" s="54">
        <f t="shared" si="85"/>
        <v>0</v>
      </c>
      <c r="V303" s="54"/>
      <c r="W303" s="52">
        <f t="shared" si="93"/>
        <v>0</v>
      </c>
      <c r="X303" s="54" t="e">
        <f t="shared" si="86"/>
        <v>#DIV/0!</v>
      </c>
      <c r="Y303" s="50" t="str">
        <f t="shared" si="87"/>
        <v>non è in grado</v>
      </c>
      <c r="Z303" s="50" t="str">
        <f t="shared" si="88"/>
        <v>non sottende</v>
      </c>
      <c r="AA303" s="106" t="e">
        <f t="shared" si="89"/>
        <v>#DIV/0!</v>
      </c>
      <c r="AB303" s="50" t="e">
        <f t="shared" si="90"/>
        <v>#DIV/0!</v>
      </c>
      <c r="AC303" s="50" t="str">
        <f t="shared" si="83"/>
        <v>NO</v>
      </c>
      <c r="AD303" s="50" t="str">
        <f t="shared" si="91"/>
        <v>No</v>
      </c>
      <c r="AE303" s="50"/>
      <c r="AF303" s="55"/>
      <c r="AG303" s="55"/>
      <c r="AH303" s="55"/>
      <c r="AI303" s="55" t="str">
        <f t="shared" si="69"/>
        <v xml:space="preserve"> </v>
      </c>
      <c r="AJ303" s="53"/>
      <c r="AK303" s="53" t="e">
        <f t="shared" si="94"/>
        <v>#DIV/0!</v>
      </c>
      <c r="AL303" s="53">
        <f t="shared" si="92"/>
        <v>0</v>
      </c>
      <c r="AM303" s="50"/>
      <c r="AO303" s="66"/>
      <c r="AP303" s="58" t="s">
        <v>1643</v>
      </c>
      <c r="AQ303" s="58" t="s">
        <v>238</v>
      </c>
      <c r="AR303" s="58" t="s">
        <v>1644</v>
      </c>
      <c r="AS303" s="58"/>
      <c r="AT303" s="50"/>
      <c r="AU303" s="1"/>
      <c r="AV303" s="1"/>
      <c r="AW303" s="1"/>
      <c r="AX303" s="1"/>
      <c r="AY303" s="1"/>
      <c r="AZ303" s="1"/>
      <c r="BA303" s="1"/>
      <c r="BB303" s="1"/>
      <c r="BC303" s="1"/>
      <c r="BD303" s="1"/>
      <c r="BE303" s="1"/>
      <c r="BF303" s="1"/>
      <c r="BG303" s="1"/>
    </row>
    <row r="304" spans="1:59" ht="14.25" customHeight="1" x14ac:dyDescent="0.25">
      <c r="A304" s="1"/>
      <c r="B304" s="50"/>
      <c r="C304" s="50" t="s">
        <v>1645</v>
      </c>
      <c r="D304" s="50" t="s">
        <v>1646</v>
      </c>
      <c r="E304" s="50" t="str">
        <f t="shared" si="82"/>
        <v>PP0200330002001B</v>
      </c>
      <c r="F304" s="50"/>
      <c r="G304" s="50" t="s">
        <v>1606</v>
      </c>
      <c r="H304" s="70" t="s">
        <v>95</v>
      </c>
      <c r="I304" s="50" t="s">
        <v>1647</v>
      </c>
      <c r="J304" s="50" t="s">
        <v>1648</v>
      </c>
      <c r="K304" s="50" t="s">
        <v>1620</v>
      </c>
      <c r="L304" s="50" t="s">
        <v>1649</v>
      </c>
      <c r="M304" s="50"/>
      <c r="N304" s="52"/>
      <c r="O304" s="50" t="s">
        <v>151</v>
      </c>
      <c r="P304" s="50">
        <v>945</v>
      </c>
      <c r="Q304" s="53">
        <v>1</v>
      </c>
      <c r="R304" s="53">
        <f t="shared" si="84"/>
        <v>946</v>
      </c>
      <c r="S304" s="54">
        <v>2.2200000000000002</v>
      </c>
      <c r="T304" s="54">
        <v>7.0000000000000007E-2</v>
      </c>
      <c r="U304" s="54">
        <f t="shared" si="85"/>
        <v>2.29</v>
      </c>
      <c r="V304" s="54">
        <v>64.47</v>
      </c>
      <c r="W304" s="52">
        <f t="shared" si="93"/>
        <v>8.2118055555555554</v>
      </c>
      <c r="X304" s="54">
        <f t="shared" si="86"/>
        <v>28.152838427947597</v>
      </c>
      <c r="Y304" s="50" t="str">
        <f t="shared" si="87"/>
        <v>è in grado</v>
      </c>
      <c r="Z304" s="50" t="str">
        <f t="shared" si="88"/>
        <v>non sottende</v>
      </c>
      <c r="AA304" s="106">
        <f t="shared" si="89"/>
        <v>7.8508921775898521</v>
      </c>
      <c r="AB304" s="50" t="str">
        <f t="shared" si="90"/>
        <v>A</v>
      </c>
      <c r="AC304" s="50" t="str">
        <f t="shared" si="83"/>
        <v>SI</v>
      </c>
      <c r="AD304" s="50" t="str">
        <f t="shared" si="91"/>
        <v>Si</v>
      </c>
      <c r="AE304" s="50" t="s">
        <v>147</v>
      </c>
      <c r="AF304" s="55">
        <v>10.81</v>
      </c>
      <c r="AG304" s="55">
        <v>1183</v>
      </c>
      <c r="AH304" s="55">
        <v>776</v>
      </c>
      <c r="AI304" s="55" t="str">
        <f t="shared" si="69"/>
        <v>Manufatto limitante</v>
      </c>
      <c r="AJ304" s="53">
        <v>129.91</v>
      </c>
      <c r="AK304" s="53">
        <f t="shared" si="94"/>
        <v>5.4770995304441534</v>
      </c>
      <c r="AL304" s="53">
        <f t="shared" si="92"/>
        <v>711.53</v>
      </c>
      <c r="AM304" s="50" t="s">
        <v>190</v>
      </c>
      <c r="AN304" s="56" t="s">
        <v>222</v>
      </c>
      <c r="AO304" s="57">
        <v>47312</v>
      </c>
      <c r="AP304" s="58" t="s">
        <v>1622</v>
      </c>
      <c r="AQ304" s="58" t="s">
        <v>255</v>
      </c>
      <c r="AR304" s="58" t="s">
        <v>225</v>
      </c>
      <c r="AS304" s="64" t="s">
        <v>92</v>
      </c>
      <c r="AT304" s="64" t="s">
        <v>92</v>
      </c>
      <c r="AU304" s="1"/>
      <c r="AV304" s="1"/>
      <c r="AW304" s="1"/>
      <c r="AX304" s="1"/>
      <c r="AY304" s="1"/>
      <c r="AZ304" s="1"/>
      <c r="BA304" s="1"/>
      <c r="BB304" s="1"/>
      <c r="BC304" s="1"/>
      <c r="BD304" s="1"/>
      <c r="BE304" s="1"/>
      <c r="BF304" s="1"/>
      <c r="BG304" s="1"/>
    </row>
    <row r="305" spans="1:59" ht="14.25" customHeight="1" x14ac:dyDescent="0.25">
      <c r="A305" s="1"/>
      <c r="B305" s="50"/>
      <c r="C305" s="50" t="s">
        <v>1650</v>
      </c>
      <c r="D305" s="50" t="s">
        <v>1651</v>
      </c>
      <c r="E305" s="50" t="str">
        <f t="shared" si="82"/>
        <v>PP0200330001 001B</v>
      </c>
      <c r="F305" s="50"/>
      <c r="G305" s="50" t="s">
        <v>1606</v>
      </c>
      <c r="H305" s="50" t="s">
        <v>95</v>
      </c>
      <c r="I305" s="50" t="s">
        <v>1652</v>
      </c>
      <c r="J305" s="50" t="s">
        <v>1653</v>
      </c>
      <c r="K305" s="50" t="s">
        <v>1620</v>
      </c>
      <c r="L305" s="50" t="s">
        <v>1654</v>
      </c>
      <c r="M305" s="50"/>
      <c r="N305" s="52"/>
      <c r="O305" s="50" t="s">
        <v>118</v>
      </c>
      <c r="P305" s="50">
        <v>5761</v>
      </c>
      <c r="Q305" s="53">
        <v>12</v>
      </c>
      <c r="R305" s="53">
        <f t="shared" si="84"/>
        <v>5773</v>
      </c>
      <c r="S305" s="74">
        <v>13.55</v>
      </c>
      <c r="T305" s="54">
        <v>0.22</v>
      </c>
      <c r="U305" s="54">
        <f t="shared" si="85"/>
        <v>13.770000000000001</v>
      </c>
      <c r="V305" s="54">
        <v>50.17</v>
      </c>
      <c r="W305" s="52">
        <f t="shared" si="93"/>
        <v>50.112847222222221</v>
      </c>
      <c r="X305" s="54">
        <f t="shared" si="86"/>
        <v>3.6434277414669571</v>
      </c>
      <c r="Y305" s="50" t="str">
        <f t="shared" si="87"/>
        <v>è in grado</v>
      </c>
      <c r="Z305" s="50" t="str">
        <f t="shared" si="88"/>
        <v>non sottende</v>
      </c>
      <c r="AA305" s="106">
        <f t="shared" si="89"/>
        <v>1.0011404815520528</v>
      </c>
      <c r="AB305" s="50" t="str">
        <f t="shared" si="90"/>
        <v>B</v>
      </c>
      <c r="AC305" s="50" t="str">
        <f t="shared" si="83"/>
        <v>SI</v>
      </c>
      <c r="AD305" s="50" t="str">
        <f t="shared" si="91"/>
        <v>Si</v>
      </c>
      <c r="AE305" s="50" t="s">
        <v>343</v>
      </c>
      <c r="AF305" s="55">
        <v>5.71</v>
      </c>
      <c r="AG305" s="55">
        <v>474</v>
      </c>
      <c r="AH305" s="55">
        <v>100</v>
      </c>
      <c r="AI305" s="55" t="str">
        <f t="shared" si="69"/>
        <v>Manufatto limitante</v>
      </c>
      <c r="AJ305" s="53">
        <v>17.02</v>
      </c>
      <c r="AK305" s="53">
        <f t="shared" si="94"/>
        <v>2.9277320799059927</v>
      </c>
      <c r="AL305" s="53">
        <f t="shared" si="92"/>
        <v>49.83</v>
      </c>
      <c r="AM305" s="50" t="s">
        <v>147</v>
      </c>
      <c r="AN305" s="56" t="s">
        <v>236</v>
      </c>
      <c r="AO305" s="57">
        <v>47312</v>
      </c>
      <c r="AP305" s="58" t="s">
        <v>1622</v>
      </c>
      <c r="AQ305" s="58" t="s">
        <v>1655</v>
      </c>
      <c r="AR305" s="58" t="s">
        <v>544</v>
      </c>
      <c r="AS305" s="58"/>
      <c r="AT305" s="64"/>
      <c r="AU305" s="1"/>
      <c r="AV305" s="1"/>
      <c r="AW305" s="1"/>
      <c r="AX305" s="1"/>
      <c r="AY305" s="1"/>
      <c r="AZ305" s="1"/>
      <c r="BA305" s="1"/>
      <c r="BB305" s="1"/>
      <c r="BC305" s="1"/>
      <c r="BD305" s="1"/>
      <c r="BE305" s="1"/>
      <c r="BF305" s="1"/>
      <c r="BG305" s="1"/>
    </row>
    <row r="306" spans="1:59" ht="14.25" customHeight="1" x14ac:dyDescent="0.25">
      <c r="A306" s="1"/>
      <c r="B306" s="50"/>
      <c r="C306" s="50" t="s">
        <v>1656</v>
      </c>
      <c r="D306" s="50" t="s">
        <v>1657</v>
      </c>
      <c r="E306" s="50" t="str">
        <f t="shared" si="82"/>
        <v>PP0200370001001B</v>
      </c>
      <c r="F306" s="70" t="s">
        <v>1658</v>
      </c>
      <c r="G306" s="50" t="s">
        <v>173</v>
      </c>
      <c r="H306" s="70" t="s">
        <v>1659</v>
      </c>
      <c r="I306" s="50" t="s">
        <v>1660</v>
      </c>
      <c r="J306" s="50" t="s">
        <v>1661</v>
      </c>
      <c r="K306" s="50" t="s">
        <v>1662</v>
      </c>
      <c r="L306" s="50" t="s">
        <v>1663</v>
      </c>
      <c r="M306" s="50"/>
      <c r="N306" s="52"/>
      <c r="O306" s="50" t="s">
        <v>151</v>
      </c>
      <c r="P306" s="50">
        <v>61</v>
      </c>
      <c r="Q306" s="53">
        <v>0</v>
      </c>
      <c r="R306" s="53">
        <f t="shared" si="84"/>
        <v>61</v>
      </c>
      <c r="S306" s="54">
        <v>0.14000000000000001</v>
      </c>
      <c r="T306" s="54">
        <v>0</v>
      </c>
      <c r="U306" s="54">
        <f t="shared" si="85"/>
        <v>0.14000000000000001</v>
      </c>
      <c r="V306" s="54">
        <v>43.78</v>
      </c>
      <c r="W306" s="52">
        <f t="shared" si="93"/>
        <v>0.52951388888888884</v>
      </c>
      <c r="X306" s="54">
        <f t="shared" si="86"/>
        <v>312.71428571428567</v>
      </c>
      <c r="Y306" s="50" t="str">
        <f t="shared" si="87"/>
        <v>è in grado</v>
      </c>
      <c r="Z306" s="50" t="str">
        <f t="shared" si="88"/>
        <v>non sottende</v>
      </c>
      <c r="AA306" s="106">
        <f t="shared" si="89"/>
        <v>82.679606557377056</v>
      </c>
      <c r="AB306" s="50" t="str">
        <f t="shared" si="90"/>
        <v>A</v>
      </c>
      <c r="AC306" s="50" t="str">
        <f t="shared" si="83"/>
        <v>SI</v>
      </c>
      <c r="AD306" s="50" t="str">
        <f t="shared" si="91"/>
        <v>Si</v>
      </c>
      <c r="AE306" s="50" t="s">
        <v>147</v>
      </c>
      <c r="AF306" s="55"/>
      <c r="AG306" s="55"/>
      <c r="AH306" s="55"/>
      <c r="AI306" s="55" t="str">
        <f t="shared" si="69"/>
        <v xml:space="preserve"> </v>
      </c>
      <c r="AJ306" s="53"/>
      <c r="AK306" s="53" t="e">
        <f t="shared" si="94"/>
        <v>#DIV/0!</v>
      </c>
      <c r="AL306" s="53">
        <f t="shared" si="92"/>
        <v>-43.78</v>
      </c>
      <c r="AM306" s="50" t="s">
        <v>147</v>
      </c>
      <c r="AN306" s="56" t="s">
        <v>222</v>
      </c>
      <c r="AO306" s="57">
        <v>45956</v>
      </c>
      <c r="AP306" s="58" t="s">
        <v>1664</v>
      </c>
      <c r="AQ306" s="58" t="s">
        <v>1113</v>
      </c>
      <c r="AR306" s="75">
        <v>52231</v>
      </c>
      <c r="AS306" s="58" t="s">
        <v>1665</v>
      </c>
      <c r="AT306" s="64"/>
      <c r="AU306" s="1"/>
      <c r="AV306" s="1"/>
      <c r="AW306" s="1"/>
      <c r="AX306" s="1"/>
      <c r="AY306" s="1"/>
      <c r="AZ306" s="1"/>
      <c r="BA306" s="1"/>
      <c r="BB306" s="1"/>
      <c r="BC306" s="1"/>
      <c r="BD306" s="1"/>
      <c r="BE306" s="1"/>
      <c r="BF306" s="1"/>
      <c r="BG306" s="1"/>
    </row>
    <row r="307" spans="1:59" ht="15.75" customHeight="1" x14ac:dyDescent="0.25">
      <c r="A307" s="1"/>
      <c r="B307" s="50"/>
      <c r="C307" s="50" t="s">
        <v>1666</v>
      </c>
      <c r="D307" s="50" t="s">
        <v>1667</v>
      </c>
      <c r="E307" s="50" t="str">
        <f t="shared" si="82"/>
        <v>PP0200370007001B</v>
      </c>
      <c r="F307" s="50"/>
      <c r="G307" s="50" t="s">
        <v>173</v>
      </c>
      <c r="H307" s="70" t="s">
        <v>95</v>
      </c>
      <c r="I307" s="50" t="s">
        <v>1668</v>
      </c>
      <c r="J307" s="50" t="s">
        <v>1669</v>
      </c>
      <c r="K307" s="50" t="s">
        <v>1670</v>
      </c>
      <c r="L307" s="50" t="s">
        <v>1671</v>
      </c>
      <c r="M307" s="50"/>
      <c r="N307" s="52"/>
      <c r="O307" s="50" t="s">
        <v>151</v>
      </c>
      <c r="P307" s="50">
        <v>94</v>
      </c>
      <c r="Q307" s="53">
        <v>0</v>
      </c>
      <c r="R307" s="53">
        <f t="shared" si="84"/>
        <v>94</v>
      </c>
      <c r="S307" s="54">
        <f>P307*254*0.8/86400</f>
        <v>0.22107407407407406</v>
      </c>
      <c r="T307" s="54">
        <v>0</v>
      </c>
      <c r="U307" s="54">
        <f t="shared" si="85"/>
        <v>0.22107407407407406</v>
      </c>
      <c r="V307" s="54">
        <v>20.309999999999999</v>
      </c>
      <c r="W307" s="52">
        <f t="shared" si="93"/>
        <v>0.81597222222222221</v>
      </c>
      <c r="X307" s="54">
        <f t="shared" si="86"/>
        <v>91.869659909532587</v>
      </c>
      <c r="Y307" s="50" t="str">
        <f t="shared" si="87"/>
        <v>è in grado</v>
      </c>
      <c r="Z307" s="50" t="str">
        <f t="shared" si="88"/>
        <v>non sottende</v>
      </c>
      <c r="AA307" s="106">
        <f t="shared" si="89"/>
        <v>24.89055319148936</v>
      </c>
      <c r="AB307" s="50" t="str">
        <f t="shared" si="90"/>
        <v>A</v>
      </c>
      <c r="AC307" s="50" t="str">
        <f t="shared" si="83"/>
        <v>SI</v>
      </c>
      <c r="AD307" s="50" t="str">
        <f t="shared" si="91"/>
        <v>Si</v>
      </c>
      <c r="AE307" s="50" t="s">
        <v>147</v>
      </c>
      <c r="AF307" s="55">
        <v>7.6</v>
      </c>
      <c r="AG307" s="55">
        <v>735</v>
      </c>
      <c r="AH307" s="55">
        <v>790</v>
      </c>
      <c r="AI307" s="55" t="str">
        <f t="shared" si="69"/>
        <v xml:space="preserve"> </v>
      </c>
      <c r="AJ307" s="53">
        <v>216.43</v>
      </c>
      <c r="AK307" s="53">
        <f t="shared" si="94"/>
        <v>3.3021762232592526</v>
      </c>
      <c r="AL307" s="53">
        <f t="shared" si="92"/>
        <v>714.69</v>
      </c>
      <c r="AM307" s="50" t="s">
        <v>190</v>
      </c>
      <c r="AN307" s="56" t="s">
        <v>222</v>
      </c>
      <c r="AO307" s="129">
        <v>46790</v>
      </c>
      <c r="AP307" s="58" t="s">
        <v>1672</v>
      </c>
      <c r="AQ307" s="58" t="s">
        <v>1113</v>
      </c>
      <c r="AR307" s="58">
        <v>2042</v>
      </c>
      <c r="AS307" s="58" t="s">
        <v>1673</v>
      </c>
      <c r="AT307" s="64" t="s">
        <v>1674</v>
      </c>
      <c r="AU307" s="1"/>
      <c r="AV307" s="1"/>
      <c r="AW307" s="1"/>
      <c r="AX307" s="1"/>
      <c r="AY307" s="1"/>
      <c r="AZ307" s="1"/>
      <c r="BA307" s="1"/>
      <c r="BB307" s="1"/>
      <c r="BC307" s="1"/>
      <c r="BD307" s="1"/>
      <c r="BE307" s="1"/>
      <c r="BF307" s="1"/>
      <c r="BG307" s="1"/>
    </row>
    <row r="308" spans="1:59" ht="15.75" customHeight="1" x14ac:dyDescent="0.25">
      <c r="A308" s="1"/>
      <c r="B308" s="131"/>
      <c r="C308" s="50" t="s">
        <v>1675</v>
      </c>
      <c r="D308" s="50" t="s">
        <v>92</v>
      </c>
      <c r="E308" s="50" t="str">
        <f t="shared" si="82"/>
        <v>-001B</v>
      </c>
      <c r="F308" s="50"/>
      <c r="G308" s="50" t="s">
        <v>173</v>
      </c>
      <c r="H308" s="50" t="s">
        <v>174</v>
      </c>
      <c r="I308" s="50" t="s">
        <v>1676</v>
      </c>
      <c r="J308" s="50" t="s">
        <v>1677</v>
      </c>
      <c r="K308" s="50" t="s">
        <v>1678</v>
      </c>
      <c r="L308" s="50" t="s">
        <v>1679</v>
      </c>
      <c r="M308" s="122" t="s">
        <v>221</v>
      </c>
      <c r="N308" s="52"/>
      <c r="O308" s="50" t="s">
        <v>151</v>
      </c>
      <c r="P308" s="50">
        <v>705</v>
      </c>
      <c r="Q308" s="53">
        <v>0</v>
      </c>
      <c r="R308" s="53">
        <f t="shared" si="84"/>
        <v>705</v>
      </c>
      <c r="S308" s="74">
        <v>1.66</v>
      </c>
      <c r="T308" s="54">
        <v>0</v>
      </c>
      <c r="U308" s="54">
        <f t="shared" si="85"/>
        <v>1.66</v>
      </c>
      <c r="V308" s="54">
        <v>20.309999999999999</v>
      </c>
      <c r="W308" s="52">
        <f t="shared" si="93"/>
        <v>6.119791666666667</v>
      </c>
      <c r="X308" s="54">
        <f t="shared" si="86"/>
        <v>12.234939759036145</v>
      </c>
      <c r="Y308" s="50" t="str">
        <f t="shared" si="87"/>
        <v>è in grado</v>
      </c>
      <c r="Z308" s="50" t="str">
        <f t="shared" si="88"/>
        <v>non sottende</v>
      </c>
      <c r="AA308" s="106">
        <f t="shared" si="89"/>
        <v>3.3187404255319146</v>
      </c>
      <c r="AB308" s="50" t="str">
        <f t="shared" si="90"/>
        <v>A</v>
      </c>
      <c r="AC308" s="50" t="str">
        <f t="shared" si="83"/>
        <v>SI</v>
      </c>
      <c r="AD308" s="50" t="str">
        <f t="shared" si="91"/>
        <v>Si</v>
      </c>
      <c r="AE308" s="50" t="s">
        <v>147</v>
      </c>
      <c r="AF308" s="55">
        <v>10.72</v>
      </c>
      <c r="AG308" s="55">
        <v>1070</v>
      </c>
      <c r="AH308" s="55">
        <v>701</v>
      </c>
      <c r="AI308" s="55" t="str">
        <f t="shared" si="69"/>
        <v>Manufatto limitante</v>
      </c>
      <c r="AJ308" s="53">
        <v>137.68</v>
      </c>
      <c r="AK308" s="53">
        <f t="shared" si="94"/>
        <v>4.9440005810575247</v>
      </c>
      <c r="AL308" s="53">
        <f t="shared" si="92"/>
        <v>680.69</v>
      </c>
      <c r="AM308" s="50" t="s">
        <v>190</v>
      </c>
      <c r="AN308" s="56" t="s">
        <v>222</v>
      </c>
      <c r="AO308" s="57"/>
      <c r="AP308" s="58" t="s">
        <v>223</v>
      </c>
      <c r="AQ308" s="58" t="s">
        <v>224</v>
      </c>
      <c r="AR308" s="58" t="s">
        <v>225</v>
      </c>
      <c r="AS308" s="58" t="s">
        <v>92</v>
      </c>
      <c r="AT308" s="64"/>
      <c r="AU308" s="1"/>
      <c r="AV308" s="1"/>
      <c r="AW308" s="1"/>
      <c r="AX308" s="1"/>
      <c r="AY308" s="1"/>
      <c r="AZ308" s="1"/>
      <c r="BA308" s="1"/>
      <c r="BB308" s="1"/>
      <c r="BC308" s="1"/>
      <c r="BD308" s="1"/>
      <c r="BE308" s="1"/>
      <c r="BF308" s="1"/>
      <c r="BG308" s="1"/>
    </row>
    <row r="309" spans="1:59" ht="14.25" customHeight="1" x14ac:dyDescent="0.25">
      <c r="A309" s="1"/>
      <c r="B309" s="50"/>
      <c r="C309" s="50" t="s">
        <v>1680</v>
      </c>
      <c r="D309" s="50" t="s">
        <v>1681</v>
      </c>
      <c r="E309" s="50" t="str">
        <f t="shared" si="82"/>
        <v>PP0200370009001B</v>
      </c>
      <c r="F309" s="50"/>
      <c r="G309" s="50" t="s">
        <v>173</v>
      </c>
      <c r="H309" s="70" t="s">
        <v>95</v>
      </c>
      <c r="I309" s="50" t="s">
        <v>1682</v>
      </c>
      <c r="J309" s="50" t="s">
        <v>1683</v>
      </c>
      <c r="K309" s="50" t="s">
        <v>1670</v>
      </c>
      <c r="L309" s="50" t="s">
        <v>1684</v>
      </c>
      <c r="M309" s="50"/>
      <c r="N309" s="52"/>
      <c r="O309" s="50" t="s">
        <v>151</v>
      </c>
      <c r="P309" s="50">
        <v>50</v>
      </c>
      <c r="Q309" s="53">
        <v>0</v>
      </c>
      <c r="R309" s="53">
        <f t="shared" si="84"/>
        <v>50</v>
      </c>
      <c r="S309" s="132">
        <f>P309*254*0.8/86400</f>
        <v>0.1175925925925926</v>
      </c>
      <c r="T309" s="54">
        <v>0</v>
      </c>
      <c r="U309" s="54">
        <f t="shared" si="85"/>
        <v>0.1175925925925926</v>
      </c>
      <c r="V309" s="54">
        <v>23.1</v>
      </c>
      <c r="W309" s="52">
        <f t="shared" si="93"/>
        <v>0.43402777777777779</v>
      </c>
      <c r="X309" s="54">
        <f t="shared" si="86"/>
        <v>196.44094488188978</v>
      </c>
      <c r="Y309" s="50" t="str">
        <f t="shared" si="87"/>
        <v>è in grado</v>
      </c>
      <c r="Z309" s="50" t="str">
        <f t="shared" si="88"/>
        <v>non sottende</v>
      </c>
      <c r="AA309" s="106">
        <f t="shared" si="89"/>
        <v>53.2224</v>
      </c>
      <c r="AB309" s="50" t="str">
        <f t="shared" si="90"/>
        <v>A</v>
      </c>
      <c r="AC309" s="50" t="str">
        <f t="shared" si="83"/>
        <v>SI</v>
      </c>
      <c r="AD309" s="50" t="str">
        <f t="shared" si="91"/>
        <v>Si</v>
      </c>
      <c r="AE309" s="50" t="s">
        <v>147</v>
      </c>
      <c r="AF309" s="55">
        <v>3.63</v>
      </c>
      <c r="AG309" s="55">
        <v>436</v>
      </c>
      <c r="AH309" s="55">
        <v>541.9</v>
      </c>
      <c r="AI309" s="55"/>
      <c r="AJ309" s="53">
        <v>248.8</v>
      </c>
      <c r="AK309" s="53">
        <v>1.66</v>
      </c>
      <c r="AL309" s="53">
        <f t="shared" si="92"/>
        <v>412.9</v>
      </c>
      <c r="AM309" s="50" t="s">
        <v>190</v>
      </c>
      <c r="AN309" s="56" t="s">
        <v>222</v>
      </c>
      <c r="AO309" s="57">
        <v>46790</v>
      </c>
      <c r="AP309" s="58" t="s">
        <v>1672</v>
      </c>
      <c r="AQ309" s="58" t="s">
        <v>1113</v>
      </c>
      <c r="AR309" s="58">
        <v>2042</v>
      </c>
      <c r="AS309" s="58" t="s">
        <v>1685</v>
      </c>
      <c r="AT309" s="64" t="s">
        <v>1674</v>
      </c>
      <c r="AU309" s="1"/>
      <c r="AV309" s="1"/>
      <c r="AW309" s="1"/>
      <c r="AX309" s="1"/>
      <c r="AY309" s="1"/>
      <c r="AZ309" s="1"/>
      <c r="BA309" s="1"/>
      <c r="BB309" s="1"/>
      <c r="BC309" s="1"/>
      <c r="BD309" s="1"/>
      <c r="BE309" s="1"/>
      <c r="BF309" s="1"/>
      <c r="BG309" s="1"/>
    </row>
    <row r="310" spans="1:59" ht="14.25" customHeight="1" x14ac:dyDescent="0.25">
      <c r="A310" s="1"/>
      <c r="B310" s="50"/>
      <c r="C310" s="50" t="s">
        <v>1686</v>
      </c>
      <c r="D310" s="50" t="s">
        <v>1687</v>
      </c>
      <c r="E310" s="50" t="str">
        <f t="shared" si="82"/>
        <v>PP0200370002001B</v>
      </c>
      <c r="F310" s="50" t="s">
        <v>1658</v>
      </c>
      <c r="G310" s="50" t="s">
        <v>173</v>
      </c>
      <c r="H310" s="50" t="s">
        <v>1659</v>
      </c>
      <c r="I310" s="50" t="s">
        <v>1688</v>
      </c>
      <c r="J310" s="50" t="s">
        <v>1689</v>
      </c>
      <c r="K310" s="50" t="s">
        <v>1662</v>
      </c>
      <c r="L310" s="50" t="s">
        <v>1690</v>
      </c>
      <c r="M310" s="50"/>
      <c r="N310" s="52"/>
      <c r="O310" s="50" t="s">
        <v>159</v>
      </c>
      <c r="P310" s="50">
        <v>243</v>
      </c>
      <c r="Q310" s="53">
        <v>151</v>
      </c>
      <c r="R310" s="53">
        <f t="shared" si="84"/>
        <v>394</v>
      </c>
      <c r="S310" s="54">
        <v>0.56999999999999995</v>
      </c>
      <c r="T310" s="54">
        <v>1.0900000000000001</v>
      </c>
      <c r="U310" s="54">
        <f t="shared" si="85"/>
        <v>1.6600000000000001</v>
      </c>
      <c r="V310" s="54">
        <v>16.600000000000001</v>
      </c>
      <c r="W310" s="52">
        <f t="shared" si="93"/>
        <v>4.8624999999999998</v>
      </c>
      <c r="X310" s="54">
        <f t="shared" si="86"/>
        <v>10</v>
      </c>
      <c r="Y310" s="50" t="str">
        <f t="shared" si="87"/>
        <v>è in grado</v>
      </c>
      <c r="Z310" s="50" t="str">
        <f t="shared" si="88"/>
        <v>non sottende</v>
      </c>
      <c r="AA310" s="106">
        <f t="shared" si="89"/>
        <v>3.4138817480719799</v>
      </c>
      <c r="AB310" s="50" t="str">
        <f t="shared" si="90"/>
        <v>A</v>
      </c>
      <c r="AC310" s="50" t="str">
        <f t="shared" si="83"/>
        <v>SI</v>
      </c>
      <c r="AD310" s="50" t="str">
        <f t="shared" si="91"/>
        <v>No</v>
      </c>
      <c r="AE310" s="50" t="s">
        <v>147</v>
      </c>
      <c r="AF310" s="55">
        <v>3.78</v>
      </c>
      <c r="AG310" s="55">
        <v>1303</v>
      </c>
      <c r="AH310" s="55">
        <v>91</v>
      </c>
      <c r="AI310" s="55" t="str">
        <f t="shared" ref="AI310:AI311" si="95">IF(AG310&gt;AH310, "Manufatto limitante", " ")</f>
        <v>Manufatto limitante</v>
      </c>
      <c r="AJ310" s="53">
        <v>9.44</v>
      </c>
      <c r="AK310" s="53">
        <f t="shared" ref="AK310:AK311" si="96">((MIN(AG310:AH310))-V310)/AJ310</f>
        <v>7.881355932203391</v>
      </c>
      <c r="AL310" s="53">
        <f t="shared" si="92"/>
        <v>74.400000000000006</v>
      </c>
      <c r="AM310" s="50" t="s">
        <v>147</v>
      </c>
      <c r="AN310" s="56" t="s">
        <v>236</v>
      </c>
      <c r="AO310" s="57">
        <v>45956</v>
      </c>
      <c r="AP310" s="58" t="s">
        <v>1664</v>
      </c>
      <c r="AQ310" s="58" t="s">
        <v>1113</v>
      </c>
      <c r="AR310" s="75">
        <v>52231</v>
      </c>
      <c r="AS310" s="58" t="s">
        <v>1691</v>
      </c>
      <c r="AT310" s="64"/>
      <c r="AU310" s="1"/>
      <c r="AV310" s="1"/>
      <c r="AW310" s="1"/>
      <c r="AX310" s="1"/>
      <c r="AY310" s="1"/>
      <c r="AZ310" s="1"/>
      <c r="BA310" s="1"/>
      <c r="BB310" s="1"/>
      <c r="BC310" s="1"/>
      <c r="BD310" s="1"/>
      <c r="BE310" s="1"/>
      <c r="BF310" s="1"/>
      <c r="BG310" s="1"/>
    </row>
    <row r="311" spans="1:59" ht="14.25" customHeight="1" x14ac:dyDescent="0.25">
      <c r="A311" s="1"/>
      <c r="B311" s="50"/>
      <c r="C311" s="50" t="s">
        <v>1692</v>
      </c>
      <c r="D311" s="50" t="s">
        <v>1693</v>
      </c>
      <c r="E311" s="50" t="str">
        <f t="shared" si="82"/>
        <v>PP0200370004001B</v>
      </c>
      <c r="F311" s="50" t="s">
        <v>1694</v>
      </c>
      <c r="G311" s="50" t="s">
        <v>173</v>
      </c>
      <c r="H311" s="50" t="s">
        <v>174</v>
      </c>
      <c r="I311" s="50" t="s">
        <v>1695</v>
      </c>
      <c r="J311" s="50" t="s">
        <v>1696</v>
      </c>
      <c r="K311" s="50" t="s">
        <v>1678</v>
      </c>
      <c r="L311" s="50" t="s">
        <v>1697</v>
      </c>
      <c r="M311" s="50"/>
      <c r="N311" s="52"/>
      <c r="O311" s="50" t="s">
        <v>159</v>
      </c>
      <c r="P311" s="50">
        <v>25</v>
      </c>
      <c r="Q311" s="53">
        <v>0</v>
      </c>
      <c r="R311" s="53">
        <f t="shared" si="84"/>
        <v>25</v>
      </c>
      <c r="S311" s="54">
        <v>0.06</v>
      </c>
      <c r="T311" s="54">
        <v>0</v>
      </c>
      <c r="U311" s="54">
        <f t="shared" si="85"/>
        <v>0.06</v>
      </c>
      <c r="V311" s="54">
        <v>6</v>
      </c>
      <c r="W311" s="52">
        <f t="shared" si="93"/>
        <v>0.2170138888888889</v>
      </c>
      <c r="X311" s="54">
        <f t="shared" si="86"/>
        <v>100</v>
      </c>
      <c r="Y311" s="50" t="str">
        <f t="shared" si="87"/>
        <v>è in grado</v>
      </c>
      <c r="Z311" s="50" t="str">
        <f t="shared" si="88"/>
        <v>non sottende</v>
      </c>
      <c r="AA311" s="106">
        <f t="shared" si="89"/>
        <v>27.648</v>
      </c>
      <c r="AB311" s="50" t="str">
        <f t="shared" si="90"/>
        <v>A</v>
      </c>
      <c r="AC311" s="50" t="str">
        <f t="shared" si="83"/>
        <v>SI</v>
      </c>
      <c r="AD311" s="50" t="str">
        <f t="shared" si="91"/>
        <v>No</v>
      </c>
      <c r="AE311" s="50" t="s">
        <v>147</v>
      </c>
      <c r="AF311" s="55">
        <v>0.61</v>
      </c>
      <c r="AG311" s="55">
        <v>90</v>
      </c>
      <c r="AH311" s="55">
        <v>298</v>
      </c>
      <c r="AI311" s="55" t="str">
        <f t="shared" si="95"/>
        <v xml:space="preserve"> </v>
      </c>
      <c r="AJ311" s="53">
        <v>274.7</v>
      </c>
      <c r="AK311" s="53">
        <f t="shared" si="96"/>
        <v>0.30578813250819076</v>
      </c>
      <c r="AL311" s="53">
        <f t="shared" si="92"/>
        <v>84</v>
      </c>
      <c r="AM311" s="50" t="s">
        <v>190</v>
      </c>
      <c r="AN311" s="56" t="s">
        <v>222</v>
      </c>
      <c r="AO311" s="57">
        <v>46775</v>
      </c>
      <c r="AP311" s="58" t="s">
        <v>1698</v>
      </c>
      <c r="AQ311" s="58" t="s">
        <v>1113</v>
      </c>
      <c r="AR311" s="58">
        <v>2024</v>
      </c>
      <c r="AS311" s="58" t="s">
        <v>1699</v>
      </c>
      <c r="AT311" s="64"/>
      <c r="AU311" s="69"/>
      <c r="AV311" s="69"/>
      <c r="AW311" s="69"/>
      <c r="AX311" s="69"/>
      <c r="AY311" s="69"/>
      <c r="AZ311" s="69"/>
      <c r="BA311" s="69"/>
      <c r="BB311" s="69"/>
      <c r="BC311" s="69"/>
      <c r="BD311" s="69"/>
      <c r="BE311" s="69"/>
      <c r="BF311" s="1"/>
      <c r="BG311" s="1"/>
    </row>
    <row r="312" spans="1:59" ht="14.25" customHeight="1" x14ac:dyDescent="0.25">
      <c r="A312" s="1"/>
      <c r="B312" s="133"/>
      <c r="C312" s="70" t="s">
        <v>1700</v>
      </c>
      <c r="D312" s="50"/>
      <c r="E312" s="50" t="str">
        <f t="shared" si="82"/>
        <v>001B</v>
      </c>
      <c r="F312" s="70" t="s">
        <v>398</v>
      </c>
      <c r="G312" s="70" t="s">
        <v>173</v>
      </c>
      <c r="H312" s="70" t="s">
        <v>95</v>
      </c>
      <c r="I312" s="70" t="s">
        <v>1701</v>
      </c>
      <c r="J312" s="50" t="s">
        <v>1702</v>
      </c>
      <c r="K312" s="70" t="s">
        <v>1670</v>
      </c>
      <c r="L312" s="70" t="s">
        <v>1703</v>
      </c>
      <c r="M312" s="122" t="s">
        <v>221</v>
      </c>
      <c r="N312" s="72"/>
      <c r="O312" s="70" t="s">
        <v>151</v>
      </c>
      <c r="P312" s="70">
        <v>30</v>
      </c>
      <c r="Q312" s="73">
        <v>0</v>
      </c>
      <c r="R312" s="73">
        <f t="shared" si="84"/>
        <v>30</v>
      </c>
      <c r="S312" s="134">
        <f>P312*254*0.8/86400</f>
        <v>7.0555555555555552E-2</v>
      </c>
      <c r="T312" s="74">
        <v>0</v>
      </c>
      <c r="U312" s="74">
        <f t="shared" si="85"/>
        <v>7.0555555555555552E-2</v>
      </c>
      <c r="V312" s="74">
        <v>26.63</v>
      </c>
      <c r="W312" s="52">
        <f t="shared" si="93"/>
        <v>0.26041666666666669</v>
      </c>
      <c r="X312" s="74">
        <f t="shared" si="86"/>
        <v>377.43307086614175</v>
      </c>
      <c r="Y312" s="70" t="str">
        <f t="shared" si="87"/>
        <v>è in grado</v>
      </c>
      <c r="Z312" s="70" t="str">
        <f t="shared" si="88"/>
        <v>non sottende</v>
      </c>
      <c r="AA312" s="112">
        <f t="shared" si="89"/>
        <v>102.25919999999999</v>
      </c>
      <c r="AB312" s="70" t="str">
        <f t="shared" si="90"/>
        <v>A</v>
      </c>
      <c r="AC312" s="50" t="str">
        <f t="shared" si="83"/>
        <v>SI</v>
      </c>
      <c r="AD312" s="70" t="str">
        <f t="shared" si="91"/>
        <v>Si</v>
      </c>
      <c r="AE312" s="70" t="s">
        <v>147</v>
      </c>
      <c r="AF312" s="71">
        <v>0.5</v>
      </c>
      <c r="AG312" s="71">
        <v>68.8</v>
      </c>
      <c r="AH312" s="71">
        <v>3425</v>
      </c>
      <c r="AI312" s="55"/>
      <c r="AJ312" s="73">
        <v>255.5</v>
      </c>
      <c r="AK312" s="53">
        <v>0.25</v>
      </c>
      <c r="AL312" s="53">
        <f t="shared" si="92"/>
        <v>42.17</v>
      </c>
      <c r="AM312" s="70" t="s">
        <v>190</v>
      </c>
      <c r="AN312" s="56" t="s">
        <v>222</v>
      </c>
      <c r="AO312" s="129"/>
      <c r="AP312" s="107" t="s">
        <v>223</v>
      </c>
      <c r="AQ312" s="58" t="s">
        <v>224</v>
      </c>
      <c r="AR312" s="58" t="s">
        <v>225</v>
      </c>
      <c r="AS312" s="58" t="s">
        <v>92</v>
      </c>
      <c r="AT312" s="64"/>
      <c r="AU312" s="1"/>
      <c r="AV312" s="1"/>
      <c r="AW312" s="1"/>
      <c r="AX312" s="1"/>
      <c r="AY312" s="1"/>
      <c r="AZ312" s="1"/>
      <c r="BA312" s="1"/>
      <c r="BB312" s="1"/>
      <c r="BC312" s="1"/>
      <c r="BD312" s="1"/>
      <c r="BE312" s="1"/>
      <c r="BF312" s="1"/>
      <c r="BG312" s="1"/>
    </row>
    <row r="313" spans="1:59" ht="14.25" customHeight="1" x14ac:dyDescent="0.25">
      <c r="A313" s="1"/>
      <c r="B313" s="50"/>
      <c r="C313" s="50" t="s">
        <v>1704</v>
      </c>
      <c r="D313" s="50" t="s">
        <v>1705</v>
      </c>
      <c r="E313" s="50" t="str">
        <f t="shared" si="82"/>
        <v>PP0200370006001B</v>
      </c>
      <c r="F313" s="50"/>
      <c r="G313" s="50" t="s">
        <v>173</v>
      </c>
      <c r="H313" s="50" t="s">
        <v>174</v>
      </c>
      <c r="I313" s="50" t="s">
        <v>1706</v>
      </c>
      <c r="J313" s="50" t="s">
        <v>1707</v>
      </c>
      <c r="K313" s="50" t="s">
        <v>1678</v>
      </c>
      <c r="L313" s="50" t="s">
        <v>1708</v>
      </c>
      <c r="M313" s="50"/>
      <c r="N313" s="52"/>
      <c r="O313" s="50" t="s">
        <v>151</v>
      </c>
      <c r="P313" s="50">
        <v>427</v>
      </c>
      <c r="Q313" s="135">
        <v>0</v>
      </c>
      <c r="R313" s="135">
        <f t="shared" si="84"/>
        <v>427</v>
      </c>
      <c r="S313" s="136">
        <v>1</v>
      </c>
      <c r="T313" s="136">
        <v>0</v>
      </c>
      <c r="U313" s="136">
        <f t="shared" si="85"/>
        <v>1</v>
      </c>
      <c r="V313" s="136">
        <v>20.68</v>
      </c>
      <c r="W313" s="137">
        <f t="shared" si="93"/>
        <v>3.7065972222222223</v>
      </c>
      <c r="X313" s="136">
        <f t="shared" si="86"/>
        <v>20.68</v>
      </c>
      <c r="Y313" s="50" t="str">
        <f t="shared" si="87"/>
        <v>è in grado</v>
      </c>
      <c r="Z313" s="50" t="str">
        <f t="shared" si="88"/>
        <v>non sottende</v>
      </c>
      <c r="AA313" s="138">
        <f t="shared" si="89"/>
        <v>5.5792412177985948</v>
      </c>
      <c r="AB313" s="128" t="str">
        <f t="shared" si="90"/>
        <v>A</v>
      </c>
      <c r="AC313" s="128" t="str">
        <f t="shared" si="83"/>
        <v>SI</v>
      </c>
      <c r="AD313" s="128" t="str">
        <f t="shared" si="91"/>
        <v>Si</v>
      </c>
      <c r="AE313" s="128" t="s">
        <v>147</v>
      </c>
      <c r="AF313" s="139">
        <v>10.3</v>
      </c>
      <c r="AG313" s="139">
        <v>1045</v>
      </c>
      <c r="AH313" s="139">
        <v>2802</v>
      </c>
      <c r="AI313" s="139" t="str">
        <f t="shared" ref="AI313:AI340" si="97">IF(AG313&gt;AH313, "Manufatto limitante", " ")</f>
        <v xml:space="preserve"> </v>
      </c>
      <c r="AJ313" s="135">
        <v>204.9</v>
      </c>
      <c r="AK313" s="135">
        <f t="shared" ref="AK313:AK340" si="98">((MIN(AG313:AH313))-V313)/AJ313</f>
        <v>4.9991215226939962</v>
      </c>
      <c r="AL313" s="135">
        <f t="shared" si="92"/>
        <v>1024.32</v>
      </c>
      <c r="AM313" s="50" t="s">
        <v>190</v>
      </c>
      <c r="AN313" s="56" t="s">
        <v>222</v>
      </c>
      <c r="AO313" s="57">
        <v>46775</v>
      </c>
      <c r="AP313" s="58" t="s">
        <v>1698</v>
      </c>
      <c r="AQ313" s="58" t="s">
        <v>1113</v>
      </c>
      <c r="AR313" s="58">
        <v>2042</v>
      </c>
      <c r="AS313" s="64" t="s">
        <v>1709</v>
      </c>
      <c r="AT313" s="64" t="s">
        <v>1710</v>
      </c>
      <c r="AU313" s="1"/>
      <c r="AV313" s="1"/>
      <c r="AW313" s="1"/>
      <c r="AX313" s="1"/>
      <c r="AY313" s="1"/>
      <c r="AZ313" s="1"/>
      <c r="BA313" s="1"/>
      <c r="BB313" s="1"/>
      <c r="BC313" s="1"/>
      <c r="BD313" s="1"/>
      <c r="BE313" s="1"/>
      <c r="BF313" s="1"/>
      <c r="BG313" s="1"/>
    </row>
    <row r="314" spans="1:59" ht="14.25" customHeight="1" x14ac:dyDescent="0.25">
      <c r="A314" s="1"/>
      <c r="B314" s="9"/>
      <c r="C314" s="50" t="s">
        <v>1711</v>
      </c>
      <c r="D314" s="50" t="s">
        <v>1712</v>
      </c>
      <c r="E314" s="50" t="str">
        <f t="shared" si="82"/>
        <v>PP0200380001001B</v>
      </c>
      <c r="F314" s="50"/>
      <c r="G314" s="50" t="s">
        <v>1713</v>
      </c>
      <c r="H314" s="50" t="s">
        <v>95</v>
      </c>
      <c r="I314" s="50" t="s">
        <v>1714</v>
      </c>
      <c r="J314" s="50" t="s">
        <v>1715</v>
      </c>
      <c r="K314" s="50" t="s">
        <v>1716</v>
      </c>
      <c r="L314" s="50" t="s">
        <v>1717</v>
      </c>
      <c r="M314" s="50"/>
      <c r="N314" s="52"/>
      <c r="O314" s="50" t="s">
        <v>151</v>
      </c>
      <c r="P314" s="108">
        <v>2180</v>
      </c>
      <c r="Q314" s="140">
        <v>2</v>
      </c>
      <c r="R314" s="140">
        <f t="shared" si="84"/>
        <v>2182</v>
      </c>
      <c r="S314" s="54">
        <v>5.13</v>
      </c>
      <c r="T314" s="141">
        <v>0.05</v>
      </c>
      <c r="U314" s="141">
        <f t="shared" si="85"/>
        <v>5.18</v>
      </c>
      <c r="V314" s="140">
        <v>100</v>
      </c>
      <c r="W314" s="140">
        <f t="shared" si="93"/>
        <v>18.940972222222221</v>
      </c>
      <c r="X314" s="140">
        <f t="shared" si="86"/>
        <v>19.305019305019307</v>
      </c>
      <c r="Y314" s="110" t="str">
        <f t="shared" si="87"/>
        <v>è in grado</v>
      </c>
      <c r="Z314" s="108" t="str">
        <f t="shared" si="88"/>
        <v>non sottende</v>
      </c>
      <c r="AA314" s="140">
        <f t="shared" si="89"/>
        <v>5.2795600366636117</v>
      </c>
      <c r="AB314" s="50" t="str">
        <f t="shared" si="90"/>
        <v>A</v>
      </c>
      <c r="AC314" s="50" t="str">
        <f t="shared" si="83"/>
        <v>SI</v>
      </c>
      <c r="AD314" s="50" t="str">
        <f t="shared" si="91"/>
        <v>Si</v>
      </c>
      <c r="AE314" s="50" t="s">
        <v>147</v>
      </c>
      <c r="AF314" s="55">
        <v>31.01</v>
      </c>
      <c r="AG314" s="142">
        <v>2455</v>
      </c>
      <c r="AH314" s="55">
        <v>6162</v>
      </c>
      <c r="AI314" s="55" t="str">
        <f t="shared" si="97"/>
        <v xml:space="preserve"> </v>
      </c>
      <c r="AJ314" s="53">
        <v>35.94</v>
      </c>
      <c r="AK314" s="53">
        <f t="shared" si="98"/>
        <v>65.525876460767947</v>
      </c>
      <c r="AL314" s="142">
        <v>550.66999999999996</v>
      </c>
      <c r="AM314" s="110" t="s">
        <v>147</v>
      </c>
      <c r="AN314" s="56" t="s">
        <v>222</v>
      </c>
      <c r="AO314" s="57">
        <v>46215</v>
      </c>
      <c r="AP314" s="58" t="s">
        <v>1718</v>
      </c>
      <c r="AQ314" s="58" t="s">
        <v>255</v>
      </c>
      <c r="AR314" s="58" t="s">
        <v>225</v>
      </c>
      <c r="AS314" s="58"/>
      <c r="AT314" s="64"/>
      <c r="AU314" s="1"/>
      <c r="AV314" s="1"/>
      <c r="AW314" s="1"/>
      <c r="AX314" s="1"/>
      <c r="AY314" s="1"/>
      <c r="AZ314" s="1"/>
      <c r="BA314" s="1"/>
      <c r="BB314" s="1"/>
      <c r="BC314" s="1"/>
      <c r="BD314" s="1"/>
      <c r="BE314" s="1"/>
      <c r="BF314" s="1"/>
      <c r="BG314" s="1"/>
    </row>
    <row r="315" spans="1:59" ht="14.25" customHeight="1" x14ac:dyDescent="0.25">
      <c r="A315" s="1"/>
      <c r="B315" s="50"/>
      <c r="C315" s="50" t="s">
        <v>1719</v>
      </c>
      <c r="D315" s="50"/>
      <c r="E315" s="50" t="str">
        <f t="shared" si="82"/>
        <v>001B</v>
      </c>
      <c r="F315" s="50"/>
      <c r="G315" s="50" t="s">
        <v>1713</v>
      </c>
      <c r="H315" s="50" t="s">
        <v>1720</v>
      </c>
      <c r="I315" s="50" t="s">
        <v>1721</v>
      </c>
      <c r="J315" s="50" t="s">
        <v>1722</v>
      </c>
      <c r="K315" s="50" t="s">
        <v>1723</v>
      </c>
      <c r="L315" s="50" t="s">
        <v>1724</v>
      </c>
      <c r="M315" s="50"/>
      <c r="N315" s="52"/>
      <c r="O315" s="50" t="s">
        <v>151</v>
      </c>
      <c r="P315" s="50">
        <v>122</v>
      </c>
      <c r="Q315" s="73">
        <v>0</v>
      </c>
      <c r="R315" s="73">
        <f t="shared" si="84"/>
        <v>122</v>
      </c>
      <c r="S315" s="74">
        <v>0.28999999999999998</v>
      </c>
      <c r="T315" s="74">
        <v>0</v>
      </c>
      <c r="U315" s="74">
        <f t="shared" si="85"/>
        <v>0.28999999999999998</v>
      </c>
      <c r="V315" s="74">
        <v>251.8</v>
      </c>
      <c r="W315" s="72">
        <f t="shared" si="93"/>
        <v>1.0590277777777777</v>
      </c>
      <c r="X315" s="74">
        <f t="shared" si="86"/>
        <v>868.27586206896558</v>
      </c>
      <c r="Y315" s="50" t="str">
        <f t="shared" si="87"/>
        <v>è in grado</v>
      </c>
      <c r="Z315" s="50" t="str">
        <f t="shared" si="88"/>
        <v>non sottende</v>
      </c>
      <c r="AA315" s="112">
        <f t="shared" si="89"/>
        <v>237.76524590163939</v>
      </c>
      <c r="AB315" s="70" t="str">
        <f t="shared" si="90"/>
        <v>A</v>
      </c>
      <c r="AC315" s="70" t="str">
        <f t="shared" si="83"/>
        <v>SI</v>
      </c>
      <c r="AD315" s="70" t="str">
        <f t="shared" si="91"/>
        <v>Si</v>
      </c>
      <c r="AE315" s="70" t="s">
        <v>490</v>
      </c>
      <c r="AF315" s="71">
        <v>4.18</v>
      </c>
      <c r="AG315" s="71">
        <v>371</v>
      </c>
      <c r="AH315" s="71">
        <v>807</v>
      </c>
      <c r="AI315" s="71" t="str">
        <f t="shared" si="97"/>
        <v xml:space="preserve"> </v>
      </c>
      <c r="AJ315" s="73">
        <v>70.48</v>
      </c>
      <c r="AK315" s="73">
        <f t="shared" si="98"/>
        <v>1.691259931895573</v>
      </c>
      <c r="AL315" s="73">
        <f t="shared" ref="AL315:AL488" si="99">MIN(AG315:AH315)-V315</f>
        <v>119.19999999999999</v>
      </c>
      <c r="AM315" s="50" t="s">
        <v>190</v>
      </c>
      <c r="AN315" s="56" t="s">
        <v>222</v>
      </c>
      <c r="AO315" s="57">
        <v>44807</v>
      </c>
      <c r="AP315" s="58" t="s">
        <v>1725</v>
      </c>
      <c r="AQ315" s="58" t="s">
        <v>238</v>
      </c>
      <c r="AR315" s="58"/>
      <c r="AS315" s="58"/>
      <c r="AT315" s="64" t="s">
        <v>1726</v>
      </c>
      <c r="AU315" s="1"/>
      <c r="AV315" s="1"/>
      <c r="AW315" s="1"/>
      <c r="AX315" s="1"/>
      <c r="AY315" s="1"/>
      <c r="AZ315" s="1"/>
      <c r="BA315" s="1"/>
      <c r="BB315" s="1"/>
      <c r="BC315" s="1"/>
      <c r="BD315" s="1"/>
      <c r="BE315" s="1"/>
      <c r="BF315" s="1"/>
      <c r="BG315" s="1"/>
    </row>
    <row r="316" spans="1:59" ht="14.25" customHeight="1" x14ac:dyDescent="0.25">
      <c r="A316" s="1"/>
      <c r="B316" s="50"/>
      <c r="C316" s="50" t="s">
        <v>1727</v>
      </c>
      <c r="D316" s="50"/>
      <c r="E316" s="50" t="str">
        <f t="shared" si="82"/>
        <v>001B</v>
      </c>
      <c r="F316" s="50"/>
      <c r="G316" s="50" t="s">
        <v>1713</v>
      </c>
      <c r="H316" s="50" t="s">
        <v>1720</v>
      </c>
      <c r="I316" s="50" t="s">
        <v>1728</v>
      </c>
      <c r="J316" s="50" t="s">
        <v>1729</v>
      </c>
      <c r="K316" s="50" t="s">
        <v>1723</v>
      </c>
      <c r="L316" s="50" t="s">
        <v>1724</v>
      </c>
      <c r="M316" s="50"/>
      <c r="N316" s="52"/>
      <c r="O316" s="50" t="s">
        <v>118</v>
      </c>
      <c r="P316" s="50">
        <v>931</v>
      </c>
      <c r="Q316" s="135">
        <v>0</v>
      </c>
      <c r="R316" s="135">
        <f t="shared" si="84"/>
        <v>931</v>
      </c>
      <c r="S316" s="136">
        <v>2.19</v>
      </c>
      <c r="T316" s="136">
        <v>0</v>
      </c>
      <c r="U316" s="136">
        <f t="shared" si="85"/>
        <v>2.19</v>
      </c>
      <c r="V316" s="136">
        <v>10</v>
      </c>
      <c r="W316" s="137">
        <f t="shared" si="93"/>
        <v>8.0815972222222214</v>
      </c>
      <c r="X316" s="136">
        <f t="shared" si="86"/>
        <v>4.5662100456621006</v>
      </c>
      <c r="Y316" s="50" t="str">
        <f t="shared" si="87"/>
        <v>è in grado</v>
      </c>
      <c r="Z316" s="50" t="str">
        <f t="shared" si="88"/>
        <v>non sottende</v>
      </c>
      <c r="AA316" s="138">
        <f t="shared" si="89"/>
        <v>1.2373791621911925</v>
      </c>
      <c r="AB316" s="128" t="str">
        <f t="shared" si="90"/>
        <v>B</v>
      </c>
      <c r="AC316" s="128" t="str">
        <f t="shared" si="83"/>
        <v>SI</v>
      </c>
      <c r="AD316" s="128" t="str">
        <f t="shared" si="91"/>
        <v>No</v>
      </c>
      <c r="AE316" s="128" t="s">
        <v>343</v>
      </c>
      <c r="AF316" s="139">
        <v>30.31</v>
      </c>
      <c r="AG316" s="139">
        <v>2368</v>
      </c>
      <c r="AH316" s="139">
        <v>2887</v>
      </c>
      <c r="AI316" s="139" t="str">
        <f t="shared" si="97"/>
        <v xml:space="preserve"> </v>
      </c>
      <c r="AJ316" s="135">
        <v>180.5</v>
      </c>
      <c r="AK316" s="135">
        <f t="shared" si="98"/>
        <v>13.063711911357341</v>
      </c>
      <c r="AL316" s="135">
        <f t="shared" si="99"/>
        <v>2358</v>
      </c>
      <c r="AM316" s="50" t="s">
        <v>190</v>
      </c>
      <c r="AN316" s="56" t="s">
        <v>236</v>
      </c>
      <c r="AO316" s="66">
        <v>2020</v>
      </c>
      <c r="AP316" s="58" t="s">
        <v>1730</v>
      </c>
      <c r="AQ316" s="58" t="s">
        <v>238</v>
      </c>
      <c r="AR316" s="58"/>
      <c r="AS316" s="58"/>
      <c r="AT316" s="64" t="s">
        <v>1731</v>
      </c>
      <c r="AU316" s="1"/>
      <c r="AV316" s="1"/>
      <c r="AW316" s="1"/>
      <c r="AX316" s="1"/>
      <c r="AY316" s="1"/>
      <c r="AZ316" s="1"/>
      <c r="BA316" s="1"/>
      <c r="BB316" s="1"/>
      <c r="BC316" s="1"/>
      <c r="BD316" s="1"/>
      <c r="BE316" s="1"/>
      <c r="BF316" s="1"/>
      <c r="BG316" s="1"/>
    </row>
    <row r="317" spans="1:59" ht="14.25" customHeight="1" x14ac:dyDescent="0.25">
      <c r="A317" s="1"/>
      <c r="B317" s="9"/>
      <c r="C317" s="50" t="s">
        <v>1732</v>
      </c>
      <c r="D317" s="50" t="s">
        <v>1733</v>
      </c>
      <c r="E317" s="50" t="str">
        <f t="shared" si="82"/>
        <v>PP0200380005001B</v>
      </c>
      <c r="F317" s="50"/>
      <c r="G317" s="50" t="s">
        <v>1713</v>
      </c>
      <c r="H317" s="50" t="s">
        <v>95</v>
      </c>
      <c r="I317" s="50" t="s">
        <v>1734</v>
      </c>
      <c r="J317" s="50" t="s">
        <v>1735</v>
      </c>
      <c r="K317" s="50" t="s">
        <v>1716</v>
      </c>
      <c r="L317" s="50" t="s">
        <v>1736</v>
      </c>
      <c r="M317" s="50"/>
      <c r="N317" s="52"/>
      <c r="O317" s="50" t="s">
        <v>151</v>
      </c>
      <c r="P317" s="108">
        <v>18</v>
      </c>
      <c r="Q317" s="140">
        <v>2</v>
      </c>
      <c r="R317" s="140">
        <f t="shared" si="84"/>
        <v>20</v>
      </c>
      <c r="S317" s="54">
        <v>0.04</v>
      </c>
      <c r="T317" s="141">
        <v>0.04</v>
      </c>
      <c r="U317" s="141">
        <f t="shared" si="85"/>
        <v>0.08</v>
      </c>
      <c r="V317" s="54">
        <v>38.68</v>
      </c>
      <c r="W317" s="141">
        <f t="shared" si="93"/>
        <v>0.2</v>
      </c>
      <c r="X317" s="141">
        <f t="shared" si="86"/>
        <v>483.5</v>
      </c>
      <c r="Y317" s="110" t="str">
        <f t="shared" si="87"/>
        <v>è in grado</v>
      </c>
      <c r="Z317" s="108" t="str">
        <f t="shared" si="88"/>
        <v>non sottende</v>
      </c>
      <c r="AA317" s="141">
        <f t="shared" si="89"/>
        <v>193.39999999999998</v>
      </c>
      <c r="AB317" s="50" t="str">
        <f t="shared" si="90"/>
        <v>A</v>
      </c>
      <c r="AC317" s="50" t="str">
        <f t="shared" si="83"/>
        <v>SI</v>
      </c>
      <c r="AD317" s="50" t="str">
        <f t="shared" si="91"/>
        <v>Si</v>
      </c>
      <c r="AE317" s="50" t="s">
        <v>147</v>
      </c>
      <c r="AF317" s="55">
        <v>27.47</v>
      </c>
      <c r="AG317" s="142">
        <v>3314</v>
      </c>
      <c r="AH317" s="55">
        <v>1631</v>
      </c>
      <c r="AI317" s="55" t="str">
        <f t="shared" si="97"/>
        <v>Manufatto limitante</v>
      </c>
      <c r="AJ317" s="53">
        <v>80.61</v>
      </c>
      <c r="AK317" s="53">
        <f t="shared" si="98"/>
        <v>19.753380473886615</v>
      </c>
      <c r="AL317" s="53">
        <f t="shared" si="99"/>
        <v>1592.32</v>
      </c>
      <c r="AM317" s="110" t="s">
        <v>190</v>
      </c>
      <c r="AN317" s="56" t="s">
        <v>222</v>
      </c>
      <c r="AO317" s="57">
        <v>46215</v>
      </c>
      <c r="AP317" s="58" t="s">
        <v>1718</v>
      </c>
      <c r="AQ317" s="58" t="s">
        <v>313</v>
      </c>
      <c r="AR317" s="58" t="s">
        <v>544</v>
      </c>
      <c r="AS317" s="58"/>
      <c r="AT317" s="64"/>
      <c r="AU317" s="1"/>
      <c r="AV317" s="1"/>
      <c r="AW317" s="1"/>
      <c r="AX317" s="1"/>
      <c r="AY317" s="1"/>
      <c r="AZ317" s="1"/>
      <c r="BA317" s="1"/>
      <c r="BB317" s="1"/>
      <c r="BC317" s="1"/>
      <c r="BD317" s="1"/>
      <c r="BE317" s="1"/>
      <c r="BF317" s="1"/>
      <c r="BG317" s="1"/>
    </row>
    <row r="318" spans="1:59" ht="14.25" customHeight="1" x14ac:dyDescent="0.25">
      <c r="A318" s="1"/>
      <c r="B318" s="9"/>
      <c r="C318" s="50" t="s">
        <v>1737</v>
      </c>
      <c r="D318" s="50" t="s">
        <v>1738</v>
      </c>
      <c r="E318" s="50" t="str">
        <f t="shared" si="82"/>
        <v>PP0200380003001B</v>
      </c>
      <c r="F318" s="50"/>
      <c r="G318" s="50" t="s">
        <v>1713</v>
      </c>
      <c r="H318" s="50" t="s">
        <v>95</v>
      </c>
      <c r="I318" s="50" t="s">
        <v>1739</v>
      </c>
      <c r="J318" s="50" t="s">
        <v>1740</v>
      </c>
      <c r="K318" s="50" t="s">
        <v>1716</v>
      </c>
      <c r="L318" s="50" t="s">
        <v>1741</v>
      </c>
      <c r="M318" s="50"/>
      <c r="N318" s="52"/>
      <c r="O318" s="50" t="s">
        <v>118</v>
      </c>
      <c r="P318" s="108">
        <v>6032</v>
      </c>
      <c r="Q318" s="140">
        <v>38</v>
      </c>
      <c r="R318" s="140">
        <f t="shared" si="84"/>
        <v>6070</v>
      </c>
      <c r="S318" s="54">
        <v>14.19</v>
      </c>
      <c r="T318" s="141">
        <v>0.59</v>
      </c>
      <c r="U318" s="141">
        <f t="shared" si="85"/>
        <v>14.78</v>
      </c>
      <c r="V318" s="141">
        <v>80.5</v>
      </c>
      <c r="W318" s="141">
        <f t="shared" si="93"/>
        <v>52.690972222222221</v>
      </c>
      <c r="X318" s="141">
        <f t="shared" si="86"/>
        <v>5.4465493910690128</v>
      </c>
      <c r="Y318" s="110" t="str">
        <f t="shared" si="87"/>
        <v>è in grado</v>
      </c>
      <c r="Z318" s="108" t="str">
        <f t="shared" si="88"/>
        <v>non sottende</v>
      </c>
      <c r="AA318" s="141">
        <f t="shared" si="89"/>
        <v>1.5277759472817134</v>
      </c>
      <c r="AB318" s="50" t="str">
        <f t="shared" si="90"/>
        <v>B</v>
      </c>
      <c r="AC318" s="50" t="str">
        <f t="shared" si="83"/>
        <v>SI</v>
      </c>
      <c r="AD318" s="50" t="str">
        <f t="shared" si="91"/>
        <v>Si</v>
      </c>
      <c r="AE318" s="50" t="s">
        <v>343</v>
      </c>
      <c r="AF318" s="55">
        <v>64.73</v>
      </c>
      <c r="AG318" s="142">
        <v>4416</v>
      </c>
      <c r="AH318" s="55">
        <v>8990</v>
      </c>
      <c r="AI318" s="55" t="str">
        <f t="shared" si="97"/>
        <v xml:space="preserve"> </v>
      </c>
      <c r="AJ318" s="140">
        <v>129.08000000000001</v>
      </c>
      <c r="AK318" s="53">
        <f t="shared" si="98"/>
        <v>33.587697551905791</v>
      </c>
      <c r="AL318" s="140">
        <f t="shared" si="99"/>
        <v>4335.5</v>
      </c>
      <c r="AM318" s="110" t="s">
        <v>190</v>
      </c>
      <c r="AN318" s="56" t="s">
        <v>236</v>
      </c>
      <c r="AO318" s="57">
        <v>46215</v>
      </c>
      <c r="AP318" s="58" t="s">
        <v>1718</v>
      </c>
      <c r="AQ318" s="58" t="s">
        <v>313</v>
      </c>
      <c r="AR318" s="58" t="s">
        <v>544</v>
      </c>
      <c r="AS318" s="58"/>
      <c r="AT318" s="64"/>
      <c r="AU318" s="1"/>
      <c r="AV318" s="1"/>
      <c r="AW318" s="1"/>
      <c r="AX318" s="1"/>
      <c r="AY318" s="1"/>
      <c r="AZ318" s="1"/>
      <c r="BA318" s="1"/>
      <c r="BB318" s="1"/>
      <c r="BC318" s="1"/>
      <c r="BD318" s="1"/>
      <c r="BE318" s="1"/>
      <c r="BF318" s="1"/>
      <c r="BG318" s="1"/>
    </row>
    <row r="319" spans="1:59" ht="14.25" customHeight="1" x14ac:dyDescent="0.25">
      <c r="A319" s="1"/>
      <c r="B319" s="9"/>
      <c r="C319" s="50" t="s">
        <v>1742</v>
      </c>
      <c r="D319" s="50" t="s">
        <v>1743</v>
      </c>
      <c r="E319" s="50" t="str">
        <f t="shared" si="82"/>
        <v>PP0200380006001B</v>
      </c>
      <c r="F319" s="50"/>
      <c r="G319" s="50" t="s">
        <v>1713</v>
      </c>
      <c r="H319" s="50" t="s">
        <v>95</v>
      </c>
      <c r="I319" s="50" t="s">
        <v>1744</v>
      </c>
      <c r="J319" s="50" t="s">
        <v>1745</v>
      </c>
      <c r="K319" s="50" t="s">
        <v>1716</v>
      </c>
      <c r="L319" s="50" t="s">
        <v>1746</v>
      </c>
      <c r="M319" s="50"/>
      <c r="N319" s="52"/>
      <c r="O319" s="50" t="s">
        <v>151</v>
      </c>
      <c r="P319" s="108">
        <v>1555</v>
      </c>
      <c r="Q319" s="140">
        <v>34</v>
      </c>
      <c r="R319" s="140">
        <f t="shared" si="84"/>
        <v>1589</v>
      </c>
      <c r="S319" s="54">
        <v>3.66</v>
      </c>
      <c r="T319" s="141">
        <v>0.51</v>
      </c>
      <c r="U319" s="141">
        <f t="shared" si="85"/>
        <v>4.17</v>
      </c>
      <c r="V319" s="54">
        <v>380.12</v>
      </c>
      <c r="W319" s="141">
        <f t="shared" si="93"/>
        <v>13.793402777777779</v>
      </c>
      <c r="X319" s="141">
        <f t="shared" si="86"/>
        <v>91.155875299760197</v>
      </c>
      <c r="Y319" s="110" t="str">
        <f t="shared" si="87"/>
        <v>è in grado</v>
      </c>
      <c r="Z319" s="108" t="str">
        <f t="shared" si="88"/>
        <v>non sottende</v>
      </c>
      <c r="AA319" s="141">
        <f t="shared" si="89"/>
        <v>27.558101950912523</v>
      </c>
      <c r="AB319" s="50" t="str">
        <f t="shared" si="90"/>
        <v>A</v>
      </c>
      <c r="AC319" s="50" t="str">
        <f t="shared" si="83"/>
        <v>SI</v>
      </c>
      <c r="AD319" s="50" t="str">
        <f t="shared" si="91"/>
        <v>Si</v>
      </c>
      <c r="AE319" s="50" t="s">
        <v>147</v>
      </c>
      <c r="AF319" s="55">
        <v>64.989999999999995</v>
      </c>
      <c r="AG319" s="55">
        <v>5044</v>
      </c>
      <c r="AH319" s="55">
        <v>4860</v>
      </c>
      <c r="AI319" s="55" t="str">
        <f t="shared" si="97"/>
        <v>Manufatto limitante</v>
      </c>
      <c r="AJ319" s="53">
        <v>123.87</v>
      </c>
      <c r="AK319" s="53">
        <f t="shared" si="98"/>
        <v>36.165980463389033</v>
      </c>
      <c r="AL319" s="53">
        <f t="shared" si="99"/>
        <v>4479.88</v>
      </c>
      <c r="AM319" s="110" t="s">
        <v>190</v>
      </c>
      <c r="AN319" s="56" t="s">
        <v>222</v>
      </c>
      <c r="AO319" s="57">
        <v>46215</v>
      </c>
      <c r="AP319" s="58" t="s">
        <v>1718</v>
      </c>
      <c r="AQ319" s="58" t="s">
        <v>255</v>
      </c>
      <c r="AR319" s="58" t="s">
        <v>225</v>
      </c>
      <c r="AS319" s="58"/>
      <c r="AT319" s="64"/>
      <c r="AU319" s="1"/>
      <c r="AV319" s="1"/>
      <c r="AW319" s="1"/>
      <c r="AX319" s="1"/>
      <c r="AY319" s="1"/>
      <c r="AZ319" s="1"/>
      <c r="BA319" s="1"/>
      <c r="BB319" s="1"/>
      <c r="BC319" s="1"/>
      <c r="BD319" s="1"/>
      <c r="BE319" s="1"/>
      <c r="BF319" s="1"/>
      <c r="BG319" s="1"/>
    </row>
    <row r="320" spans="1:59" ht="14.25" customHeight="1" x14ac:dyDescent="0.25">
      <c r="A320" s="1"/>
      <c r="B320" s="50"/>
      <c r="C320" s="50" t="s">
        <v>1747</v>
      </c>
      <c r="D320" s="50" t="s">
        <v>1748</v>
      </c>
      <c r="E320" s="50" t="str">
        <f t="shared" si="82"/>
        <v>PP0200380007001B</v>
      </c>
      <c r="F320" s="50"/>
      <c r="G320" s="50" t="s">
        <v>1713</v>
      </c>
      <c r="H320" s="50" t="s">
        <v>95</v>
      </c>
      <c r="I320" s="50" t="s">
        <v>1749</v>
      </c>
      <c r="J320" s="50" t="s">
        <v>1750</v>
      </c>
      <c r="K320" s="50" t="s">
        <v>1716</v>
      </c>
      <c r="L320" s="50" t="s">
        <v>1751</v>
      </c>
      <c r="M320" s="50"/>
      <c r="N320" s="52"/>
      <c r="O320" s="50" t="s">
        <v>151</v>
      </c>
      <c r="P320" s="108">
        <v>12</v>
      </c>
      <c r="Q320" s="53">
        <v>0</v>
      </c>
      <c r="R320" s="53">
        <f t="shared" si="84"/>
        <v>12</v>
      </c>
      <c r="S320" s="54">
        <v>0.03</v>
      </c>
      <c r="T320" s="54">
        <v>0</v>
      </c>
      <c r="U320" s="54">
        <f t="shared" si="85"/>
        <v>0.03</v>
      </c>
      <c r="V320" s="54">
        <v>20.309999999999999</v>
      </c>
      <c r="W320" s="52">
        <f t="shared" si="93"/>
        <v>0.10416666666666667</v>
      </c>
      <c r="X320" s="54">
        <f t="shared" si="86"/>
        <v>677</v>
      </c>
      <c r="Y320" s="110" t="str">
        <f t="shared" si="87"/>
        <v>è in grado</v>
      </c>
      <c r="Z320" s="108" t="str">
        <f t="shared" si="88"/>
        <v>non sottende</v>
      </c>
      <c r="AA320" s="106">
        <f t="shared" si="89"/>
        <v>194.97599999999997</v>
      </c>
      <c r="AB320" s="50" t="str">
        <f t="shared" si="90"/>
        <v>A</v>
      </c>
      <c r="AC320" s="50" t="str">
        <f t="shared" si="83"/>
        <v>SI</v>
      </c>
      <c r="AD320" s="50" t="str">
        <f t="shared" si="91"/>
        <v>Si</v>
      </c>
      <c r="AE320" s="50" t="s">
        <v>147</v>
      </c>
      <c r="AF320" s="55">
        <v>0.74</v>
      </c>
      <c r="AG320" s="55">
        <v>82</v>
      </c>
      <c r="AH320" s="55">
        <v>489</v>
      </c>
      <c r="AI320" s="55" t="str">
        <f t="shared" si="97"/>
        <v xml:space="preserve"> </v>
      </c>
      <c r="AJ320" s="53">
        <v>217.02</v>
      </c>
      <c r="AK320" s="53">
        <f t="shared" si="98"/>
        <v>0.28425951525205045</v>
      </c>
      <c r="AL320" s="53">
        <f t="shared" si="99"/>
        <v>61.69</v>
      </c>
      <c r="AM320" s="110" t="s">
        <v>190</v>
      </c>
      <c r="AN320" s="56" t="s">
        <v>222</v>
      </c>
      <c r="AO320" s="57">
        <v>46215</v>
      </c>
      <c r="AP320" s="58" t="s">
        <v>1718</v>
      </c>
      <c r="AQ320" s="58" t="s">
        <v>255</v>
      </c>
      <c r="AR320" s="58" t="s">
        <v>225</v>
      </c>
      <c r="AS320" s="58"/>
      <c r="AT320" s="64"/>
      <c r="AU320" s="1"/>
      <c r="AV320" s="1"/>
      <c r="AW320" s="1"/>
      <c r="AX320" s="1"/>
      <c r="AY320" s="1"/>
      <c r="AZ320" s="1"/>
      <c r="BA320" s="1"/>
      <c r="BB320" s="1"/>
      <c r="BC320" s="1"/>
      <c r="BD320" s="1"/>
      <c r="BE320" s="1"/>
      <c r="BF320" s="1"/>
      <c r="BG320" s="1"/>
    </row>
    <row r="321" spans="1:59" ht="14.25" customHeight="1" x14ac:dyDescent="0.25">
      <c r="A321" s="1"/>
      <c r="B321" s="9"/>
      <c r="C321" s="50" t="s">
        <v>1752</v>
      </c>
      <c r="D321" s="50" t="s">
        <v>1753</v>
      </c>
      <c r="E321" s="50" t="str">
        <f t="shared" si="82"/>
        <v>PP0200380002001B</v>
      </c>
      <c r="F321" s="50"/>
      <c r="G321" s="50" t="s">
        <v>1713</v>
      </c>
      <c r="H321" s="50" t="s">
        <v>95</v>
      </c>
      <c r="I321" s="50" t="s">
        <v>1754</v>
      </c>
      <c r="J321" s="50" t="s">
        <v>1755</v>
      </c>
      <c r="K321" s="50" t="s">
        <v>1716</v>
      </c>
      <c r="L321" s="50" t="s">
        <v>1756</v>
      </c>
      <c r="M321" s="50"/>
      <c r="N321" s="52"/>
      <c r="O321" s="50" t="s">
        <v>151</v>
      </c>
      <c r="P321" s="108">
        <v>481</v>
      </c>
      <c r="Q321" s="140">
        <v>2</v>
      </c>
      <c r="R321" s="140">
        <f t="shared" si="84"/>
        <v>483</v>
      </c>
      <c r="S321" s="54">
        <v>1.1299999999999999</v>
      </c>
      <c r="T321" s="141">
        <v>0.05</v>
      </c>
      <c r="U321" s="141">
        <f t="shared" si="85"/>
        <v>1.18</v>
      </c>
      <c r="V321" s="54">
        <v>91.24</v>
      </c>
      <c r="W321" s="141">
        <f t="shared" si="93"/>
        <v>4.192708333333333</v>
      </c>
      <c r="X321" s="141">
        <f t="shared" si="86"/>
        <v>77.322033898305079</v>
      </c>
      <c r="Y321" s="110" t="str">
        <f t="shared" si="87"/>
        <v>è in grado</v>
      </c>
      <c r="Z321" s="108" t="str">
        <f t="shared" si="88"/>
        <v>non sottende</v>
      </c>
      <c r="AA321" s="141">
        <f t="shared" si="89"/>
        <v>21.7615900621118</v>
      </c>
      <c r="AB321" s="50" t="str">
        <f t="shared" si="90"/>
        <v>A</v>
      </c>
      <c r="AC321" s="50" t="str">
        <f t="shared" si="83"/>
        <v>SI</v>
      </c>
      <c r="AD321" s="50" t="str">
        <f t="shared" si="91"/>
        <v>Si</v>
      </c>
      <c r="AE321" s="50" t="s">
        <v>147</v>
      </c>
      <c r="AF321" s="55">
        <v>13.51</v>
      </c>
      <c r="AG321" s="55">
        <v>1241</v>
      </c>
      <c r="AH321" s="55">
        <v>2627</v>
      </c>
      <c r="AI321" s="55" t="str">
        <f t="shared" si="97"/>
        <v xml:space="preserve"> </v>
      </c>
      <c r="AJ321" s="53">
        <v>174.59</v>
      </c>
      <c r="AK321" s="53">
        <f t="shared" si="98"/>
        <v>6.5854859957614984</v>
      </c>
      <c r="AL321" s="53">
        <f t="shared" si="99"/>
        <v>1149.76</v>
      </c>
      <c r="AM321" s="110" t="s">
        <v>190</v>
      </c>
      <c r="AN321" s="56" t="s">
        <v>222</v>
      </c>
      <c r="AO321" s="57">
        <v>46215</v>
      </c>
      <c r="AP321" s="58" t="s">
        <v>1718</v>
      </c>
      <c r="AQ321" s="58" t="s">
        <v>255</v>
      </c>
      <c r="AR321" s="58" t="s">
        <v>225</v>
      </c>
      <c r="AS321" s="58"/>
      <c r="AT321" s="64"/>
      <c r="AU321" s="1"/>
      <c r="AV321" s="1"/>
      <c r="AW321" s="1"/>
      <c r="AX321" s="1"/>
      <c r="AY321" s="1"/>
      <c r="AZ321" s="1"/>
      <c r="BA321" s="1"/>
      <c r="BB321" s="1"/>
      <c r="BC321" s="1"/>
      <c r="BD321" s="1"/>
      <c r="BE321" s="1"/>
      <c r="BF321" s="1"/>
      <c r="BG321" s="1"/>
    </row>
    <row r="322" spans="1:59" ht="14.25" customHeight="1" x14ac:dyDescent="0.25">
      <c r="A322" s="1"/>
      <c r="B322" s="50"/>
      <c r="C322" s="50" t="s">
        <v>1757</v>
      </c>
      <c r="D322" s="50" t="s">
        <v>1758</v>
      </c>
      <c r="E322" s="50" t="str">
        <f t="shared" si="82"/>
        <v>PP0200390009001B</v>
      </c>
      <c r="F322" s="50"/>
      <c r="G322" s="50" t="s">
        <v>1759</v>
      </c>
      <c r="H322" s="50" t="s">
        <v>95</v>
      </c>
      <c r="I322" s="50" t="s">
        <v>1760</v>
      </c>
      <c r="J322" s="50" t="s">
        <v>1761</v>
      </c>
      <c r="K322" s="50" t="s">
        <v>1762</v>
      </c>
      <c r="L322" s="50" t="s">
        <v>1763</v>
      </c>
      <c r="M322" s="50"/>
      <c r="N322" s="52"/>
      <c r="O322" s="50" t="s">
        <v>151</v>
      </c>
      <c r="P322" s="50">
        <v>239</v>
      </c>
      <c r="Q322" s="73">
        <v>85</v>
      </c>
      <c r="R322" s="73">
        <f t="shared" si="84"/>
        <v>324</v>
      </c>
      <c r="S322" s="74">
        <v>0.56000000000000005</v>
      </c>
      <c r="T322" s="74">
        <v>1.1200000000000001</v>
      </c>
      <c r="U322" s="74">
        <f t="shared" si="85"/>
        <v>1.6800000000000002</v>
      </c>
      <c r="V322" s="74">
        <v>398.2</v>
      </c>
      <c r="W322" s="72">
        <f t="shared" si="93"/>
        <v>3.9200000000000004</v>
      </c>
      <c r="X322" s="74">
        <f t="shared" si="86"/>
        <v>237.02380952380949</v>
      </c>
      <c r="Y322" s="50" t="str">
        <f t="shared" si="87"/>
        <v>è in grado</v>
      </c>
      <c r="Z322" s="50" t="str">
        <f t="shared" si="88"/>
        <v>non sottende</v>
      </c>
      <c r="AA322" s="112">
        <f t="shared" si="89"/>
        <v>101.58163265306121</v>
      </c>
      <c r="AB322" s="70" t="str">
        <f t="shared" si="90"/>
        <v>A</v>
      </c>
      <c r="AC322" s="70" t="str">
        <f t="shared" si="83"/>
        <v>SI</v>
      </c>
      <c r="AD322" s="70" t="str">
        <f t="shared" si="91"/>
        <v>Si</v>
      </c>
      <c r="AE322" s="70" t="s">
        <v>147</v>
      </c>
      <c r="AF322" s="71">
        <v>23.9</v>
      </c>
      <c r="AG322" s="71">
        <v>3368</v>
      </c>
      <c r="AH322" s="71">
        <v>3774</v>
      </c>
      <c r="AI322" s="71" t="str">
        <f t="shared" si="97"/>
        <v xml:space="preserve"> </v>
      </c>
      <c r="AJ322" s="73">
        <v>166.17</v>
      </c>
      <c r="AK322" s="73">
        <f t="shared" si="98"/>
        <v>17.872058735030393</v>
      </c>
      <c r="AL322" s="73">
        <f t="shared" si="99"/>
        <v>2969.8</v>
      </c>
      <c r="AM322" s="50" t="s">
        <v>190</v>
      </c>
      <c r="AN322" s="56" t="s">
        <v>222</v>
      </c>
      <c r="AO322" s="57">
        <v>47095</v>
      </c>
      <c r="AP322" s="58" t="s">
        <v>1764</v>
      </c>
      <c r="AQ322" s="58" t="s">
        <v>1113</v>
      </c>
      <c r="AR322" s="58" t="s">
        <v>544</v>
      </c>
      <c r="AS322" s="58"/>
      <c r="AT322" s="64"/>
      <c r="AU322" s="1"/>
      <c r="AV322" s="1"/>
      <c r="AW322" s="1"/>
      <c r="AX322" s="1"/>
      <c r="AY322" s="1"/>
      <c r="AZ322" s="1"/>
      <c r="BA322" s="1"/>
      <c r="BB322" s="1"/>
      <c r="BC322" s="1"/>
      <c r="BD322" s="1"/>
      <c r="BE322" s="1"/>
      <c r="BF322" s="1"/>
      <c r="BG322" s="1"/>
    </row>
    <row r="323" spans="1:59" ht="14.25" customHeight="1" x14ac:dyDescent="0.25">
      <c r="A323" s="1"/>
      <c r="B323" s="50"/>
      <c r="C323" s="50" t="s">
        <v>1765</v>
      </c>
      <c r="D323" s="50" t="s">
        <v>1766</v>
      </c>
      <c r="E323" s="50" t="str">
        <f t="shared" si="82"/>
        <v>PP0200390011001B</v>
      </c>
      <c r="F323" s="50"/>
      <c r="G323" s="50" t="s">
        <v>1759</v>
      </c>
      <c r="H323" s="50" t="s">
        <v>95</v>
      </c>
      <c r="I323" s="50" t="s">
        <v>1767</v>
      </c>
      <c r="J323" s="50" t="s">
        <v>1768</v>
      </c>
      <c r="K323" s="50" t="s">
        <v>1762</v>
      </c>
      <c r="L323" s="50" t="s">
        <v>1132</v>
      </c>
      <c r="M323" s="50"/>
      <c r="N323" s="52"/>
      <c r="O323" s="50" t="s">
        <v>151</v>
      </c>
      <c r="P323" s="50">
        <v>724</v>
      </c>
      <c r="Q323" s="53">
        <v>0</v>
      </c>
      <c r="R323" s="53">
        <f t="shared" si="84"/>
        <v>724</v>
      </c>
      <c r="S323" s="54">
        <v>1.7</v>
      </c>
      <c r="T323" s="54">
        <v>0</v>
      </c>
      <c r="U323" s="54">
        <f t="shared" si="85"/>
        <v>1.7</v>
      </c>
      <c r="V323" s="54">
        <v>132.97</v>
      </c>
      <c r="W323" s="52">
        <f t="shared" si="93"/>
        <v>6.2847222222222223</v>
      </c>
      <c r="X323" s="54">
        <f t="shared" si="86"/>
        <v>78.21764705882353</v>
      </c>
      <c r="Y323" s="50" t="str">
        <f t="shared" si="87"/>
        <v>è in grado</v>
      </c>
      <c r="Z323" s="50" t="str">
        <f t="shared" si="88"/>
        <v>non sottende</v>
      </c>
      <c r="AA323" s="106">
        <f t="shared" si="89"/>
        <v>21.157657458563534</v>
      </c>
      <c r="AB323" s="50" t="str">
        <f t="shared" si="90"/>
        <v>A</v>
      </c>
      <c r="AC323" s="50" t="str">
        <f t="shared" si="83"/>
        <v>SI</v>
      </c>
      <c r="AD323" s="50" t="str">
        <f t="shared" si="91"/>
        <v>Si</v>
      </c>
      <c r="AE323" s="50" t="s">
        <v>147</v>
      </c>
      <c r="AF323" s="55">
        <v>11.89</v>
      </c>
      <c r="AG323" s="55">
        <v>1363</v>
      </c>
      <c r="AH323" s="55">
        <v>129</v>
      </c>
      <c r="AI323" s="55" t="str">
        <f t="shared" si="97"/>
        <v>Manufatto limitante</v>
      </c>
      <c r="AJ323" s="53">
        <v>0</v>
      </c>
      <c r="AK323" s="53" t="e">
        <f t="shared" si="98"/>
        <v>#DIV/0!</v>
      </c>
      <c r="AL323" s="53">
        <f t="shared" si="99"/>
        <v>-3.9699999999999989</v>
      </c>
      <c r="AM323" s="50" t="s">
        <v>147</v>
      </c>
      <c r="AN323" s="56" t="s">
        <v>222</v>
      </c>
      <c r="AO323" s="57">
        <v>47095</v>
      </c>
      <c r="AP323" s="58" t="s">
        <v>1764</v>
      </c>
      <c r="AQ323" s="58" t="s">
        <v>1113</v>
      </c>
      <c r="AR323" s="107" t="s">
        <v>544</v>
      </c>
      <c r="AS323" s="58"/>
      <c r="AT323" s="64"/>
      <c r="AU323" s="1"/>
      <c r="AV323" s="1"/>
      <c r="AW323" s="1"/>
      <c r="AX323" s="1"/>
      <c r="AY323" s="1"/>
      <c r="AZ323" s="1"/>
      <c r="BA323" s="1"/>
      <c r="BB323" s="1"/>
      <c r="BC323" s="1"/>
      <c r="BD323" s="1"/>
      <c r="BE323" s="1"/>
      <c r="BF323" s="1"/>
      <c r="BG323" s="1"/>
    </row>
    <row r="324" spans="1:59" ht="14.25" customHeight="1" x14ac:dyDescent="0.25">
      <c r="A324" s="1"/>
      <c r="B324" s="50"/>
      <c r="C324" s="50" t="s">
        <v>1769</v>
      </c>
      <c r="D324" s="50" t="s">
        <v>1770</v>
      </c>
      <c r="E324" s="50" t="str">
        <f t="shared" si="82"/>
        <v>PP0200390010001B</v>
      </c>
      <c r="F324" s="50"/>
      <c r="G324" s="50" t="s">
        <v>1759</v>
      </c>
      <c r="H324" s="50" t="s">
        <v>95</v>
      </c>
      <c r="I324" s="50" t="s">
        <v>1771</v>
      </c>
      <c r="J324" s="50" t="s">
        <v>1772</v>
      </c>
      <c r="K324" s="50" t="s">
        <v>1762</v>
      </c>
      <c r="L324" s="50" t="s">
        <v>1132</v>
      </c>
      <c r="M324" s="50" t="s">
        <v>286</v>
      </c>
      <c r="N324" s="52"/>
      <c r="O324" s="50" t="s">
        <v>159</v>
      </c>
      <c r="P324" s="50">
        <v>5115</v>
      </c>
      <c r="Q324" s="53">
        <v>177</v>
      </c>
      <c r="R324" s="53">
        <f t="shared" si="84"/>
        <v>5292</v>
      </c>
      <c r="S324" s="54">
        <v>12.03</v>
      </c>
      <c r="T324" s="54">
        <v>3.83</v>
      </c>
      <c r="U324" s="54">
        <f t="shared" si="85"/>
        <v>15.86</v>
      </c>
      <c r="V324" s="54">
        <v>54.75</v>
      </c>
      <c r="W324" s="52">
        <f t="shared" si="93"/>
        <v>45.9375</v>
      </c>
      <c r="X324" s="54">
        <f t="shared" si="86"/>
        <v>3.4520807061790668</v>
      </c>
      <c r="Y324" s="50" t="str">
        <f t="shared" si="87"/>
        <v>è in grado</v>
      </c>
      <c r="Z324" s="50" t="str">
        <f t="shared" si="88"/>
        <v>non sottende</v>
      </c>
      <c r="AA324" s="106">
        <f t="shared" si="89"/>
        <v>1.1918367346938776</v>
      </c>
      <c r="AB324" s="50" t="str">
        <f t="shared" si="90"/>
        <v>B</v>
      </c>
      <c r="AC324" s="50" t="str">
        <f t="shared" si="83"/>
        <v>SI</v>
      </c>
      <c r="AD324" s="50" t="str">
        <f t="shared" si="91"/>
        <v>Si</v>
      </c>
      <c r="AE324" s="50" t="s">
        <v>1773</v>
      </c>
      <c r="AF324" s="55">
        <v>46.84</v>
      </c>
      <c r="AG324" s="55">
        <v>4549</v>
      </c>
      <c r="AH324" s="55">
        <v>3133</v>
      </c>
      <c r="AI324" s="55" t="str">
        <f t="shared" si="97"/>
        <v>Manufatto limitante</v>
      </c>
      <c r="AJ324" s="53">
        <v>128.29</v>
      </c>
      <c r="AK324" s="53">
        <f t="shared" si="98"/>
        <v>23.994465663730612</v>
      </c>
      <c r="AL324" s="53">
        <f t="shared" si="99"/>
        <v>3078.25</v>
      </c>
      <c r="AM324" s="50" t="s">
        <v>190</v>
      </c>
      <c r="AN324" s="56" t="s">
        <v>236</v>
      </c>
      <c r="AO324" s="57">
        <v>47095</v>
      </c>
      <c r="AP324" s="58" t="s">
        <v>1764</v>
      </c>
      <c r="AQ324" s="58" t="s">
        <v>1113</v>
      </c>
      <c r="AR324" s="58" t="s">
        <v>544</v>
      </c>
      <c r="AS324" s="58"/>
      <c r="AT324" s="64"/>
      <c r="AU324" s="1"/>
      <c r="AV324" s="1"/>
      <c r="AW324" s="1"/>
      <c r="AX324" s="1"/>
      <c r="AY324" s="1"/>
      <c r="AZ324" s="1"/>
      <c r="BA324" s="1"/>
      <c r="BB324" s="1"/>
      <c r="BC324" s="1"/>
      <c r="BD324" s="1"/>
      <c r="BE324" s="1"/>
      <c r="BF324" s="1"/>
      <c r="BG324" s="1"/>
    </row>
    <row r="325" spans="1:59" ht="14.25" customHeight="1" x14ac:dyDescent="0.25">
      <c r="A325" s="1"/>
      <c r="B325" s="50"/>
      <c r="C325" s="50" t="s">
        <v>1774</v>
      </c>
      <c r="D325" s="50" t="s">
        <v>1775</v>
      </c>
      <c r="E325" s="50" t="str">
        <f t="shared" si="82"/>
        <v>PP0200390004001B</v>
      </c>
      <c r="F325" s="50"/>
      <c r="G325" s="50" t="s">
        <v>1759</v>
      </c>
      <c r="H325" s="50" t="s">
        <v>95</v>
      </c>
      <c r="I325" s="50" t="s">
        <v>1776</v>
      </c>
      <c r="J325" s="50" t="s">
        <v>1777</v>
      </c>
      <c r="K325" s="50" t="s">
        <v>1762</v>
      </c>
      <c r="L325" s="50" t="s">
        <v>1132</v>
      </c>
      <c r="M325" s="50"/>
      <c r="N325" s="52"/>
      <c r="O325" s="50" t="s">
        <v>151</v>
      </c>
      <c r="P325" s="50">
        <v>428</v>
      </c>
      <c r="Q325" s="53">
        <v>0</v>
      </c>
      <c r="R325" s="53">
        <f t="shared" si="84"/>
        <v>428</v>
      </c>
      <c r="S325" s="54">
        <v>1.01</v>
      </c>
      <c r="T325" s="54">
        <v>0</v>
      </c>
      <c r="U325" s="54">
        <f t="shared" si="85"/>
        <v>1.01</v>
      </c>
      <c r="V325" s="54">
        <v>50.25</v>
      </c>
      <c r="W325" s="52">
        <f t="shared" si="93"/>
        <v>3.7152777777777777</v>
      </c>
      <c r="X325" s="54">
        <f t="shared" si="86"/>
        <v>49.75247524752475</v>
      </c>
      <c r="Y325" s="50" t="str">
        <f t="shared" si="87"/>
        <v>è in grado</v>
      </c>
      <c r="Z325" s="50" t="str">
        <f t="shared" si="88"/>
        <v>non sottende</v>
      </c>
      <c r="AA325" s="106">
        <f t="shared" si="89"/>
        <v>13.525233644859814</v>
      </c>
      <c r="AB325" s="50" t="str">
        <f t="shared" si="90"/>
        <v>A</v>
      </c>
      <c r="AC325" s="50" t="str">
        <f t="shared" si="83"/>
        <v>SI</v>
      </c>
      <c r="AD325" s="50" t="str">
        <f t="shared" si="91"/>
        <v>Si</v>
      </c>
      <c r="AE325" s="50" t="s">
        <v>147</v>
      </c>
      <c r="AF325" s="55">
        <v>8.36</v>
      </c>
      <c r="AG325" s="55">
        <v>768</v>
      </c>
      <c r="AH325" s="55">
        <v>490</v>
      </c>
      <c r="AI325" s="55" t="str">
        <f t="shared" si="97"/>
        <v>Manufatto limitante</v>
      </c>
      <c r="AJ325" s="53">
        <v>138.33000000000001</v>
      </c>
      <c r="AK325" s="53">
        <f t="shared" si="98"/>
        <v>3.1789922648738522</v>
      </c>
      <c r="AL325" s="53">
        <f t="shared" si="99"/>
        <v>439.75</v>
      </c>
      <c r="AM325" s="50" t="s">
        <v>190</v>
      </c>
      <c r="AN325" s="56" t="s">
        <v>222</v>
      </c>
      <c r="AO325" s="57">
        <v>47095</v>
      </c>
      <c r="AP325" s="58" t="s">
        <v>1764</v>
      </c>
      <c r="AQ325" s="58" t="s">
        <v>1113</v>
      </c>
      <c r="AR325" s="58" t="s">
        <v>544</v>
      </c>
      <c r="AS325" s="58"/>
      <c r="AT325" s="64"/>
      <c r="AU325" s="1"/>
      <c r="AV325" s="1"/>
      <c r="AW325" s="1"/>
      <c r="AX325" s="1"/>
      <c r="AY325" s="1"/>
      <c r="AZ325" s="1"/>
      <c r="BA325" s="1"/>
      <c r="BB325" s="1"/>
      <c r="BC325" s="1"/>
      <c r="BD325" s="1"/>
      <c r="BE325" s="1"/>
      <c r="BF325" s="1"/>
      <c r="BG325" s="1"/>
    </row>
    <row r="326" spans="1:59" ht="14.25" customHeight="1" x14ac:dyDescent="0.25">
      <c r="A326" s="1"/>
      <c r="B326" s="50"/>
      <c r="C326" s="50" t="s">
        <v>1778</v>
      </c>
      <c r="D326" s="50" t="s">
        <v>1779</v>
      </c>
      <c r="E326" s="50" t="str">
        <f t="shared" si="82"/>
        <v>PP0200390002001B</v>
      </c>
      <c r="F326" s="50"/>
      <c r="G326" s="50" t="s">
        <v>1759</v>
      </c>
      <c r="H326" s="50" t="s">
        <v>95</v>
      </c>
      <c r="I326" s="50" t="s">
        <v>1780</v>
      </c>
      <c r="J326" s="50" t="s">
        <v>1781</v>
      </c>
      <c r="K326" s="50" t="s">
        <v>1762</v>
      </c>
      <c r="L326" s="50" t="s">
        <v>1132</v>
      </c>
      <c r="M326" s="50"/>
      <c r="N326" s="52"/>
      <c r="O326" s="50" t="s">
        <v>151</v>
      </c>
      <c r="P326" s="50">
        <v>349</v>
      </c>
      <c r="Q326" s="53">
        <v>175</v>
      </c>
      <c r="R326" s="53">
        <f t="shared" si="84"/>
        <v>524</v>
      </c>
      <c r="S326" s="54">
        <v>0.82</v>
      </c>
      <c r="T326" s="54">
        <v>3.81</v>
      </c>
      <c r="U326" s="54">
        <f t="shared" si="85"/>
        <v>4.63</v>
      </c>
      <c r="V326" s="54">
        <v>155.88999999999999</v>
      </c>
      <c r="W326" s="52">
        <f t="shared" si="93"/>
        <v>12.6</v>
      </c>
      <c r="X326" s="54">
        <f t="shared" si="86"/>
        <v>33.669546436285096</v>
      </c>
      <c r="Y326" s="50" t="str">
        <f t="shared" si="87"/>
        <v>è in grado</v>
      </c>
      <c r="Z326" s="50" t="str">
        <f t="shared" si="88"/>
        <v>non sottende</v>
      </c>
      <c r="AA326" s="106">
        <f t="shared" si="89"/>
        <v>12.372222222222222</v>
      </c>
      <c r="AB326" s="50" t="str">
        <f t="shared" si="90"/>
        <v>A</v>
      </c>
      <c r="AC326" s="50" t="str">
        <f t="shared" si="83"/>
        <v>SI</v>
      </c>
      <c r="AD326" s="50" t="str">
        <f t="shared" si="91"/>
        <v>Si</v>
      </c>
      <c r="AE326" s="50" t="s">
        <v>147</v>
      </c>
      <c r="AF326" s="55">
        <v>2.33</v>
      </c>
      <c r="AG326" s="55">
        <v>312</v>
      </c>
      <c r="AH326" s="55">
        <v>204</v>
      </c>
      <c r="AI326" s="55" t="str">
        <f t="shared" si="97"/>
        <v>Manufatto limitante</v>
      </c>
      <c r="AJ326" s="53">
        <v>36.299999999999997</v>
      </c>
      <c r="AK326" s="53">
        <f t="shared" si="98"/>
        <v>1.3253443526170803</v>
      </c>
      <c r="AL326" s="53">
        <f t="shared" si="99"/>
        <v>48.110000000000014</v>
      </c>
      <c r="AM326" s="50" t="s">
        <v>147</v>
      </c>
      <c r="AN326" s="56" t="s">
        <v>222</v>
      </c>
      <c r="AO326" s="57">
        <v>47095</v>
      </c>
      <c r="AP326" s="58" t="s">
        <v>1764</v>
      </c>
      <c r="AQ326" s="58" t="s">
        <v>1113</v>
      </c>
      <c r="AR326" s="107" t="s">
        <v>544</v>
      </c>
      <c r="AS326" s="58"/>
      <c r="AT326" s="64"/>
      <c r="AU326" s="1"/>
      <c r="AV326" s="1"/>
      <c r="AW326" s="1"/>
      <c r="AX326" s="1"/>
      <c r="AY326" s="1"/>
      <c r="AZ326" s="1"/>
      <c r="BA326" s="1"/>
      <c r="BB326" s="1"/>
      <c r="BC326" s="1"/>
      <c r="BD326" s="1"/>
      <c r="BE326" s="1"/>
      <c r="BF326" s="1"/>
      <c r="BG326" s="1"/>
    </row>
    <row r="327" spans="1:59" ht="14.25" customHeight="1" x14ac:dyDescent="0.25">
      <c r="A327" s="1"/>
      <c r="B327" s="50"/>
      <c r="C327" s="50" t="s">
        <v>1782</v>
      </c>
      <c r="D327" s="50" t="s">
        <v>1783</v>
      </c>
      <c r="E327" s="50" t="str">
        <f t="shared" si="82"/>
        <v>PP0200390003001B</v>
      </c>
      <c r="F327" s="50"/>
      <c r="G327" s="50" t="s">
        <v>1759</v>
      </c>
      <c r="H327" s="50" t="s">
        <v>95</v>
      </c>
      <c r="I327" s="50" t="s">
        <v>1780</v>
      </c>
      <c r="J327" s="50" t="s">
        <v>1784</v>
      </c>
      <c r="K327" s="50" t="s">
        <v>1762</v>
      </c>
      <c r="L327" s="50" t="s">
        <v>1132</v>
      </c>
      <c r="M327" s="50"/>
      <c r="N327" s="52"/>
      <c r="O327" s="50" t="s">
        <v>151</v>
      </c>
      <c r="P327" s="50">
        <v>1083</v>
      </c>
      <c r="Q327" s="53">
        <v>1</v>
      </c>
      <c r="R327" s="53">
        <f t="shared" si="84"/>
        <v>1084</v>
      </c>
      <c r="S327" s="54">
        <v>2.5499999999999998</v>
      </c>
      <c r="T327" s="54">
        <v>0.01</v>
      </c>
      <c r="U327" s="54">
        <f t="shared" si="85"/>
        <v>2.5599999999999996</v>
      </c>
      <c r="V327" s="54">
        <v>174.44</v>
      </c>
      <c r="W327" s="52">
        <f t="shared" si="93"/>
        <v>9.4097222222222214</v>
      </c>
      <c r="X327" s="54">
        <f t="shared" si="86"/>
        <v>68.140625000000014</v>
      </c>
      <c r="Y327" s="50" t="str">
        <f t="shared" si="87"/>
        <v>è in grado</v>
      </c>
      <c r="Z327" s="50" t="str">
        <f t="shared" si="88"/>
        <v>non sottende</v>
      </c>
      <c r="AA327" s="106">
        <f t="shared" si="89"/>
        <v>18.538273062730628</v>
      </c>
      <c r="AB327" s="50" t="str">
        <f t="shared" si="90"/>
        <v>A</v>
      </c>
      <c r="AC327" s="50" t="str">
        <f t="shared" si="83"/>
        <v>SI</v>
      </c>
      <c r="AD327" s="50" t="str">
        <f t="shared" si="91"/>
        <v>Si</v>
      </c>
      <c r="AE327" s="50" t="s">
        <v>147</v>
      </c>
      <c r="AF327" s="55">
        <v>11.13</v>
      </c>
      <c r="AG327" s="55">
        <v>1424</v>
      </c>
      <c r="AH327" s="55">
        <v>205</v>
      </c>
      <c r="AI327" s="55" t="str">
        <f t="shared" si="97"/>
        <v>Manufatto limitante</v>
      </c>
      <c r="AJ327" s="53">
        <v>5.13</v>
      </c>
      <c r="AK327" s="53">
        <f t="shared" si="98"/>
        <v>5.9571150097465893</v>
      </c>
      <c r="AL327" s="53">
        <f t="shared" si="99"/>
        <v>30.560000000000002</v>
      </c>
      <c r="AM327" s="50" t="s">
        <v>147</v>
      </c>
      <c r="AN327" s="56" t="s">
        <v>222</v>
      </c>
      <c r="AO327" s="57">
        <v>47095</v>
      </c>
      <c r="AP327" s="58" t="s">
        <v>1764</v>
      </c>
      <c r="AQ327" s="58" t="s">
        <v>1113</v>
      </c>
      <c r="AR327" s="58" t="s">
        <v>544</v>
      </c>
      <c r="AS327" s="58"/>
      <c r="AT327" s="64"/>
      <c r="AU327" s="1"/>
      <c r="AV327" s="1"/>
      <c r="AW327" s="1"/>
      <c r="AX327" s="1"/>
      <c r="AY327" s="1"/>
      <c r="AZ327" s="1"/>
      <c r="BA327" s="1"/>
      <c r="BB327" s="1"/>
      <c r="BC327" s="1"/>
      <c r="BD327" s="1"/>
      <c r="BE327" s="1"/>
      <c r="BF327" s="1"/>
      <c r="BG327" s="1"/>
    </row>
    <row r="328" spans="1:59" ht="14.25" customHeight="1" x14ac:dyDescent="0.25">
      <c r="A328" s="1"/>
      <c r="B328" s="50"/>
      <c r="C328" s="50" t="s">
        <v>1785</v>
      </c>
      <c r="D328" s="50" t="s">
        <v>1786</v>
      </c>
      <c r="E328" s="50" t="str">
        <f t="shared" si="82"/>
        <v>PP0200390008001B</v>
      </c>
      <c r="F328" s="50"/>
      <c r="G328" s="50" t="s">
        <v>1759</v>
      </c>
      <c r="H328" s="50" t="s">
        <v>95</v>
      </c>
      <c r="I328" s="50" t="s">
        <v>1787</v>
      </c>
      <c r="J328" s="50" t="s">
        <v>1788</v>
      </c>
      <c r="K328" s="50" t="s">
        <v>1762</v>
      </c>
      <c r="L328" s="50" t="s">
        <v>1132</v>
      </c>
      <c r="M328" s="50" t="s">
        <v>286</v>
      </c>
      <c r="N328" s="52"/>
      <c r="O328" s="50" t="s">
        <v>159</v>
      </c>
      <c r="P328" s="50">
        <v>297</v>
      </c>
      <c r="Q328" s="53">
        <v>175</v>
      </c>
      <c r="R328" s="53">
        <f t="shared" si="84"/>
        <v>472</v>
      </c>
      <c r="S328" s="54">
        <v>0.7</v>
      </c>
      <c r="T328" s="54">
        <v>3.81</v>
      </c>
      <c r="U328" s="54">
        <f t="shared" si="85"/>
        <v>4.51</v>
      </c>
      <c r="V328" s="54">
        <v>14</v>
      </c>
      <c r="W328" s="52">
        <f t="shared" si="93"/>
        <v>12.149999999999999</v>
      </c>
      <c r="X328" s="54">
        <f t="shared" si="86"/>
        <v>3.1042128603104215</v>
      </c>
      <c r="Y328" s="50" t="str">
        <f t="shared" si="87"/>
        <v>è in grado</v>
      </c>
      <c r="Z328" s="50" t="str">
        <f t="shared" si="88"/>
        <v>non sottende</v>
      </c>
      <c r="AA328" s="106">
        <f t="shared" si="89"/>
        <v>1.1522633744855968</v>
      </c>
      <c r="AB328" s="50" t="str">
        <f t="shared" si="90"/>
        <v>B</v>
      </c>
      <c r="AC328" s="50" t="str">
        <f t="shared" si="83"/>
        <v>SI</v>
      </c>
      <c r="AD328" s="50" t="str">
        <f t="shared" si="91"/>
        <v>No</v>
      </c>
      <c r="AE328" s="50" t="s">
        <v>605</v>
      </c>
      <c r="AF328" s="55">
        <v>10.81</v>
      </c>
      <c r="AG328" s="55">
        <v>1620</v>
      </c>
      <c r="AH328" s="55">
        <v>401</v>
      </c>
      <c r="AI328" s="55" t="str">
        <f t="shared" si="97"/>
        <v>Manufatto limitante</v>
      </c>
      <c r="AJ328" s="53">
        <v>66</v>
      </c>
      <c r="AK328" s="53">
        <f t="shared" si="98"/>
        <v>5.8636363636363633</v>
      </c>
      <c r="AL328" s="53">
        <f t="shared" si="99"/>
        <v>387</v>
      </c>
      <c r="AM328" s="50" t="s">
        <v>190</v>
      </c>
      <c r="AN328" s="56" t="s">
        <v>222</v>
      </c>
      <c r="AO328" s="57">
        <v>47095</v>
      </c>
      <c r="AP328" s="58" t="s">
        <v>1764</v>
      </c>
      <c r="AQ328" s="58" t="s">
        <v>1113</v>
      </c>
      <c r="AR328" s="58" t="s">
        <v>544</v>
      </c>
      <c r="AS328" s="58"/>
      <c r="AT328" s="64"/>
      <c r="AU328" s="1"/>
      <c r="AV328" s="1"/>
      <c r="AW328" s="1"/>
      <c r="AX328" s="1"/>
      <c r="AY328" s="1"/>
      <c r="AZ328" s="1"/>
      <c r="BA328" s="1"/>
      <c r="BB328" s="1"/>
      <c r="BC328" s="1"/>
      <c r="BD328" s="1"/>
      <c r="BE328" s="1"/>
      <c r="BF328" s="1"/>
      <c r="BG328" s="1"/>
    </row>
    <row r="329" spans="1:59" ht="14.25" customHeight="1" x14ac:dyDescent="0.25">
      <c r="A329" s="1"/>
      <c r="B329" s="50"/>
      <c r="C329" s="50" t="s">
        <v>1789</v>
      </c>
      <c r="D329" s="50"/>
      <c r="E329" s="50" t="str">
        <f t="shared" si="82"/>
        <v>001B</v>
      </c>
      <c r="F329" s="50"/>
      <c r="G329" s="50" t="s">
        <v>1759</v>
      </c>
      <c r="H329" s="50" t="s">
        <v>1790</v>
      </c>
      <c r="I329" s="50" t="s">
        <v>1791</v>
      </c>
      <c r="J329" s="50" t="s">
        <v>1792</v>
      </c>
      <c r="K329" s="50" t="s">
        <v>1793</v>
      </c>
      <c r="L329" s="50" t="s">
        <v>1794</v>
      </c>
      <c r="M329" s="50"/>
      <c r="N329" s="52"/>
      <c r="O329" s="50" t="s">
        <v>159</v>
      </c>
      <c r="P329" s="50">
        <v>12</v>
      </c>
      <c r="Q329" s="53">
        <v>24</v>
      </c>
      <c r="R329" s="53">
        <f t="shared" si="84"/>
        <v>36</v>
      </c>
      <c r="S329" s="54">
        <v>0.03</v>
      </c>
      <c r="T329" s="54">
        <v>0.62</v>
      </c>
      <c r="U329" s="54">
        <f t="shared" si="85"/>
        <v>0.65</v>
      </c>
      <c r="V329" s="54">
        <v>15.2</v>
      </c>
      <c r="W329" s="52">
        <f t="shared" si="93"/>
        <v>1.6625000000000001</v>
      </c>
      <c r="X329" s="54">
        <f t="shared" si="86"/>
        <v>23.384615384615383</v>
      </c>
      <c r="Y329" s="50" t="str">
        <f t="shared" si="87"/>
        <v>è in grado</v>
      </c>
      <c r="Z329" s="50" t="str">
        <f t="shared" si="88"/>
        <v>non sottende</v>
      </c>
      <c r="AA329" s="106">
        <f t="shared" si="89"/>
        <v>9.1428571428571423</v>
      </c>
      <c r="AB329" s="50" t="str">
        <f t="shared" si="90"/>
        <v>A</v>
      </c>
      <c r="AC329" s="50" t="str">
        <f t="shared" si="83"/>
        <v>SI</v>
      </c>
      <c r="AD329" s="50" t="str">
        <f t="shared" si="91"/>
        <v>No</v>
      </c>
      <c r="AE329" s="50" t="s">
        <v>147</v>
      </c>
      <c r="AF329" s="55">
        <v>16.309999999999999</v>
      </c>
      <c r="AG329" s="55">
        <v>2481</v>
      </c>
      <c r="AH329" s="55">
        <v>180</v>
      </c>
      <c r="AI329" s="55" t="str">
        <f t="shared" si="97"/>
        <v>Manufatto limitante</v>
      </c>
      <c r="AJ329" s="53">
        <v>13.31</v>
      </c>
      <c r="AK329" s="53">
        <f t="shared" si="98"/>
        <v>12.381667918858001</v>
      </c>
      <c r="AL329" s="53">
        <f t="shared" si="99"/>
        <v>164.8</v>
      </c>
      <c r="AM329" s="50" t="s">
        <v>147</v>
      </c>
      <c r="AN329" s="56" t="s">
        <v>236</v>
      </c>
      <c r="AO329" s="66">
        <v>2020</v>
      </c>
      <c r="AP329" s="58" t="s">
        <v>1795</v>
      </c>
      <c r="AQ329" s="58" t="s">
        <v>1113</v>
      </c>
      <c r="AR329" s="58" t="s">
        <v>1796</v>
      </c>
      <c r="AS329" s="58"/>
      <c r="AT329" s="64" t="s">
        <v>1797</v>
      </c>
      <c r="AU329" s="1"/>
      <c r="AV329" s="1"/>
      <c r="AW329" s="1"/>
      <c r="AX329" s="1"/>
      <c r="AY329" s="1"/>
      <c r="AZ329" s="1"/>
      <c r="BA329" s="1"/>
      <c r="BB329" s="1"/>
      <c r="BC329" s="1"/>
      <c r="BD329" s="1"/>
      <c r="BE329" s="1"/>
      <c r="BF329" s="1"/>
      <c r="BG329" s="1"/>
    </row>
    <row r="330" spans="1:59" ht="14.25" customHeight="1" x14ac:dyDescent="0.25">
      <c r="A330" s="1"/>
      <c r="B330" s="50"/>
      <c r="C330" s="50" t="s">
        <v>1798</v>
      </c>
      <c r="D330" s="50" t="s">
        <v>1799</v>
      </c>
      <c r="E330" s="50" t="str">
        <f t="shared" si="82"/>
        <v>PP0200390006001B</v>
      </c>
      <c r="F330" s="50"/>
      <c r="G330" s="50" t="s">
        <v>1759</v>
      </c>
      <c r="H330" s="50" t="s">
        <v>95</v>
      </c>
      <c r="I330" s="50" t="s">
        <v>1800</v>
      </c>
      <c r="J330" s="50" t="s">
        <v>1801</v>
      </c>
      <c r="K330" s="50" t="s">
        <v>1762</v>
      </c>
      <c r="L330" s="50" t="s">
        <v>1802</v>
      </c>
      <c r="M330" s="50"/>
      <c r="N330" s="52"/>
      <c r="O330" s="50" t="s">
        <v>151</v>
      </c>
      <c r="P330" s="50">
        <v>120</v>
      </c>
      <c r="Q330" s="53">
        <v>0</v>
      </c>
      <c r="R330" s="53">
        <f t="shared" si="84"/>
        <v>120</v>
      </c>
      <c r="S330" s="54">
        <v>0.28000000000000003</v>
      </c>
      <c r="T330" s="54">
        <v>0</v>
      </c>
      <c r="U330" s="54">
        <f t="shared" si="85"/>
        <v>0.28000000000000003</v>
      </c>
      <c r="V330" s="54">
        <v>182.44</v>
      </c>
      <c r="W330" s="52">
        <f t="shared" si="93"/>
        <v>1.0416666666666667</v>
      </c>
      <c r="X330" s="54">
        <f t="shared" si="86"/>
        <v>651.57142857142856</v>
      </c>
      <c r="Y330" s="50" t="str">
        <f t="shared" si="87"/>
        <v>è in grado</v>
      </c>
      <c r="Z330" s="50" t="str">
        <f t="shared" si="88"/>
        <v>non sottende</v>
      </c>
      <c r="AA330" s="106">
        <f t="shared" si="89"/>
        <v>175.14239999999998</v>
      </c>
      <c r="AB330" s="50" t="str">
        <f t="shared" si="90"/>
        <v>A</v>
      </c>
      <c r="AC330" s="50" t="str">
        <f t="shared" si="83"/>
        <v>SI</v>
      </c>
      <c r="AD330" s="50" t="str">
        <f t="shared" si="91"/>
        <v>Si</v>
      </c>
      <c r="AE330" s="50" t="s">
        <v>147</v>
      </c>
      <c r="AF330" s="55">
        <v>4.6500000000000004</v>
      </c>
      <c r="AG330" s="55">
        <v>526</v>
      </c>
      <c r="AH330" s="55">
        <v>421</v>
      </c>
      <c r="AI330" s="55" t="str">
        <f t="shared" si="97"/>
        <v>Manufatto limitante</v>
      </c>
      <c r="AJ330" s="53">
        <v>99.98</v>
      </c>
      <c r="AK330" s="53">
        <f t="shared" si="98"/>
        <v>2.3860772154430885</v>
      </c>
      <c r="AL330" s="53">
        <f t="shared" si="99"/>
        <v>238.56</v>
      </c>
      <c r="AM330" s="50" t="s">
        <v>190</v>
      </c>
      <c r="AN330" s="56" t="s">
        <v>222</v>
      </c>
      <c r="AO330" s="57">
        <v>47095</v>
      </c>
      <c r="AP330" s="58" t="s">
        <v>1764</v>
      </c>
      <c r="AQ330" s="58" t="s">
        <v>1113</v>
      </c>
      <c r="AR330" s="58" t="s">
        <v>544</v>
      </c>
      <c r="AS330" s="58"/>
      <c r="AT330" s="64"/>
      <c r="AU330" s="69"/>
      <c r="AV330" s="69"/>
      <c r="AW330" s="69"/>
      <c r="AX330" s="69"/>
      <c r="AY330" s="69"/>
      <c r="AZ330" s="69"/>
      <c r="BA330" s="69"/>
      <c r="BB330" s="69"/>
      <c r="BC330" s="69"/>
      <c r="BD330" s="69"/>
      <c r="BE330" s="69"/>
      <c r="BF330" s="1"/>
      <c r="BG330" s="1"/>
    </row>
    <row r="331" spans="1:59" ht="14.25" customHeight="1" x14ac:dyDescent="0.25">
      <c r="A331" s="1"/>
      <c r="B331" s="70"/>
      <c r="C331" s="70" t="s">
        <v>1803</v>
      </c>
      <c r="D331" s="50" t="s">
        <v>1804</v>
      </c>
      <c r="E331" s="50" t="str">
        <f t="shared" si="82"/>
        <v>PP0200390001001B</v>
      </c>
      <c r="F331" s="50"/>
      <c r="G331" s="70" t="s">
        <v>1759</v>
      </c>
      <c r="H331" s="70" t="s">
        <v>95</v>
      </c>
      <c r="I331" s="70" t="s">
        <v>507</v>
      </c>
      <c r="J331" s="50" t="s">
        <v>1805</v>
      </c>
      <c r="K331" s="70" t="s">
        <v>1762</v>
      </c>
      <c r="L331" s="70" t="s">
        <v>1132</v>
      </c>
      <c r="M331" s="70"/>
      <c r="N331" s="72"/>
      <c r="O331" s="70" t="s">
        <v>151</v>
      </c>
      <c r="P331" s="70">
        <v>2025</v>
      </c>
      <c r="Q331" s="73">
        <v>1</v>
      </c>
      <c r="R331" s="73">
        <f t="shared" si="84"/>
        <v>2026</v>
      </c>
      <c r="S331" s="74">
        <v>4.76</v>
      </c>
      <c r="T331" s="74">
        <v>0.02</v>
      </c>
      <c r="U331" s="74">
        <f t="shared" si="85"/>
        <v>4.7799999999999994</v>
      </c>
      <c r="V331" s="74">
        <v>510.15</v>
      </c>
      <c r="W331" s="52">
        <f t="shared" si="93"/>
        <v>17.586805555555557</v>
      </c>
      <c r="X331" s="74">
        <f t="shared" si="86"/>
        <v>106.72594142259415</v>
      </c>
      <c r="Y331" s="70" t="str">
        <f t="shared" si="87"/>
        <v>è in grado</v>
      </c>
      <c r="Z331" s="70" t="str">
        <f t="shared" si="88"/>
        <v>non sottende</v>
      </c>
      <c r="AA331" s="112">
        <f t="shared" si="89"/>
        <v>29.007541954590323</v>
      </c>
      <c r="AB331" s="70" t="str">
        <f t="shared" si="90"/>
        <v>A</v>
      </c>
      <c r="AC331" s="50" t="str">
        <f t="shared" si="83"/>
        <v>SI</v>
      </c>
      <c r="AD331" s="70" t="str">
        <f t="shared" si="91"/>
        <v>Si</v>
      </c>
      <c r="AE331" s="70" t="s">
        <v>147</v>
      </c>
      <c r="AF331" s="71">
        <v>27.76</v>
      </c>
      <c r="AG331" s="71">
        <v>2863</v>
      </c>
      <c r="AH331" s="71">
        <v>424</v>
      </c>
      <c r="AI331" s="55" t="str">
        <f t="shared" si="97"/>
        <v>Manufatto limitante</v>
      </c>
      <c r="AJ331" s="73">
        <v>0</v>
      </c>
      <c r="AK331" s="53" t="e">
        <f t="shared" si="98"/>
        <v>#DIV/0!</v>
      </c>
      <c r="AL331" s="53">
        <f t="shared" si="99"/>
        <v>-86.149999999999977</v>
      </c>
      <c r="AM331" s="70" t="s">
        <v>147</v>
      </c>
      <c r="AN331" s="56" t="s">
        <v>222</v>
      </c>
      <c r="AO331" s="129">
        <v>47095</v>
      </c>
      <c r="AP331" s="58" t="s">
        <v>1764</v>
      </c>
      <c r="AQ331" s="58" t="s">
        <v>1113</v>
      </c>
      <c r="AR331" s="58" t="s">
        <v>544</v>
      </c>
      <c r="AS331" s="58"/>
      <c r="AT331" s="64"/>
      <c r="AU331" s="1"/>
      <c r="AV331" s="1"/>
      <c r="AW331" s="1"/>
      <c r="AX331" s="1"/>
      <c r="AY331" s="1"/>
      <c r="AZ331" s="1"/>
      <c r="BA331" s="1"/>
      <c r="BB331" s="1"/>
      <c r="BC331" s="1"/>
      <c r="BD331" s="1"/>
      <c r="BE331" s="1"/>
      <c r="BF331" s="1"/>
      <c r="BG331" s="1"/>
    </row>
    <row r="332" spans="1:59" ht="14.25" customHeight="1" x14ac:dyDescent="0.25">
      <c r="A332" s="1"/>
      <c r="B332" s="50"/>
      <c r="C332" s="50" t="s">
        <v>1806</v>
      </c>
      <c r="D332" s="50"/>
      <c r="E332" s="50" t="str">
        <f t="shared" si="82"/>
        <v>001B</v>
      </c>
      <c r="F332" s="50"/>
      <c r="G332" s="50" t="s">
        <v>1759</v>
      </c>
      <c r="H332" s="50" t="s">
        <v>1790</v>
      </c>
      <c r="I332" s="50" t="s">
        <v>1807</v>
      </c>
      <c r="J332" s="50" t="s">
        <v>1808</v>
      </c>
      <c r="K332" s="50" t="s">
        <v>1793</v>
      </c>
      <c r="L332" s="50" t="s">
        <v>1793</v>
      </c>
      <c r="M332" s="50"/>
      <c r="N332" s="52"/>
      <c r="O332" s="50" t="s">
        <v>159</v>
      </c>
      <c r="P332" s="50">
        <v>664</v>
      </c>
      <c r="Q332" s="53">
        <v>24</v>
      </c>
      <c r="R332" s="53">
        <f t="shared" si="84"/>
        <v>688</v>
      </c>
      <c r="S332" s="54">
        <v>1.56</v>
      </c>
      <c r="T332" s="54">
        <v>0.62</v>
      </c>
      <c r="U332" s="54">
        <f t="shared" si="85"/>
        <v>2.1800000000000002</v>
      </c>
      <c r="V332" s="54">
        <v>9.6999999999999993</v>
      </c>
      <c r="W332" s="52">
        <f t="shared" si="93"/>
        <v>5.9722222222222223</v>
      </c>
      <c r="X332" s="54">
        <f t="shared" si="86"/>
        <v>4.4495412844036695</v>
      </c>
      <c r="Y332" s="50" t="str">
        <f t="shared" si="87"/>
        <v>è in grado</v>
      </c>
      <c r="Z332" s="50" t="str">
        <f t="shared" si="88"/>
        <v>non sottende</v>
      </c>
      <c r="AA332" s="106">
        <f t="shared" si="89"/>
        <v>1.6241860465116278</v>
      </c>
      <c r="AB332" s="50" t="str">
        <f t="shared" si="90"/>
        <v>B</v>
      </c>
      <c r="AC332" s="50" t="str">
        <f t="shared" si="83"/>
        <v>SI</v>
      </c>
      <c r="AD332" s="50" t="str">
        <f t="shared" si="91"/>
        <v>No</v>
      </c>
      <c r="AE332" s="50" t="s">
        <v>605</v>
      </c>
      <c r="AF332" s="55">
        <v>20.23</v>
      </c>
      <c r="AG332" s="55">
        <v>1711</v>
      </c>
      <c r="AH332" s="55">
        <v>508</v>
      </c>
      <c r="AI332" s="55" t="str">
        <f t="shared" si="97"/>
        <v>Manufatto limitante</v>
      </c>
      <c r="AJ332" s="53">
        <v>55.83</v>
      </c>
      <c r="AK332" s="53">
        <f t="shared" si="98"/>
        <v>8.9253089736700701</v>
      </c>
      <c r="AL332" s="53">
        <f t="shared" si="99"/>
        <v>498.3</v>
      </c>
      <c r="AM332" s="50" t="s">
        <v>190</v>
      </c>
      <c r="AN332" s="56" t="s">
        <v>236</v>
      </c>
      <c r="AO332" s="66">
        <v>2021</v>
      </c>
      <c r="AP332" s="58" t="s">
        <v>1809</v>
      </c>
      <c r="AQ332" s="58" t="s">
        <v>1113</v>
      </c>
      <c r="AR332" s="58" t="s">
        <v>1796</v>
      </c>
      <c r="AS332" s="58"/>
      <c r="AT332" s="64" t="s">
        <v>1797</v>
      </c>
      <c r="AU332" s="1"/>
      <c r="AV332" s="1"/>
      <c r="AW332" s="1"/>
      <c r="AX332" s="1"/>
      <c r="AY332" s="1"/>
      <c r="AZ332" s="1"/>
      <c r="BA332" s="1"/>
      <c r="BB332" s="1"/>
      <c r="BC332" s="1"/>
      <c r="BD332" s="1"/>
      <c r="BE332" s="1"/>
      <c r="BF332" s="1"/>
      <c r="BG332" s="1"/>
    </row>
    <row r="333" spans="1:59" ht="14.25" customHeight="1" x14ac:dyDescent="0.25">
      <c r="A333" s="1"/>
      <c r="B333" s="50"/>
      <c r="C333" s="50" t="s">
        <v>1810</v>
      </c>
      <c r="D333" s="50" t="s">
        <v>1811</v>
      </c>
      <c r="E333" s="50" t="str">
        <f t="shared" si="82"/>
        <v>PP0200390005001B</v>
      </c>
      <c r="F333" s="50"/>
      <c r="G333" s="50" t="s">
        <v>1759</v>
      </c>
      <c r="H333" s="50" t="s">
        <v>95</v>
      </c>
      <c r="I333" s="50" t="s">
        <v>1812</v>
      </c>
      <c r="J333" s="50" t="s">
        <v>1813</v>
      </c>
      <c r="K333" s="50" t="s">
        <v>1762</v>
      </c>
      <c r="L333" s="50" t="s">
        <v>1814</v>
      </c>
      <c r="M333" s="50"/>
      <c r="N333" s="52"/>
      <c r="O333" s="50" t="s">
        <v>151</v>
      </c>
      <c r="P333" s="50">
        <v>562</v>
      </c>
      <c r="Q333" s="53">
        <v>0</v>
      </c>
      <c r="R333" s="53">
        <f t="shared" si="84"/>
        <v>562</v>
      </c>
      <c r="S333" s="54">
        <v>1.32</v>
      </c>
      <c r="T333" s="54">
        <v>0</v>
      </c>
      <c r="U333" s="54">
        <f t="shared" si="85"/>
        <v>1.32</v>
      </c>
      <c r="V333" s="54">
        <v>40.58</v>
      </c>
      <c r="W333" s="52">
        <f t="shared" si="93"/>
        <v>4.8784722222222223</v>
      </c>
      <c r="X333" s="54">
        <f t="shared" si="86"/>
        <v>30.742424242424239</v>
      </c>
      <c r="Y333" s="50" t="str">
        <f t="shared" si="87"/>
        <v>è in grado</v>
      </c>
      <c r="Z333" s="50" t="str">
        <f t="shared" si="88"/>
        <v>non sottende</v>
      </c>
      <c r="AA333" s="106">
        <f t="shared" si="89"/>
        <v>8.3181779359430603</v>
      </c>
      <c r="AB333" s="50" t="str">
        <f t="shared" si="90"/>
        <v>A</v>
      </c>
      <c r="AC333" s="50" t="str">
        <f t="shared" si="83"/>
        <v>SI</v>
      </c>
      <c r="AD333" s="50" t="str">
        <f t="shared" si="91"/>
        <v>Si</v>
      </c>
      <c r="AE333" s="50" t="s">
        <v>147</v>
      </c>
      <c r="AF333" s="55">
        <v>13.1</v>
      </c>
      <c r="AG333" s="55">
        <v>1769</v>
      </c>
      <c r="AH333" s="55">
        <v>347</v>
      </c>
      <c r="AI333" s="55" t="str">
        <f t="shared" si="97"/>
        <v>Manufatto limitante</v>
      </c>
      <c r="AJ333" s="53">
        <v>34.71</v>
      </c>
      <c r="AK333" s="53">
        <f t="shared" si="98"/>
        <v>8.8280034572169406</v>
      </c>
      <c r="AL333" s="53">
        <f t="shared" si="99"/>
        <v>306.42</v>
      </c>
      <c r="AM333" s="50" t="s">
        <v>147</v>
      </c>
      <c r="AN333" s="56" t="s">
        <v>222</v>
      </c>
      <c r="AO333" s="57">
        <v>47095</v>
      </c>
      <c r="AP333" s="58" t="s">
        <v>1764</v>
      </c>
      <c r="AQ333" s="58" t="s">
        <v>1113</v>
      </c>
      <c r="AR333" s="58" t="s">
        <v>544</v>
      </c>
      <c r="AS333" s="58"/>
      <c r="AT333" s="64"/>
      <c r="AU333" s="69"/>
      <c r="AV333" s="69"/>
      <c r="AW333" s="69"/>
      <c r="AX333" s="69"/>
      <c r="AY333" s="69"/>
      <c r="AZ333" s="69"/>
      <c r="BA333" s="69"/>
      <c r="BB333" s="69"/>
      <c r="BC333" s="69"/>
      <c r="BD333" s="69"/>
      <c r="BE333" s="69"/>
      <c r="BF333" s="1"/>
      <c r="BG333" s="1"/>
    </row>
    <row r="334" spans="1:59" ht="14.25" customHeight="1" x14ac:dyDescent="0.25">
      <c r="A334" s="1"/>
      <c r="B334" s="70"/>
      <c r="C334" s="70" t="s">
        <v>1815</v>
      </c>
      <c r="D334" s="50" t="s">
        <v>1816</v>
      </c>
      <c r="E334" s="50" t="str">
        <f t="shared" si="82"/>
        <v>PP0200390012001B</v>
      </c>
      <c r="F334" s="70"/>
      <c r="G334" s="70" t="s">
        <v>1759</v>
      </c>
      <c r="H334" s="70" t="s">
        <v>95</v>
      </c>
      <c r="I334" s="70" t="s">
        <v>1817</v>
      </c>
      <c r="J334" s="50" t="s">
        <v>1818</v>
      </c>
      <c r="K334" s="70" t="s">
        <v>1762</v>
      </c>
      <c r="L334" s="70" t="s">
        <v>1132</v>
      </c>
      <c r="M334" s="70"/>
      <c r="N334" s="72"/>
      <c r="O334" s="70" t="s">
        <v>151</v>
      </c>
      <c r="P334" s="70">
        <v>48</v>
      </c>
      <c r="Q334" s="73">
        <v>0</v>
      </c>
      <c r="R334" s="73">
        <f t="shared" si="84"/>
        <v>48</v>
      </c>
      <c r="S334" s="74">
        <v>0.11</v>
      </c>
      <c r="T334" s="74">
        <v>0</v>
      </c>
      <c r="U334" s="74">
        <f t="shared" si="85"/>
        <v>0.11</v>
      </c>
      <c r="V334" s="74">
        <v>42.96</v>
      </c>
      <c r="W334" s="52">
        <f t="shared" si="93"/>
        <v>0.41666666666666669</v>
      </c>
      <c r="X334" s="74">
        <f t="shared" si="86"/>
        <v>390.54545454545456</v>
      </c>
      <c r="Y334" s="70" t="str">
        <f t="shared" si="87"/>
        <v>è in grado</v>
      </c>
      <c r="Z334" s="70" t="str">
        <f t="shared" si="88"/>
        <v>non sottende</v>
      </c>
      <c r="AA334" s="112">
        <f t="shared" si="89"/>
        <v>103.104</v>
      </c>
      <c r="AB334" s="70" t="str">
        <f t="shared" si="90"/>
        <v>A</v>
      </c>
      <c r="AC334" s="50" t="str">
        <f t="shared" si="83"/>
        <v>SI</v>
      </c>
      <c r="AD334" s="70" t="str">
        <f t="shared" si="91"/>
        <v>Si</v>
      </c>
      <c r="AE334" s="70" t="s">
        <v>147</v>
      </c>
      <c r="AF334" s="71">
        <v>1.45</v>
      </c>
      <c r="AG334" s="71">
        <v>220</v>
      </c>
      <c r="AH334" s="71">
        <v>221</v>
      </c>
      <c r="AI334" s="55" t="str">
        <f t="shared" si="97"/>
        <v xml:space="preserve"> </v>
      </c>
      <c r="AJ334" s="73">
        <v>204.67</v>
      </c>
      <c r="AK334" s="53">
        <f t="shared" si="98"/>
        <v>0.8650021986612596</v>
      </c>
      <c r="AL334" s="53">
        <f t="shared" si="99"/>
        <v>177.04</v>
      </c>
      <c r="AM334" s="70" t="s">
        <v>190</v>
      </c>
      <c r="AN334" s="56" t="s">
        <v>222</v>
      </c>
      <c r="AO334" s="129">
        <v>47095</v>
      </c>
      <c r="AP334" s="58" t="s">
        <v>1764</v>
      </c>
      <c r="AQ334" s="58" t="s">
        <v>1113</v>
      </c>
      <c r="AR334" s="58" t="s">
        <v>544</v>
      </c>
      <c r="AS334" s="58"/>
      <c r="AT334" s="64"/>
      <c r="AU334" s="1"/>
      <c r="AV334" s="1"/>
      <c r="AW334" s="1"/>
      <c r="AX334" s="1"/>
      <c r="AY334" s="1"/>
      <c r="AZ334" s="1"/>
      <c r="BA334" s="1"/>
      <c r="BB334" s="1"/>
      <c r="BC334" s="1"/>
      <c r="BD334" s="1"/>
      <c r="BE334" s="1"/>
      <c r="BF334" s="1"/>
      <c r="BG334" s="1"/>
    </row>
    <row r="335" spans="1:59" ht="14.25" customHeight="1" x14ac:dyDescent="0.25">
      <c r="A335" s="1"/>
      <c r="B335" s="50"/>
      <c r="C335" s="50" t="s">
        <v>1819</v>
      </c>
      <c r="D335" s="50" t="s">
        <v>1820</v>
      </c>
      <c r="E335" s="50" t="str">
        <f t="shared" si="82"/>
        <v>PP0200390007001B</v>
      </c>
      <c r="F335" s="1"/>
      <c r="G335" s="50" t="s">
        <v>1759</v>
      </c>
      <c r="H335" s="50" t="s">
        <v>95</v>
      </c>
      <c r="I335" s="50" t="s">
        <v>1821</v>
      </c>
      <c r="J335" s="50" t="s">
        <v>1822</v>
      </c>
      <c r="K335" s="50" t="s">
        <v>1762</v>
      </c>
      <c r="L335" s="50" t="s">
        <v>1132</v>
      </c>
      <c r="M335" s="50"/>
      <c r="N335" s="52"/>
      <c r="O335" s="50" t="s">
        <v>118</v>
      </c>
      <c r="P335" s="50">
        <v>5257</v>
      </c>
      <c r="Q335" s="53">
        <v>177</v>
      </c>
      <c r="R335" s="53">
        <f t="shared" si="84"/>
        <v>5434</v>
      </c>
      <c r="S335" s="54">
        <v>12.36</v>
      </c>
      <c r="T335" s="54">
        <v>3.83</v>
      </c>
      <c r="U335" s="54">
        <f t="shared" si="85"/>
        <v>16.189999999999998</v>
      </c>
      <c r="V335" s="54">
        <v>62.5</v>
      </c>
      <c r="W335" s="52">
        <f t="shared" si="93"/>
        <v>47.170138888888886</v>
      </c>
      <c r="X335" s="54">
        <f t="shared" si="86"/>
        <v>3.8604076590487959</v>
      </c>
      <c r="Y335" s="50" t="str">
        <f t="shared" si="87"/>
        <v>è in grado</v>
      </c>
      <c r="Z335" s="50" t="str">
        <f t="shared" si="88"/>
        <v>non sottende</v>
      </c>
      <c r="AA335" s="106">
        <f t="shared" si="89"/>
        <v>1.3249907986750094</v>
      </c>
      <c r="AB335" s="50" t="str">
        <f t="shared" si="90"/>
        <v>B</v>
      </c>
      <c r="AC335" s="50" t="str">
        <f t="shared" si="83"/>
        <v>SI</v>
      </c>
      <c r="AD335" s="50" t="str">
        <f t="shared" si="91"/>
        <v>Si</v>
      </c>
      <c r="AE335" s="50" t="s">
        <v>343</v>
      </c>
      <c r="AF335" s="2">
        <v>2.35</v>
      </c>
      <c r="AG335" s="2">
        <v>476</v>
      </c>
      <c r="AH335" s="2">
        <v>137</v>
      </c>
      <c r="AI335" s="55" t="str">
        <f t="shared" si="97"/>
        <v>Manufatto limitante</v>
      </c>
      <c r="AJ335" s="53">
        <v>54.11</v>
      </c>
      <c r="AK335" s="53">
        <f t="shared" si="98"/>
        <v>1.3768249861393458</v>
      </c>
      <c r="AL335" s="53">
        <f t="shared" si="99"/>
        <v>74.5</v>
      </c>
      <c r="AM335" s="50" t="s">
        <v>190</v>
      </c>
      <c r="AN335" s="56" t="s">
        <v>236</v>
      </c>
      <c r="AO335" s="57">
        <v>47095</v>
      </c>
      <c r="AP335" s="58" t="s">
        <v>1764</v>
      </c>
      <c r="AQ335" s="58" t="s">
        <v>1113</v>
      </c>
      <c r="AR335" s="58" t="s">
        <v>544</v>
      </c>
      <c r="AS335" s="58"/>
      <c r="AT335" s="64"/>
      <c r="AU335" s="1"/>
      <c r="AV335" s="1"/>
      <c r="AW335" s="1"/>
      <c r="AX335" s="1"/>
      <c r="AY335" s="1"/>
      <c r="AZ335" s="1"/>
      <c r="BA335" s="1"/>
      <c r="BB335" s="1"/>
      <c r="BC335" s="1"/>
      <c r="BD335" s="1"/>
      <c r="BE335" s="1"/>
      <c r="BF335" s="1"/>
      <c r="BG335" s="1"/>
    </row>
    <row r="336" spans="1:59" ht="14.25" customHeight="1" x14ac:dyDescent="0.25">
      <c r="A336" s="1"/>
      <c r="B336" s="131"/>
      <c r="C336" s="50" t="s">
        <v>1823</v>
      </c>
      <c r="D336" s="50"/>
      <c r="E336" s="50" t="str">
        <f t="shared" si="82"/>
        <v>001B</v>
      </c>
      <c r="F336" s="50"/>
      <c r="G336" s="50" t="s">
        <v>1759</v>
      </c>
      <c r="H336" s="50" t="s">
        <v>95</v>
      </c>
      <c r="I336" s="50" t="s">
        <v>1824</v>
      </c>
      <c r="J336" s="50" t="s">
        <v>1825</v>
      </c>
      <c r="K336" s="50" t="s">
        <v>1762</v>
      </c>
      <c r="L336" s="50" t="s">
        <v>1814</v>
      </c>
      <c r="M336" s="51" t="s">
        <v>221</v>
      </c>
      <c r="N336" s="52"/>
      <c r="O336" s="50" t="s">
        <v>151</v>
      </c>
      <c r="P336" s="50">
        <v>73</v>
      </c>
      <c r="Q336" s="53">
        <v>0</v>
      </c>
      <c r="R336" s="53">
        <f t="shared" si="84"/>
        <v>73</v>
      </c>
      <c r="S336" s="54">
        <v>0.17</v>
      </c>
      <c r="T336" s="54">
        <v>0</v>
      </c>
      <c r="U336" s="54">
        <f t="shared" si="85"/>
        <v>0.17</v>
      </c>
      <c r="V336" s="54">
        <v>312.98</v>
      </c>
      <c r="W336" s="52">
        <f t="shared" si="93"/>
        <v>0.63368055555555558</v>
      </c>
      <c r="X336" s="54">
        <f t="shared" si="86"/>
        <v>1841.0588235294117</v>
      </c>
      <c r="Y336" s="50" t="str">
        <f t="shared" si="87"/>
        <v>è in grado</v>
      </c>
      <c r="Z336" s="50" t="str">
        <f t="shared" si="88"/>
        <v>non sottende</v>
      </c>
      <c r="AA336" s="106">
        <f t="shared" si="89"/>
        <v>493.90816438356165</v>
      </c>
      <c r="AB336" s="50" t="str">
        <f t="shared" si="90"/>
        <v>A</v>
      </c>
      <c r="AC336" s="50" t="str">
        <f t="shared" si="83"/>
        <v>SI</v>
      </c>
      <c r="AD336" s="50" t="str">
        <f t="shared" si="91"/>
        <v>Si</v>
      </c>
      <c r="AE336" s="50" t="s">
        <v>147</v>
      </c>
      <c r="AF336" s="55">
        <v>2.77</v>
      </c>
      <c r="AG336" s="55">
        <v>374</v>
      </c>
      <c r="AH336" s="55">
        <v>242</v>
      </c>
      <c r="AI336" s="55" t="str">
        <f t="shared" si="97"/>
        <v>Manufatto limitante</v>
      </c>
      <c r="AJ336" s="53">
        <v>0</v>
      </c>
      <c r="AK336" s="53" t="e">
        <f t="shared" si="98"/>
        <v>#DIV/0!</v>
      </c>
      <c r="AL336" s="53">
        <f t="shared" si="99"/>
        <v>-70.980000000000018</v>
      </c>
      <c r="AM336" s="50" t="s">
        <v>147</v>
      </c>
      <c r="AN336" s="56" t="s">
        <v>222</v>
      </c>
      <c r="AO336" s="66"/>
      <c r="AP336" s="58" t="s">
        <v>223</v>
      </c>
      <c r="AQ336" s="58" t="s">
        <v>224</v>
      </c>
      <c r="AR336" s="58" t="s">
        <v>225</v>
      </c>
      <c r="AS336" s="58" t="s">
        <v>92</v>
      </c>
      <c r="AT336" s="64"/>
      <c r="AU336" s="1"/>
      <c r="AV336" s="1"/>
      <c r="AW336" s="1"/>
      <c r="AX336" s="1"/>
      <c r="AY336" s="1"/>
      <c r="AZ336" s="1"/>
      <c r="BA336" s="1"/>
      <c r="BB336" s="1"/>
      <c r="BC336" s="1"/>
      <c r="BD336" s="1"/>
      <c r="BE336" s="1"/>
      <c r="BF336" s="1"/>
      <c r="BG336" s="1"/>
    </row>
    <row r="337" spans="1:59" ht="14.25" customHeight="1" x14ac:dyDescent="0.25">
      <c r="A337" s="1"/>
      <c r="B337" s="131"/>
      <c r="C337" s="50" t="s">
        <v>1826</v>
      </c>
      <c r="D337" s="50"/>
      <c r="E337" s="50" t="str">
        <f t="shared" si="82"/>
        <v>001B</v>
      </c>
      <c r="F337" s="50"/>
      <c r="G337" s="50" t="s">
        <v>1759</v>
      </c>
      <c r="H337" s="50" t="s">
        <v>95</v>
      </c>
      <c r="I337" s="50" t="s">
        <v>1827</v>
      </c>
      <c r="J337" s="50" t="s">
        <v>1828</v>
      </c>
      <c r="K337" s="50" t="s">
        <v>1762</v>
      </c>
      <c r="L337" s="50" t="s">
        <v>1814</v>
      </c>
      <c r="M337" s="51" t="s">
        <v>221</v>
      </c>
      <c r="N337" s="52"/>
      <c r="O337" s="50" t="s">
        <v>151</v>
      </c>
      <c r="P337" s="50">
        <v>81</v>
      </c>
      <c r="Q337" s="53">
        <v>0</v>
      </c>
      <c r="R337" s="53">
        <f t="shared" si="84"/>
        <v>81</v>
      </c>
      <c r="S337" s="54">
        <v>0.19</v>
      </c>
      <c r="T337" s="54">
        <v>0</v>
      </c>
      <c r="U337" s="54">
        <f t="shared" si="85"/>
        <v>0.19</v>
      </c>
      <c r="V337" s="54">
        <v>332.61</v>
      </c>
      <c r="W337" s="52">
        <f t="shared" si="93"/>
        <v>0.703125</v>
      </c>
      <c r="X337" s="54">
        <f t="shared" si="86"/>
        <v>1750.578947368421</v>
      </c>
      <c r="Y337" s="50" t="str">
        <f t="shared" si="87"/>
        <v>è in grado</v>
      </c>
      <c r="Z337" s="50" t="str">
        <f t="shared" si="88"/>
        <v>non sottende</v>
      </c>
      <c r="AA337" s="106">
        <f t="shared" si="89"/>
        <v>473.04533333333336</v>
      </c>
      <c r="AB337" s="50" t="str">
        <f t="shared" si="90"/>
        <v>A</v>
      </c>
      <c r="AC337" s="50" t="str">
        <f t="shared" si="83"/>
        <v>SI</v>
      </c>
      <c r="AD337" s="50" t="str">
        <f t="shared" si="91"/>
        <v>Si</v>
      </c>
      <c r="AE337" s="50" t="s">
        <v>147</v>
      </c>
      <c r="AF337" s="55">
        <v>0.34</v>
      </c>
      <c r="AG337" s="55">
        <v>300</v>
      </c>
      <c r="AH337" s="55">
        <v>122</v>
      </c>
      <c r="AI337" s="55" t="str">
        <f t="shared" si="97"/>
        <v>Manufatto limitante</v>
      </c>
      <c r="AJ337" s="53">
        <v>0</v>
      </c>
      <c r="AK337" s="53" t="e">
        <f t="shared" si="98"/>
        <v>#DIV/0!</v>
      </c>
      <c r="AL337" s="53">
        <f t="shared" si="99"/>
        <v>-210.61</v>
      </c>
      <c r="AM337" s="50" t="s">
        <v>147</v>
      </c>
      <c r="AN337" s="56" t="s">
        <v>222</v>
      </c>
      <c r="AO337" s="66"/>
      <c r="AP337" s="58" t="s">
        <v>223</v>
      </c>
      <c r="AQ337" s="58" t="s">
        <v>224</v>
      </c>
      <c r="AR337" s="58" t="s">
        <v>225</v>
      </c>
      <c r="AS337" s="58" t="s">
        <v>92</v>
      </c>
      <c r="AT337" s="64"/>
      <c r="AU337" s="1"/>
      <c r="AV337" s="1"/>
      <c r="AW337" s="1"/>
      <c r="AX337" s="1"/>
      <c r="AY337" s="1"/>
      <c r="AZ337" s="1"/>
      <c r="BA337" s="1"/>
      <c r="BB337" s="1"/>
      <c r="BC337" s="1"/>
      <c r="BD337" s="1"/>
      <c r="BE337" s="1"/>
      <c r="BF337" s="1"/>
      <c r="BG337" s="1"/>
    </row>
    <row r="338" spans="1:59" ht="14.25" customHeight="1" x14ac:dyDescent="0.25">
      <c r="A338" s="1"/>
      <c r="B338" s="131"/>
      <c r="C338" s="50" t="s">
        <v>1829</v>
      </c>
      <c r="D338" s="50"/>
      <c r="E338" s="50" t="str">
        <f t="shared" si="82"/>
        <v>001B</v>
      </c>
      <c r="F338" s="50"/>
      <c r="G338" s="50" t="s">
        <v>1759</v>
      </c>
      <c r="H338" s="50" t="s">
        <v>95</v>
      </c>
      <c r="I338" s="50" t="s">
        <v>1830</v>
      </c>
      <c r="J338" s="50" t="s">
        <v>1831</v>
      </c>
      <c r="K338" s="50" t="s">
        <v>1762</v>
      </c>
      <c r="L338" s="50" t="s">
        <v>1814</v>
      </c>
      <c r="M338" s="51" t="s">
        <v>221</v>
      </c>
      <c r="N338" s="52"/>
      <c r="O338" s="50" t="s">
        <v>151</v>
      </c>
      <c r="P338" s="50">
        <v>89</v>
      </c>
      <c r="Q338" s="53">
        <v>0</v>
      </c>
      <c r="R338" s="53">
        <f t="shared" si="84"/>
        <v>89</v>
      </c>
      <c r="S338" s="54">
        <v>0.21</v>
      </c>
      <c r="T338" s="54">
        <v>0</v>
      </c>
      <c r="U338" s="54">
        <f t="shared" si="85"/>
        <v>0.21</v>
      </c>
      <c r="V338" s="54">
        <v>320.25</v>
      </c>
      <c r="W338" s="52">
        <f t="shared" si="93"/>
        <v>0.77256944444444442</v>
      </c>
      <c r="X338" s="54">
        <f t="shared" si="86"/>
        <v>1525</v>
      </c>
      <c r="Y338" s="50" t="str">
        <f t="shared" si="87"/>
        <v>è in grado</v>
      </c>
      <c r="Z338" s="50" t="str">
        <f t="shared" si="88"/>
        <v>non sottende</v>
      </c>
      <c r="AA338" s="106">
        <f t="shared" si="89"/>
        <v>414.52584269662924</v>
      </c>
      <c r="AB338" s="50" t="str">
        <f t="shared" si="90"/>
        <v>A</v>
      </c>
      <c r="AC338" s="50" t="str">
        <f t="shared" si="83"/>
        <v>SI</v>
      </c>
      <c r="AD338" s="50" t="str">
        <f t="shared" si="91"/>
        <v>Si</v>
      </c>
      <c r="AE338" s="50" t="s">
        <v>147</v>
      </c>
      <c r="AF338" s="55">
        <v>0.32</v>
      </c>
      <c r="AG338" s="55">
        <v>178</v>
      </c>
      <c r="AH338" s="55">
        <v>268</v>
      </c>
      <c r="AI338" s="55" t="str">
        <f t="shared" si="97"/>
        <v xml:space="preserve"> </v>
      </c>
      <c r="AJ338" s="53">
        <v>0</v>
      </c>
      <c r="AK338" s="53" t="e">
        <f t="shared" si="98"/>
        <v>#DIV/0!</v>
      </c>
      <c r="AL338" s="53">
        <f t="shared" si="99"/>
        <v>-142.25</v>
      </c>
      <c r="AM338" s="50" t="s">
        <v>147</v>
      </c>
      <c r="AN338" s="56" t="s">
        <v>222</v>
      </c>
      <c r="AO338" s="66"/>
      <c r="AP338" s="58" t="s">
        <v>223</v>
      </c>
      <c r="AQ338" s="58" t="s">
        <v>224</v>
      </c>
      <c r="AR338" s="58" t="s">
        <v>225</v>
      </c>
      <c r="AS338" s="58" t="s">
        <v>92</v>
      </c>
      <c r="AT338" s="64"/>
      <c r="AU338" s="69"/>
      <c r="AV338" s="69"/>
      <c r="AW338" s="69"/>
      <c r="AX338" s="69"/>
      <c r="AY338" s="69"/>
      <c r="AZ338" s="69"/>
      <c r="BA338" s="69"/>
      <c r="BB338" s="69"/>
      <c r="BC338" s="69"/>
      <c r="BD338" s="69"/>
      <c r="BE338" s="69"/>
      <c r="BF338" s="1"/>
      <c r="BG338" s="1"/>
    </row>
    <row r="339" spans="1:59" ht="14.25" customHeight="1" x14ac:dyDescent="0.25">
      <c r="A339" s="1"/>
      <c r="B339" s="131"/>
      <c r="C339" s="70" t="s">
        <v>1832</v>
      </c>
      <c r="D339" s="50"/>
      <c r="E339" s="50" t="str">
        <f t="shared" si="82"/>
        <v>001B</v>
      </c>
      <c r="F339" s="70"/>
      <c r="G339" s="70" t="s">
        <v>1759</v>
      </c>
      <c r="H339" s="70" t="s">
        <v>95</v>
      </c>
      <c r="I339" s="70" t="s">
        <v>1833</v>
      </c>
      <c r="J339" s="50" t="s">
        <v>1834</v>
      </c>
      <c r="K339" s="70" t="s">
        <v>1762</v>
      </c>
      <c r="L339" s="70" t="s">
        <v>1814</v>
      </c>
      <c r="M339" s="122" t="s">
        <v>221</v>
      </c>
      <c r="N339" s="72"/>
      <c r="O339" s="70" t="s">
        <v>151</v>
      </c>
      <c r="P339" s="70">
        <v>97</v>
      </c>
      <c r="Q339" s="73">
        <v>0</v>
      </c>
      <c r="R339" s="73">
        <f t="shared" si="84"/>
        <v>97</v>
      </c>
      <c r="S339" s="74">
        <v>0.23</v>
      </c>
      <c r="T339" s="74">
        <v>0</v>
      </c>
      <c r="U339" s="74">
        <f t="shared" si="85"/>
        <v>0.23</v>
      </c>
      <c r="V339" s="74">
        <v>321.98</v>
      </c>
      <c r="W339" s="52">
        <f t="shared" si="93"/>
        <v>0.84201388888888884</v>
      </c>
      <c r="X339" s="74">
        <f t="shared" si="86"/>
        <v>1399.913043478261</v>
      </c>
      <c r="Y339" s="70" t="str">
        <f t="shared" si="87"/>
        <v>è in grado</v>
      </c>
      <c r="Z339" s="70" t="str">
        <f t="shared" si="88"/>
        <v>non sottende</v>
      </c>
      <c r="AA339" s="112">
        <f t="shared" si="89"/>
        <v>382.39274226804127</v>
      </c>
      <c r="AB339" s="70" t="str">
        <f t="shared" si="90"/>
        <v>A</v>
      </c>
      <c r="AC339" s="50" t="str">
        <f t="shared" si="83"/>
        <v>SI</v>
      </c>
      <c r="AD339" s="70" t="str">
        <f t="shared" si="91"/>
        <v>Si</v>
      </c>
      <c r="AE339" s="70" t="s">
        <v>147</v>
      </c>
      <c r="AF339" s="71">
        <v>0.35</v>
      </c>
      <c r="AG339" s="71">
        <v>240</v>
      </c>
      <c r="AH339" s="71">
        <v>102</v>
      </c>
      <c r="AI339" s="55" t="str">
        <f t="shared" si="97"/>
        <v>Manufatto limitante</v>
      </c>
      <c r="AJ339" s="73">
        <v>0</v>
      </c>
      <c r="AK339" s="53" t="e">
        <f t="shared" si="98"/>
        <v>#DIV/0!</v>
      </c>
      <c r="AL339" s="53">
        <f t="shared" si="99"/>
        <v>-219.98000000000002</v>
      </c>
      <c r="AM339" s="70" t="s">
        <v>147</v>
      </c>
      <c r="AN339" s="56" t="s">
        <v>222</v>
      </c>
      <c r="AO339" s="66"/>
      <c r="AP339" s="58" t="s">
        <v>223</v>
      </c>
      <c r="AQ339" s="58" t="s">
        <v>224</v>
      </c>
      <c r="AR339" s="58" t="s">
        <v>225</v>
      </c>
      <c r="AS339" s="58" t="s">
        <v>92</v>
      </c>
      <c r="AT339" s="64"/>
      <c r="AU339" s="1"/>
      <c r="AV339" s="1"/>
      <c r="AW339" s="1"/>
      <c r="AX339" s="1"/>
      <c r="AY339" s="1"/>
      <c r="AZ339" s="1"/>
      <c r="BA339" s="1"/>
      <c r="BB339" s="1"/>
      <c r="BC339" s="1"/>
      <c r="BD339" s="1"/>
      <c r="BE339" s="1"/>
      <c r="BF339" s="1"/>
      <c r="BG339" s="1"/>
    </row>
    <row r="340" spans="1:59" ht="14.25" customHeight="1" x14ac:dyDescent="0.25">
      <c r="A340" s="1"/>
      <c r="B340" s="131"/>
      <c r="C340" s="50" t="s">
        <v>1835</v>
      </c>
      <c r="D340" s="50"/>
      <c r="E340" s="50" t="str">
        <f t="shared" si="82"/>
        <v>001B</v>
      </c>
      <c r="F340" s="50"/>
      <c r="G340" s="50" t="s">
        <v>1759</v>
      </c>
      <c r="H340" s="50" t="s">
        <v>95</v>
      </c>
      <c r="I340" s="50" t="s">
        <v>1836</v>
      </c>
      <c r="J340" s="50" t="s">
        <v>1837</v>
      </c>
      <c r="K340" s="50" t="s">
        <v>1762</v>
      </c>
      <c r="L340" s="50" t="s">
        <v>1814</v>
      </c>
      <c r="M340" s="51" t="s">
        <v>221</v>
      </c>
      <c r="N340" s="52"/>
      <c r="O340" s="50" t="s">
        <v>159</v>
      </c>
      <c r="P340" s="50">
        <v>108</v>
      </c>
      <c r="Q340" s="53">
        <v>0</v>
      </c>
      <c r="R340" s="53">
        <f t="shared" si="84"/>
        <v>108</v>
      </c>
      <c r="S340" s="54">
        <v>0.25</v>
      </c>
      <c r="T340" s="54">
        <v>0</v>
      </c>
      <c r="U340" s="54">
        <f t="shared" si="85"/>
        <v>0.25</v>
      </c>
      <c r="V340" s="54">
        <v>9.4</v>
      </c>
      <c r="W340" s="52">
        <f t="shared" si="93"/>
        <v>0.9375</v>
      </c>
      <c r="X340" s="54">
        <f t="shared" si="86"/>
        <v>37.6</v>
      </c>
      <c r="Y340" s="50" t="str">
        <f t="shared" si="87"/>
        <v>è in grado</v>
      </c>
      <c r="Z340" s="50" t="str">
        <f t="shared" si="88"/>
        <v>non sottende</v>
      </c>
      <c r="AA340" s="106">
        <f t="shared" si="89"/>
        <v>10.026666666666667</v>
      </c>
      <c r="AB340" s="50" t="str">
        <f t="shared" si="90"/>
        <v>A</v>
      </c>
      <c r="AC340" s="50" t="str">
        <f t="shared" si="83"/>
        <v>SI</v>
      </c>
      <c r="AD340" s="50" t="str">
        <f t="shared" si="91"/>
        <v>No</v>
      </c>
      <c r="AE340" s="50" t="s">
        <v>147</v>
      </c>
      <c r="AF340" s="55">
        <v>0.47</v>
      </c>
      <c r="AG340" s="55">
        <v>181</v>
      </c>
      <c r="AH340" s="55">
        <v>59</v>
      </c>
      <c r="AI340" s="55" t="str">
        <f t="shared" si="97"/>
        <v>Manufatto limitante</v>
      </c>
      <c r="AJ340" s="53">
        <v>179.48</v>
      </c>
      <c r="AK340" s="53">
        <f t="shared" si="98"/>
        <v>0.27635391129930914</v>
      </c>
      <c r="AL340" s="53">
        <f t="shared" si="99"/>
        <v>49.6</v>
      </c>
      <c r="AM340" s="50" t="s">
        <v>190</v>
      </c>
      <c r="AN340" s="56" t="s">
        <v>222</v>
      </c>
      <c r="AO340" s="66"/>
      <c r="AP340" s="58" t="s">
        <v>223</v>
      </c>
      <c r="AQ340" s="58" t="s">
        <v>224</v>
      </c>
      <c r="AR340" s="58" t="s">
        <v>225</v>
      </c>
      <c r="AS340" s="58" t="s">
        <v>92</v>
      </c>
      <c r="AT340" s="64"/>
      <c r="AU340" s="1"/>
      <c r="AV340" s="1"/>
      <c r="AW340" s="1"/>
      <c r="AX340" s="1"/>
      <c r="AY340" s="1"/>
      <c r="AZ340" s="1"/>
      <c r="BA340" s="1"/>
      <c r="BB340" s="1"/>
      <c r="BC340" s="1"/>
      <c r="BD340" s="1"/>
      <c r="BE340" s="1"/>
      <c r="BF340" s="1"/>
      <c r="BG340" s="1"/>
    </row>
    <row r="341" spans="1:59" ht="14.25" customHeight="1" x14ac:dyDescent="0.25">
      <c r="A341" s="1"/>
      <c r="B341" s="50"/>
      <c r="C341" s="50" t="s">
        <v>1838</v>
      </c>
      <c r="D341" s="50"/>
      <c r="E341" s="50" t="str">
        <f t="shared" si="82"/>
        <v>001B</v>
      </c>
      <c r="F341" s="50"/>
      <c r="G341" s="50" t="s">
        <v>1839</v>
      </c>
      <c r="H341" s="50" t="s">
        <v>1840</v>
      </c>
      <c r="I341" s="50" t="s">
        <v>1841</v>
      </c>
      <c r="J341" s="50" t="s">
        <v>1842</v>
      </c>
      <c r="K341" s="50" t="s">
        <v>1839</v>
      </c>
      <c r="L341" s="50" t="s">
        <v>1843</v>
      </c>
      <c r="M341" s="50"/>
      <c r="N341" s="52"/>
      <c r="O341" s="50" t="s">
        <v>151</v>
      </c>
      <c r="P341" s="50">
        <v>50</v>
      </c>
      <c r="Q341" s="53">
        <v>0</v>
      </c>
      <c r="R341" s="53">
        <f t="shared" si="84"/>
        <v>50</v>
      </c>
      <c r="S341" s="54">
        <v>0.12</v>
      </c>
      <c r="T341" s="54">
        <v>0</v>
      </c>
      <c r="U341" s="54">
        <f t="shared" si="85"/>
        <v>0.12</v>
      </c>
      <c r="V341" s="54">
        <v>21</v>
      </c>
      <c r="W341" s="52">
        <f t="shared" si="93"/>
        <v>0.43402777777777779</v>
      </c>
      <c r="X341" s="54">
        <f t="shared" si="86"/>
        <v>175</v>
      </c>
      <c r="Y341" s="50" t="str">
        <f t="shared" si="87"/>
        <v>è in grado</v>
      </c>
      <c r="Z341" s="50" t="str">
        <f t="shared" si="88"/>
        <v>non sottende</v>
      </c>
      <c r="AA341" s="106">
        <f t="shared" si="89"/>
        <v>48.384</v>
      </c>
      <c r="AB341" s="50" t="str">
        <f t="shared" si="90"/>
        <v>A</v>
      </c>
      <c r="AC341" s="50" t="str">
        <f t="shared" si="83"/>
        <v>SI</v>
      </c>
      <c r="AD341" s="50" t="str">
        <f t="shared" si="91"/>
        <v>Si</v>
      </c>
      <c r="AE341" s="50" t="s">
        <v>490</v>
      </c>
      <c r="AF341" s="50">
        <v>3.9</v>
      </c>
      <c r="AG341" s="50">
        <v>402</v>
      </c>
      <c r="AH341" s="50">
        <v>1278</v>
      </c>
      <c r="AI341" s="55" t="str">
        <f>IF(AG343&gt;AH343, "Manufatto limitante", " ")</f>
        <v xml:space="preserve"> </v>
      </c>
      <c r="AJ341" s="53">
        <v>226.93</v>
      </c>
      <c r="AK341" s="53">
        <f>((MIN(AG343:AH343))-V341)/AJ341</f>
        <v>17.022870488696956</v>
      </c>
      <c r="AL341" s="53">
        <f t="shared" si="99"/>
        <v>381</v>
      </c>
      <c r="AM341" s="50" t="s">
        <v>190</v>
      </c>
      <c r="AN341" s="56" t="s">
        <v>222</v>
      </c>
      <c r="AO341" s="57">
        <v>47103</v>
      </c>
      <c r="AP341" s="58" t="s">
        <v>1844</v>
      </c>
      <c r="AQ341" s="58" t="s">
        <v>445</v>
      </c>
      <c r="AR341" s="75">
        <v>52017</v>
      </c>
      <c r="AS341" s="58" t="s">
        <v>1845</v>
      </c>
      <c r="AT341" s="50"/>
      <c r="AU341" s="1"/>
      <c r="AV341" s="1"/>
      <c r="AW341" s="1"/>
      <c r="AX341" s="1"/>
      <c r="AY341" s="1"/>
      <c r="AZ341" s="1"/>
      <c r="BA341" s="1"/>
      <c r="BB341" s="1"/>
      <c r="BC341" s="1"/>
      <c r="BD341" s="1"/>
      <c r="BE341" s="1"/>
      <c r="BF341" s="1"/>
      <c r="BG341" s="1"/>
    </row>
    <row r="342" spans="1:59" ht="14.25" customHeight="1" x14ac:dyDescent="0.25">
      <c r="A342" s="1"/>
      <c r="B342" s="131"/>
      <c r="C342" s="50" t="s">
        <v>1846</v>
      </c>
      <c r="D342" s="50"/>
      <c r="E342" s="50" t="str">
        <f t="shared" si="82"/>
        <v>001B</v>
      </c>
      <c r="F342" s="50"/>
      <c r="G342" s="50" t="s">
        <v>1839</v>
      </c>
      <c r="H342" s="50" t="s">
        <v>1847</v>
      </c>
      <c r="I342" s="50" t="s">
        <v>1848</v>
      </c>
      <c r="J342" s="50" t="s">
        <v>1849</v>
      </c>
      <c r="K342" s="50" t="s">
        <v>1850</v>
      </c>
      <c r="L342" s="50" t="s">
        <v>1851</v>
      </c>
      <c r="M342" s="50"/>
      <c r="N342" s="52"/>
      <c r="O342" s="50" t="s">
        <v>159</v>
      </c>
      <c r="P342" s="50">
        <v>100</v>
      </c>
      <c r="Q342" s="53">
        <v>0</v>
      </c>
      <c r="R342" s="53">
        <f t="shared" si="84"/>
        <v>100</v>
      </c>
      <c r="S342" s="54">
        <v>0.24</v>
      </c>
      <c r="T342" s="54">
        <v>0</v>
      </c>
      <c r="U342" s="54">
        <f t="shared" si="85"/>
        <v>0.24</v>
      </c>
      <c r="V342" s="54">
        <v>4.25</v>
      </c>
      <c r="W342" s="52">
        <f t="shared" si="93"/>
        <v>0.86805555555555558</v>
      </c>
      <c r="X342" s="54">
        <f t="shared" si="86"/>
        <v>17.708333333333336</v>
      </c>
      <c r="Y342" s="50" t="str">
        <f t="shared" si="87"/>
        <v>è in grado</v>
      </c>
      <c r="Z342" s="50" t="str">
        <f t="shared" si="88"/>
        <v>non sottende</v>
      </c>
      <c r="AA342" s="106">
        <f t="shared" si="89"/>
        <v>4.8959999999999999</v>
      </c>
      <c r="AB342" s="50" t="str">
        <f t="shared" si="90"/>
        <v>A</v>
      </c>
      <c r="AC342" s="50" t="str">
        <f t="shared" si="83"/>
        <v>SI</v>
      </c>
      <c r="AD342" s="50" t="str">
        <f t="shared" si="91"/>
        <v>No</v>
      </c>
      <c r="AE342" s="50" t="s">
        <v>147</v>
      </c>
      <c r="AF342" s="55">
        <v>2.4300000000000002</v>
      </c>
      <c r="AG342" s="55">
        <v>294</v>
      </c>
      <c r="AH342" s="55">
        <v>525</v>
      </c>
      <c r="AI342" s="55"/>
      <c r="AJ342" s="53">
        <v>239.5</v>
      </c>
      <c r="AK342" s="53">
        <v>1.21</v>
      </c>
      <c r="AL342" s="53">
        <f t="shared" si="99"/>
        <v>289.75</v>
      </c>
      <c r="AM342" s="50" t="s">
        <v>190</v>
      </c>
      <c r="AN342" s="56" t="s">
        <v>222</v>
      </c>
      <c r="AO342" s="66"/>
      <c r="AP342" s="58" t="s">
        <v>722</v>
      </c>
      <c r="AQ342" s="58" t="s">
        <v>255</v>
      </c>
      <c r="AR342" s="58" t="s">
        <v>626</v>
      </c>
      <c r="AS342" s="58"/>
      <c r="AT342" s="50" t="s">
        <v>1852</v>
      </c>
      <c r="AU342" s="1"/>
      <c r="AV342" s="1"/>
      <c r="AW342" s="1"/>
      <c r="AX342" s="1"/>
      <c r="AY342" s="1"/>
      <c r="AZ342" s="1"/>
      <c r="BA342" s="1"/>
      <c r="BB342" s="1"/>
      <c r="BC342" s="1"/>
      <c r="BD342" s="1"/>
      <c r="BE342" s="1"/>
      <c r="BF342" s="1"/>
      <c r="BG342" s="1"/>
    </row>
    <row r="343" spans="1:59" ht="14.25" customHeight="1" x14ac:dyDescent="0.25">
      <c r="A343" s="1"/>
      <c r="B343" s="50"/>
      <c r="C343" s="50" t="s">
        <v>1853</v>
      </c>
      <c r="D343" s="50"/>
      <c r="E343" s="50" t="str">
        <f t="shared" si="82"/>
        <v>001B</v>
      </c>
      <c r="F343" s="50" t="s">
        <v>1854</v>
      </c>
      <c r="G343" s="50" t="s">
        <v>1839</v>
      </c>
      <c r="H343" s="50" t="s">
        <v>95</v>
      </c>
      <c r="I343" s="50" t="s">
        <v>1855</v>
      </c>
      <c r="J343" s="50" t="s">
        <v>1856</v>
      </c>
      <c r="K343" s="50" t="s">
        <v>1839</v>
      </c>
      <c r="L343" s="50" t="s">
        <v>1857</v>
      </c>
      <c r="M343" s="50"/>
      <c r="N343" s="52"/>
      <c r="O343" s="50" t="s">
        <v>159</v>
      </c>
      <c r="P343" s="50">
        <v>1460</v>
      </c>
      <c r="Q343" s="53">
        <v>105</v>
      </c>
      <c r="R343" s="53">
        <f t="shared" si="84"/>
        <v>1565</v>
      </c>
      <c r="S343" s="54">
        <v>3.43</v>
      </c>
      <c r="T343" s="54">
        <v>0.59</v>
      </c>
      <c r="U343" s="54">
        <f t="shared" si="85"/>
        <v>4.0200000000000005</v>
      </c>
      <c r="V343" s="54">
        <v>25</v>
      </c>
      <c r="W343" s="52">
        <f t="shared" si="93"/>
        <v>13.585069444444445</v>
      </c>
      <c r="X343" s="54">
        <f t="shared" si="86"/>
        <v>6.2189054726368154</v>
      </c>
      <c r="Y343" s="50" t="str">
        <f t="shared" si="87"/>
        <v>è in grado</v>
      </c>
      <c r="Z343" s="50" t="str">
        <f t="shared" si="88"/>
        <v>non sottende</v>
      </c>
      <c r="AA343" s="106">
        <f t="shared" si="89"/>
        <v>1.840255591054313</v>
      </c>
      <c r="AB343" s="50" t="str">
        <f t="shared" si="90"/>
        <v>B</v>
      </c>
      <c r="AC343" s="50" t="str">
        <f t="shared" si="83"/>
        <v>SI</v>
      </c>
      <c r="AD343" s="50" t="str">
        <f t="shared" si="91"/>
        <v>Si</v>
      </c>
      <c r="AE343" s="50"/>
      <c r="AF343" s="55">
        <v>50.3</v>
      </c>
      <c r="AG343" s="55">
        <v>3884</v>
      </c>
      <c r="AH343" s="55">
        <v>6300</v>
      </c>
      <c r="AI343" s="55"/>
      <c r="AJ343" s="53">
        <v>139</v>
      </c>
      <c r="AK343" s="53"/>
      <c r="AL343" s="53">
        <f t="shared" si="99"/>
        <v>3859</v>
      </c>
      <c r="AM343" s="50"/>
      <c r="AN343" s="56" t="s">
        <v>222</v>
      </c>
      <c r="AO343" s="57">
        <v>47103</v>
      </c>
      <c r="AP343" s="58" t="s">
        <v>1844</v>
      </c>
      <c r="AQ343" s="58" t="s">
        <v>445</v>
      </c>
      <c r="AR343" s="75">
        <v>52017</v>
      </c>
      <c r="AS343" s="58" t="s">
        <v>1845</v>
      </c>
      <c r="AT343" s="50"/>
      <c r="AU343" s="1"/>
      <c r="AV343" s="1"/>
      <c r="AW343" s="1"/>
      <c r="AX343" s="1"/>
      <c r="AY343" s="1"/>
      <c r="AZ343" s="1"/>
      <c r="BA343" s="1"/>
      <c r="BB343" s="1"/>
      <c r="BC343" s="1"/>
      <c r="BD343" s="1"/>
      <c r="BE343" s="1"/>
      <c r="BF343" s="1"/>
      <c r="BG343" s="1"/>
    </row>
    <row r="344" spans="1:59" ht="14.25" customHeight="1" x14ac:dyDescent="0.25">
      <c r="A344" s="1"/>
      <c r="B344" s="50"/>
      <c r="C344" s="50" t="s">
        <v>1858</v>
      </c>
      <c r="D344" s="50"/>
      <c r="E344" s="50" t="str">
        <f t="shared" si="82"/>
        <v>001B</v>
      </c>
      <c r="F344" s="50"/>
      <c r="G344" s="50" t="s">
        <v>1839</v>
      </c>
      <c r="H344" s="50" t="s">
        <v>95</v>
      </c>
      <c r="I344" s="50" t="s">
        <v>1859</v>
      </c>
      <c r="J344" s="50" t="s">
        <v>1860</v>
      </c>
      <c r="K344" s="50" t="s">
        <v>1839</v>
      </c>
      <c r="L344" s="50" t="s">
        <v>1861</v>
      </c>
      <c r="M344" s="50"/>
      <c r="N344" s="52"/>
      <c r="O344" s="50" t="s">
        <v>151</v>
      </c>
      <c r="P344" s="50">
        <v>257</v>
      </c>
      <c r="Q344" s="53">
        <v>0</v>
      </c>
      <c r="R344" s="53">
        <f t="shared" si="84"/>
        <v>257</v>
      </c>
      <c r="S344" s="54">
        <v>0.6</v>
      </c>
      <c r="T344" s="54">
        <v>0</v>
      </c>
      <c r="U344" s="54">
        <f t="shared" si="85"/>
        <v>0.6</v>
      </c>
      <c r="V344" s="54">
        <v>139.19</v>
      </c>
      <c r="W344" s="52">
        <f t="shared" si="93"/>
        <v>2.2309027777777777</v>
      </c>
      <c r="X344" s="54">
        <f t="shared" si="86"/>
        <v>231.98333333333335</v>
      </c>
      <c r="Y344" s="50" t="str">
        <f t="shared" si="87"/>
        <v>è in grado</v>
      </c>
      <c r="Z344" s="50" t="str">
        <f t="shared" si="88"/>
        <v>non sottende</v>
      </c>
      <c r="AA344" s="106">
        <f t="shared" si="89"/>
        <v>62.391782101167315</v>
      </c>
      <c r="AB344" s="50" t="str">
        <f t="shared" si="90"/>
        <v>A</v>
      </c>
      <c r="AC344" s="50" t="str">
        <f t="shared" si="83"/>
        <v>SI</v>
      </c>
      <c r="AD344" s="50" t="str">
        <f t="shared" si="91"/>
        <v>Si</v>
      </c>
      <c r="AE344" s="50" t="s">
        <v>147</v>
      </c>
      <c r="AF344" s="55">
        <v>8.1</v>
      </c>
      <c r="AG344" s="55">
        <v>674</v>
      </c>
      <c r="AH344" s="55">
        <v>764</v>
      </c>
      <c r="AI344" s="55" t="str">
        <f>IF(AG346&gt;AH346, "Manufatto limitante", " ")</f>
        <v>Manufatto limitante</v>
      </c>
      <c r="AJ344" s="53">
        <v>145.35</v>
      </c>
      <c r="AK344" s="53">
        <f>((MIN(AG344:AH344))-V344)/AJ344</f>
        <v>3.6794633642930856</v>
      </c>
      <c r="AL344" s="53">
        <f t="shared" si="99"/>
        <v>534.80999999999995</v>
      </c>
      <c r="AM344" s="50" t="s">
        <v>190</v>
      </c>
      <c r="AN344" s="56" t="s">
        <v>222</v>
      </c>
      <c r="AO344" s="57">
        <v>47103</v>
      </c>
      <c r="AP344" s="58" t="s">
        <v>1844</v>
      </c>
      <c r="AQ344" s="58" t="s">
        <v>445</v>
      </c>
      <c r="AR344" s="75">
        <v>52017</v>
      </c>
      <c r="AS344" s="58" t="s">
        <v>1845</v>
      </c>
      <c r="AT344" s="50"/>
      <c r="AU344" s="1"/>
      <c r="AV344" s="1"/>
      <c r="AW344" s="1"/>
      <c r="AX344" s="1"/>
      <c r="AY344" s="1"/>
      <c r="AZ344" s="1"/>
      <c r="BA344" s="1"/>
      <c r="BB344" s="1"/>
      <c r="BC344" s="1"/>
      <c r="BD344" s="1"/>
      <c r="BE344" s="1"/>
      <c r="BF344" s="1"/>
      <c r="BG344" s="1"/>
    </row>
    <row r="345" spans="1:59" ht="14.25" customHeight="1" x14ac:dyDescent="0.25">
      <c r="A345" s="1"/>
      <c r="B345" s="50"/>
      <c r="C345" s="50" t="s">
        <v>1862</v>
      </c>
      <c r="D345" s="50"/>
      <c r="E345" s="50" t="str">
        <f t="shared" si="82"/>
        <v>001B</v>
      </c>
      <c r="F345" s="50"/>
      <c r="G345" s="50" t="s">
        <v>1839</v>
      </c>
      <c r="H345" s="50" t="s">
        <v>95</v>
      </c>
      <c r="I345" s="50" t="s">
        <v>1863</v>
      </c>
      <c r="J345" s="50" t="s">
        <v>1864</v>
      </c>
      <c r="K345" s="50" t="s">
        <v>1839</v>
      </c>
      <c r="L345" s="50" t="s">
        <v>1857</v>
      </c>
      <c r="M345" s="51" t="s">
        <v>221</v>
      </c>
      <c r="N345" s="52"/>
      <c r="O345" s="50" t="s">
        <v>159</v>
      </c>
      <c r="P345" s="50">
        <v>349</v>
      </c>
      <c r="Q345" s="53">
        <v>1</v>
      </c>
      <c r="R345" s="53">
        <f t="shared" si="84"/>
        <v>350</v>
      </c>
      <c r="S345" s="54">
        <v>0.82</v>
      </c>
      <c r="T345" s="54">
        <v>0.02</v>
      </c>
      <c r="U345" s="54">
        <f t="shared" si="85"/>
        <v>0.84</v>
      </c>
      <c r="V345" s="54">
        <v>52.07</v>
      </c>
      <c r="W345" s="52">
        <f t="shared" si="93"/>
        <v>3.0381944444444446</v>
      </c>
      <c r="X345" s="54">
        <f t="shared" si="86"/>
        <v>61.988095238095241</v>
      </c>
      <c r="Y345" s="50" t="str">
        <f t="shared" si="87"/>
        <v>è in grado</v>
      </c>
      <c r="Z345" s="50" t="str">
        <f t="shared" si="88"/>
        <v>non sottende</v>
      </c>
      <c r="AA345" s="106">
        <f t="shared" si="89"/>
        <v>17.138468571428572</v>
      </c>
      <c r="AB345" s="50" t="str">
        <f t="shared" si="90"/>
        <v>A</v>
      </c>
      <c r="AC345" s="50" t="str">
        <f t="shared" si="83"/>
        <v>SI</v>
      </c>
      <c r="AD345" s="50" t="str">
        <f t="shared" si="91"/>
        <v>Si</v>
      </c>
      <c r="AE345" s="50" t="s">
        <v>147</v>
      </c>
      <c r="AF345" s="55">
        <v>14.6</v>
      </c>
      <c r="AG345" s="55">
        <v>1294</v>
      </c>
      <c r="AH345" s="55">
        <v>1391</v>
      </c>
      <c r="AI345" s="55" t="str">
        <f t="shared" ref="AI345:AI346" si="100">IF(AG349&gt;AH349, "Manufatto limitante", " ")</f>
        <v xml:space="preserve"> </v>
      </c>
      <c r="AJ345" s="53">
        <v>154.63999999999999</v>
      </c>
      <c r="AK345" s="53" t="e">
        <f>((MIN(#REF!))-V345)/AJ345</f>
        <v>#REF!</v>
      </c>
      <c r="AL345" s="53">
        <f t="shared" si="99"/>
        <v>1241.93</v>
      </c>
      <c r="AM345" s="50" t="s">
        <v>190</v>
      </c>
      <c r="AN345" s="56" t="s">
        <v>222</v>
      </c>
      <c r="AO345" s="66" t="s">
        <v>1865</v>
      </c>
      <c r="AP345" s="58" t="s">
        <v>1866</v>
      </c>
      <c r="AQ345" s="58" t="s">
        <v>224</v>
      </c>
      <c r="AR345" s="75">
        <v>52017</v>
      </c>
      <c r="AS345" s="58" t="s">
        <v>1845</v>
      </c>
      <c r="AT345" s="50"/>
      <c r="AU345" s="69"/>
      <c r="AV345" s="69"/>
      <c r="AW345" s="69"/>
      <c r="AX345" s="69"/>
      <c r="AY345" s="69"/>
      <c r="AZ345" s="69"/>
      <c r="BA345" s="69"/>
      <c r="BB345" s="69"/>
      <c r="BC345" s="69"/>
      <c r="BD345" s="69"/>
      <c r="BE345" s="69"/>
      <c r="BF345" s="1"/>
      <c r="BG345" s="1"/>
    </row>
    <row r="346" spans="1:59" ht="14.25" customHeight="1" x14ac:dyDescent="0.25">
      <c r="A346" s="1"/>
      <c r="B346" s="70"/>
      <c r="C346" s="70" t="s">
        <v>1867</v>
      </c>
      <c r="D346" s="50"/>
      <c r="E346" s="50" t="str">
        <f t="shared" si="82"/>
        <v>001B</v>
      </c>
      <c r="F346" s="70" t="s">
        <v>1868</v>
      </c>
      <c r="G346" s="70" t="s">
        <v>1839</v>
      </c>
      <c r="H346" s="70" t="s">
        <v>95</v>
      </c>
      <c r="I346" s="70" t="s">
        <v>1869</v>
      </c>
      <c r="J346" s="50" t="s">
        <v>1856</v>
      </c>
      <c r="K346" s="70" t="s">
        <v>1839</v>
      </c>
      <c r="L346" s="70" t="s">
        <v>1857</v>
      </c>
      <c r="M346" s="70"/>
      <c r="N346" s="72"/>
      <c r="O346" s="70" t="s">
        <v>159</v>
      </c>
      <c r="P346" s="70">
        <v>0</v>
      </c>
      <c r="Q346" s="73">
        <v>105</v>
      </c>
      <c r="R346" s="73">
        <f t="shared" si="84"/>
        <v>105</v>
      </c>
      <c r="S346" s="74">
        <v>0</v>
      </c>
      <c r="T346" s="74">
        <v>1.98</v>
      </c>
      <c r="U346" s="74">
        <f t="shared" si="85"/>
        <v>1.98</v>
      </c>
      <c r="V346" s="74">
        <v>25</v>
      </c>
      <c r="W346" s="52">
        <f t="shared" si="93"/>
        <v>4.95</v>
      </c>
      <c r="X346" s="74">
        <f t="shared" si="86"/>
        <v>12.626262626262626</v>
      </c>
      <c r="Y346" s="70" t="str">
        <f t="shared" si="87"/>
        <v>è in grado</v>
      </c>
      <c r="Z346" s="70" t="str">
        <f t="shared" si="88"/>
        <v>non sottende</v>
      </c>
      <c r="AA346" s="112">
        <f t="shared" si="89"/>
        <v>5.0505050505050502</v>
      </c>
      <c r="AB346" s="70" t="str">
        <f t="shared" si="90"/>
        <v>A</v>
      </c>
      <c r="AC346" s="50" t="str">
        <f t="shared" si="83"/>
        <v>SI</v>
      </c>
      <c r="AD346" s="70" t="str">
        <f t="shared" si="91"/>
        <v>Si</v>
      </c>
      <c r="AE346" s="70" t="s">
        <v>605</v>
      </c>
      <c r="AF346" s="71">
        <v>15.8</v>
      </c>
      <c r="AG346" s="71">
        <v>3432</v>
      </c>
      <c r="AH346" s="71">
        <v>1822</v>
      </c>
      <c r="AI346" s="55" t="str">
        <f t="shared" si="100"/>
        <v xml:space="preserve"> </v>
      </c>
      <c r="AJ346" s="73">
        <v>142.15</v>
      </c>
      <c r="AK346" s="53">
        <f t="shared" ref="AK346:AK396" si="101">((MIN(AG346:AH346))-V346)/AJ346</f>
        <v>12.641575800211044</v>
      </c>
      <c r="AL346" s="53">
        <f t="shared" si="99"/>
        <v>1797</v>
      </c>
      <c r="AM346" s="70" t="s">
        <v>190</v>
      </c>
      <c r="AN346" s="56" t="s">
        <v>236</v>
      </c>
      <c r="AO346" s="143"/>
      <c r="AP346" s="107" t="s">
        <v>1870</v>
      </c>
      <c r="AQ346" s="58" t="s">
        <v>445</v>
      </c>
      <c r="AR346" s="75">
        <v>52017</v>
      </c>
      <c r="AS346" s="58" t="s">
        <v>1845</v>
      </c>
      <c r="AT346" s="50"/>
      <c r="AU346" s="1"/>
      <c r="AV346" s="1"/>
      <c r="AW346" s="1"/>
      <c r="AX346" s="1"/>
      <c r="AY346" s="1"/>
      <c r="AZ346" s="1"/>
      <c r="BA346" s="1"/>
      <c r="BB346" s="1"/>
      <c r="BC346" s="1"/>
      <c r="BD346" s="1"/>
      <c r="BE346" s="1"/>
      <c r="BF346" s="1"/>
      <c r="BG346" s="1"/>
    </row>
    <row r="347" spans="1:59" ht="14.25" customHeight="1" x14ac:dyDescent="0.25">
      <c r="A347" s="1"/>
      <c r="B347" s="50"/>
      <c r="C347" s="50" t="s">
        <v>1871</v>
      </c>
      <c r="D347" s="50"/>
      <c r="E347" s="50" t="str">
        <f t="shared" si="82"/>
        <v>001B</v>
      </c>
      <c r="F347" s="50"/>
      <c r="G347" s="50" t="s">
        <v>1839</v>
      </c>
      <c r="H347" s="50" t="s">
        <v>95</v>
      </c>
      <c r="I347" s="50" t="s">
        <v>1872</v>
      </c>
      <c r="J347" s="50" t="s">
        <v>1873</v>
      </c>
      <c r="K347" s="50" t="s">
        <v>1839</v>
      </c>
      <c r="L347" s="70" t="s">
        <v>1857</v>
      </c>
      <c r="M347" s="50" t="s">
        <v>286</v>
      </c>
      <c r="N347" s="52"/>
      <c r="O347" s="50" t="s">
        <v>159</v>
      </c>
      <c r="P347" s="50">
        <v>854</v>
      </c>
      <c r="Q347" s="53">
        <v>0</v>
      </c>
      <c r="R347" s="53">
        <f t="shared" si="84"/>
        <v>854</v>
      </c>
      <c r="S347" s="54">
        <v>2.0099999999999998</v>
      </c>
      <c r="T347" s="54">
        <v>0</v>
      </c>
      <c r="U347" s="54">
        <f t="shared" si="85"/>
        <v>2.0099999999999998</v>
      </c>
      <c r="V347" s="54">
        <v>14.35</v>
      </c>
      <c r="W347" s="52">
        <f t="shared" si="93"/>
        <v>7.4131944444444446</v>
      </c>
      <c r="X347" s="54">
        <f t="shared" si="86"/>
        <v>7.1393034825870654</v>
      </c>
      <c r="Y347" s="50" t="str">
        <f t="shared" si="87"/>
        <v>è in grado</v>
      </c>
      <c r="Z347" s="50" t="str">
        <f t="shared" si="88"/>
        <v>non sottende</v>
      </c>
      <c r="AA347" s="106">
        <f t="shared" si="89"/>
        <v>1.9357377049180327</v>
      </c>
      <c r="AB347" s="50" t="str">
        <f t="shared" si="90"/>
        <v>B</v>
      </c>
      <c r="AC347" s="50" t="str">
        <f t="shared" si="83"/>
        <v>SI</v>
      </c>
      <c r="AD347" s="50" t="str">
        <f t="shared" si="91"/>
        <v>No</v>
      </c>
      <c r="AE347" s="50" t="s">
        <v>605</v>
      </c>
      <c r="AF347" s="55">
        <v>27.7</v>
      </c>
      <c r="AG347" s="55">
        <v>2613</v>
      </c>
      <c r="AH347" s="55">
        <v>2198</v>
      </c>
      <c r="AI347" s="55" t="str">
        <f>IF(AG349&gt;AH349, "Manufatto limitante", " ")</f>
        <v xml:space="preserve"> </v>
      </c>
      <c r="AJ347" s="53">
        <v>143.33000000000001</v>
      </c>
      <c r="AK347" s="53">
        <f t="shared" si="101"/>
        <v>15.235121747017372</v>
      </c>
      <c r="AL347" s="53">
        <f t="shared" si="99"/>
        <v>2183.65</v>
      </c>
      <c r="AM347" s="50" t="s">
        <v>190</v>
      </c>
      <c r="AN347" s="56" t="s">
        <v>236</v>
      </c>
      <c r="AO347" s="66"/>
      <c r="AP347" s="58" t="s">
        <v>1870</v>
      </c>
      <c r="AQ347" s="58" t="s">
        <v>445</v>
      </c>
      <c r="AR347" s="75">
        <v>52017</v>
      </c>
      <c r="AS347" s="58" t="s">
        <v>1845</v>
      </c>
      <c r="AT347" s="50"/>
      <c r="AU347" s="1"/>
      <c r="AV347" s="1"/>
      <c r="AW347" s="1"/>
      <c r="AX347" s="1"/>
      <c r="AY347" s="1"/>
      <c r="AZ347" s="1"/>
      <c r="BA347" s="1"/>
      <c r="BB347" s="1"/>
      <c r="BC347" s="1"/>
      <c r="BD347" s="1"/>
      <c r="BE347" s="1"/>
      <c r="BF347" s="1"/>
      <c r="BG347" s="1"/>
    </row>
    <row r="348" spans="1:59" ht="14.25" customHeight="1" x14ac:dyDescent="0.25">
      <c r="A348" s="1"/>
      <c r="B348" s="50"/>
      <c r="C348" s="50" t="s">
        <v>1874</v>
      </c>
      <c r="D348" s="50"/>
      <c r="E348" s="50" t="str">
        <f t="shared" si="82"/>
        <v>001B</v>
      </c>
      <c r="F348" s="50"/>
      <c r="G348" s="50" t="s">
        <v>1875</v>
      </c>
      <c r="H348" s="50" t="s">
        <v>1876</v>
      </c>
      <c r="I348" s="50" t="s">
        <v>1877</v>
      </c>
      <c r="J348" s="50" t="s">
        <v>1878</v>
      </c>
      <c r="K348" s="50" t="s">
        <v>1879</v>
      </c>
      <c r="L348" s="50" t="s">
        <v>1880</v>
      </c>
      <c r="M348" s="50"/>
      <c r="N348" s="52"/>
      <c r="O348" s="50" t="s">
        <v>151</v>
      </c>
      <c r="P348" s="50">
        <v>68</v>
      </c>
      <c r="Q348" s="53">
        <v>0</v>
      </c>
      <c r="R348" s="53">
        <f t="shared" si="84"/>
        <v>68</v>
      </c>
      <c r="S348" s="54">
        <v>0.16</v>
      </c>
      <c r="T348" s="54">
        <v>0</v>
      </c>
      <c r="U348" s="54">
        <f t="shared" si="85"/>
        <v>0.16</v>
      </c>
      <c r="V348" s="54">
        <v>24.46</v>
      </c>
      <c r="W348" s="52">
        <f t="shared" si="93"/>
        <v>0.59027777777777779</v>
      </c>
      <c r="X348" s="54">
        <f t="shared" si="86"/>
        <v>152.875</v>
      </c>
      <c r="Y348" s="50" t="str">
        <f t="shared" si="87"/>
        <v>è in grado</v>
      </c>
      <c r="Z348" s="50" t="str">
        <f t="shared" si="88"/>
        <v>non sottende</v>
      </c>
      <c r="AA348" s="106">
        <f t="shared" si="89"/>
        <v>41.438117647058824</v>
      </c>
      <c r="AB348" s="50" t="str">
        <f t="shared" si="90"/>
        <v>A</v>
      </c>
      <c r="AC348" s="50" t="str">
        <f t="shared" si="83"/>
        <v>SI</v>
      </c>
      <c r="AD348" s="50" t="str">
        <f t="shared" si="91"/>
        <v>Si</v>
      </c>
      <c r="AE348" s="50" t="s">
        <v>490</v>
      </c>
      <c r="AF348" s="55">
        <v>1.31</v>
      </c>
      <c r="AG348" s="55">
        <v>194</v>
      </c>
      <c r="AH348" s="55">
        <v>1340</v>
      </c>
      <c r="AI348" s="55" t="str">
        <f t="shared" ref="AI348:AI387" si="102">IF(AG348&gt;AH348, "Manufatto limitante", " ")</f>
        <v xml:space="preserve"> </v>
      </c>
      <c r="AJ348" s="53">
        <v>276.26</v>
      </c>
      <c r="AK348" s="53">
        <f t="shared" si="101"/>
        <v>0.61369724172880624</v>
      </c>
      <c r="AL348" s="53">
        <f t="shared" si="99"/>
        <v>169.54</v>
      </c>
      <c r="AM348" s="50" t="s">
        <v>190</v>
      </c>
      <c r="AN348" s="56" t="s">
        <v>222</v>
      </c>
      <c r="AO348" s="67">
        <v>44561</v>
      </c>
      <c r="AP348" s="58" t="s">
        <v>1881</v>
      </c>
      <c r="AQ348" s="58" t="s">
        <v>313</v>
      </c>
      <c r="AR348" s="58" t="s">
        <v>544</v>
      </c>
      <c r="AS348" s="58"/>
      <c r="AT348" s="50" t="s">
        <v>1882</v>
      </c>
      <c r="AU348" s="1"/>
      <c r="AV348" s="1"/>
      <c r="AW348" s="1"/>
      <c r="AX348" s="1"/>
      <c r="AY348" s="1"/>
      <c r="AZ348" s="1"/>
      <c r="BA348" s="1"/>
      <c r="BB348" s="1"/>
      <c r="BC348" s="1"/>
      <c r="BD348" s="1"/>
      <c r="BE348" s="1"/>
      <c r="BF348" s="1"/>
      <c r="BG348" s="1"/>
    </row>
    <row r="349" spans="1:59" ht="14.25" customHeight="1" x14ac:dyDescent="0.25">
      <c r="A349" s="1"/>
      <c r="B349" s="50"/>
      <c r="C349" s="50" t="s">
        <v>1883</v>
      </c>
      <c r="D349" s="50" t="s">
        <v>1884</v>
      </c>
      <c r="E349" s="50" t="str">
        <f t="shared" si="82"/>
        <v>PP0200450001001B</v>
      </c>
      <c r="F349" s="50"/>
      <c r="G349" s="50" t="s">
        <v>1875</v>
      </c>
      <c r="H349" s="50" t="s">
        <v>1876</v>
      </c>
      <c r="I349" s="50" t="s">
        <v>1885</v>
      </c>
      <c r="J349" s="50" t="s">
        <v>1886</v>
      </c>
      <c r="K349" s="50" t="s">
        <v>1887</v>
      </c>
      <c r="L349" s="50" t="s">
        <v>1880</v>
      </c>
      <c r="M349" s="50"/>
      <c r="N349" s="52"/>
      <c r="O349" s="50" t="s">
        <v>151</v>
      </c>
      <c r="P349" s="50">
        <v>7467</v>
      </c>
      <c r="Q349" s="53">
        <v>20.5</v>
      </c>
      <c r="R349" s="53">
        <f t="shared" si="84"/>
        <v>7487.5</v>
      </c>
      <c r="S349" s="54">
        <v>17.559999999999999</v>
      </c>
      <c r="T349" s="54">
        <v>0.24</v>
      </c>
      <c r="U349" s="54">
        <f t="shared" si="85"/>
        <v>17.799999999999997</v>
      </c>
      <c r="V349" s="54">
        <v>249.5</v>
      </c>
      <c r="W349" s="52">
        <f t="shared" si="93"/>
        <v>64.995659722222229</v>
      </c>
      <c r="X349" s="54">
        <f t="shared" si="86"/>
        <v>14.016853932584272</v>
      </c>
      <c r="Y349" s="50" t="str">
        <f t="shared" si="87"/>
        <v>è in grado</v>
      </c>
      <c r="Z349" s="50" t="str">
        <f t="shared" si="88"/>
        <v>non sottende</v>
      </c>
      <c r="AA349" s="106">
        <f t="shared" si="89"/>
        <v>3.8387178631051748</v>
      </c>
      <c r="AB349" s="50" t="str">
        <f t="shared" si="90"/>
        <v>A</v>
      </c>
      <c r="AC349" s="50" t="str">
        <f t="shared" si="83"/>
        <v>SI</v>
      </c>
      <c r="AD349" s="50" t="str">
        <f t="shared" si="91"/>
        <v>Si</v>
      </c>
      <c r="AE349" s="50" t="s">
        <v>147</v>
      </c>
      <c r="AF349" s="55">
        <v>30.9</v>
      </c>
      <c r="AG349" s="55">
        <v>3001</v>
      </c>
      <c r="AH349" s="55">
        <v>6811</v>
      </c>
      <c r="AI349" s="55" t="str">
        <f t="shared" si="102"/>
        <v xml:space="preserve"> </v>
      </c>
      <c r="AJ349" s="53">
        <v>233.83</v>
      </c>
      <c r="AK349" s="53">
        <f t="shared" si="101"/>
        <v>11.767095753325064</v>
      </c>
      <c r="AL349" s="53">
        <f t="shared" si="99"/>
        <v>2751.5</v>
      </c>
      <c r="AM349" s="50" t="s">
        <v>190</v>
      </c>
      <c r="AN349" s="56" t="s">
        <v>222</v>
      </c>
      <c r="AO349" s="57">
        <v>46690</v>
      </c>
      <c r="AP349" s="58" t="s">
        <v>1888</v>
      </c>
      <c r="AQ349" s="58" t="s">
        <v>313</v>
      </c>
      <c r="AR349" s="58" t="s">
        <v>239</v>
      </c>
      <c r="AS349" s="58"/>
      <c r="AT349" s="64" t="s">
        <v>1889</v>
      </c>
      <c r="AU349" s="1"/>
      <c r="AV349" s="1"/>
      <c r="AW349" s="1"/>
      <c r="AX349" s="1"/>
      <c r="AY349" s="1"/>
      <c r="AZ349" s="1"/>
      <c r="BA349" s="1"/>
      <c r="BB349" s="1"/>
      <c r="BC349" s="1"/>
      <c r="BD349" s="1"/>
      <c r="BE349" s="1"/>
      <c r="BF349" s="1"/>
      <c r="BG349" s="1"/>
    </row>
    <row r="350" spans="1:59" ht="14.25" customHeight="1" x14ac:dyDescent="0.25">
      <c r="A350" s="1"/>
      <c r="B350" s="50"/>
      <c r="C350" s="50" t="s">
        <v>1890</v>
      </c>
      <c r="D350" s="50"/>
      <c r="E350" s="50" t="str">
        <f t="shared" si="82"/>
        <v>001B</v>
      </c>
      <c r="F350" s="50"/>
      <c r="G350" s="50" t="s">
        <v>1875</v>
      </c>
      <c r="H350" s="50" t="s">
        <v>1891</v>
      </c>
      <c r="I350" s="50" t="s">
        <v>1892</v>
      </c>
      <c r="J350" s="50" t="s">
        <v>1893</v>
      </c>
      <c r="K350" s="50" t="s">
        <v>1879</v>
      </c>
      <c r="L350" s="50" t="s">
        <v>1894</v>
      </c>
      <c r="M350" s="51" t="s">
        <v>221</v>
      </c>
      <c r="N350" s="52"/>
      <c r="O350" s="50" t="s">
        <v>151</v>
      </c>
      <c r="P350" s="50">
        <v>102</v>
      </c>
      <c r="Q350" s="53">
        <v>0</v>
      </c>
      <c r="R350" s="53">
        <f t="shared" si="84"/>
        <v>102</v>
      </c>
      <c r="S350" s="54">
        <v>0.24</v>
      </c>
      <c r="T350" s="54">
        <v>0</v>
      </c>
      <c r="U350" s="54">
        <f t="shared" si="85"/>
        <v>0.24</v>
      </c>
      <c r="V350" s="54">
        <v>29.57</v>
      </c>
      <c r="W350" s="52">
        <f t="shared" si="93"/>
        <v>0.88541666666666663</v>
      </c>
      <c r="X350" s="54">
        <f t="shared" si="86"/>
        <v>123.20833333333334</v>
      </c>
      <c r="Y350" s="50" t="str">
        <f t="shared" si="87"/>
        <v>è in grado</v>
      </c>
      <c r="Z350" s="50" t="str">
        <f t="shared" si="88"/>
        <v>non sottende</v>
      </c>
      <c r="AA350" s="106">
        <f t="shared" si="89"/>
        <v>33.39670588235294</v>
      </c>
      <c r="AB350" s="50" t="str">
        <f t="shared" si="90"/>
        <v>A</v>
      </c>
      <c r="AC350" s="50" t="str">
        <f t="shared" si="83"/>
        <v>SI</v>
      </c>
      <c r="AD350" s="50" t="str">
        <f t="shared" si="91"/>
        <v>Si</v>
      </c>
      <c r="AE350" s="50" t="s">
        <v>490</v>
      </c>
      <c r="AF350" s="55">
        <v>1.48</v>
      </c>
      <c r="AG350" s="55">
        <v>189</v>
      </c>
      <c r="AH350" s="55">
        <v>315</v>
      </c>
      <c r="AI350" s="55" t="str">
        <f t="shared" si="102"/>
        <v xml:space="preserve"> </v>
      </c>
      <c r="AJ350" s="53">
        <v>256.86</v>
      </c>
      <c r="AK350" s="53">
        <f t="shared" si="101"/>
        <v>0.62068831269952507</v>
      </c>
      <c r="AL350" s="53">
        <f t="shared" si="99"/>
        <v>159.43</v>
      </c>
      <c r="AM350" s="50" t="s">
        <v>190</v>
      </c>
      <c r="AN350" s="56" t="s">
        <v>222</v>
      </c>
      <c r="AO350" s="66" t="s">
        <v>92</v>
      </c>
      <c r="AP350" s="58" t="s">
        <v>1895</v>
      </c>
      <c r="AQ350" s="58" t="s">
        <v>224</v>
      </c>
      <c r="AR350" s="58" t="s">
        <v>225</v>
      </c>
      <c r="AS350" s="58" t="s">
        <v>92</v>
      </c>
      <c r="AT350" s="50"/>
      <c r="AU350" s="1"/>
      <c r="AV350" s="1"/>
      <c r="AW350" s="1"/>
      <c r="AX350" s="1"/>
      <c r="AY350" s="1"/>
      <c r="AZ350" s="1"/>
      <c r="BA350" s="1"/>
      <c r="BB350" s="1"/>
      <c r="BC350" s="1"/>
      <c r="BD350" s="1"/>
      <c r="BE350" s="1"/>
      <c r="BF350" s="1"/>
      <c r="BG350" s="1"/>
    </row>
    <row r="351" spans="1:59" ht="14.25" customHeight="1" x14ac:dyDescent="0.25">
      <c r="A351" s="1"/>
      <c r="B351" s="50"/>
      <c r="C351" s="50" t="s">
        <v>1896</v>
      </c>
      <c r="D351" s="50"/>
      <c r="E351" s="50" t="str">
        <f t="shared" si="82"/>
        <v>001B</v>
      </c>
      <c r="F351" s="50" t="s">
        <v>1897</v>
      </c>
      <c r="G351" s="50" t="s">
        <v>1875</v>
      </c>
      <c r="H351" s="50" t="s">
        <v>1891</v>
      </c>
      <c r="I351" s="50" t="s">
        <v>1898</v>
      </c>
      <c r="J351" s="50" t="s">
        <v>1899</v>
      </c>
      <c r="K351" s="50" t="s">
        <v>1879</v>
      </c>
      <c r="L351" s="50" t="s">
        <v>1894</v>
      </c>
      <c r="M351" s="51" t="s">
        <v>221</v>
      </c>
      <c r="N351" s="52"/>
      <c r="O351" s="50" t="s">
        <v>151</v>
      </c>
      <c r="P351" s="50">
        <v>48</v>
      </c>
      <c r="Q351" s="53">
        <v>0</v>
      </c>
      <c r="R351" s="53">
        <f t="shared" si="84"/>
        <v>48</v>
      </c>
      <c r="S351" s="54">
        <v>0.11</v>
      </c>
      <c r="T351" s="54">
        <v>0</v>
      </c>
      <c r="U351" s="54">
        <f t="shared" si="85"/>
        <v>0.11</v>
      </c>
      <c r="V351" s="54">
        <v>21.29</v>
      </c>
      <c r="W351" s="52">
        <f t="shared" si="93"/>
        <v>0.41666666666666669</v>
      </c>
      <c r="X351" s="54">
        <f t="shared" si="86"/>
        <v>193.54545454545453</v>
      </c>
      <c r="Y351" s="50" t="str">
        <f t="shared" si="87"/>
        <v>è in grado</v>
      </c>
      <c r="Z351" s="50" t="str">
        <f t="shared" si="88"/>
        <v>non sottende</v>
      </c>
      <c r="AA351" s="106">
        <f t="shared" si="89"/>
        <v>51.095999999999997</v>
      </c>
      <c r="AB351" s="50" t="str">
        <f t="shared" si="90"/>
        <v>A</v>
      </c>
      <c r="AC351" s="50" t="str">
        <f t="shared" si="83"/>
        <v>SI</v>
      </c>
      <c r="AD351" s="50" t="str">
        <f t="shared" si="91"/>
        <v>Si</v>
      </c>
      <c r="AE351" s="50" t="s">
        <v>490</v>
      </c>
      <c r="AF351" s="55">
        <v>1.42</v>
      </c>
      <c r="AG351" s="55">
        <v>159</v>
      </c>
      <c r="AH351" s="55">
        <v>257</v>
      </c>
      <c r="AI351" s="55" t="str">
        <f t="shared" si="102"/>
        <v xml:space="preserve"> </v>
      </c>
      <c r="AJ351" s="53">
        <v>241.14</v>
      </c>
      <c r="AK351" s="53">
        <f t="shared" si="101"/>
        <v>0.57107904122086761</v>
      </c>
      <c r="AL351" s="53">
        <f t="shared" si="99"/>
        <v>137.71</v>
      </c>
      <c r="AM351" s="50" t="s">
        <v>190</v>
      </c>
      <c r="AN351" s="56" t="s">
        <v>222</v>
      </c>
      <c r="AO351" s="66" t="s">
        <v>92</v>
      </c>
      <c r="AP351" s="58" t="s">
        <v>1900</v>
      </c>
      <c r="AQ351" s="58" t="s">
        <v>224</v>
      </c>
      <c r="AR351" s="58" t="s">
        <v>225</v>
      </c>
      <c r="AS351" s="58" t="s">
        <v>92</v>
      </c>
      <c r="AT351" s="50"/>
      <c r="AU351" s="1"/>
      <c r="AV351" s="1"/>
      <c r="AW351" s="1"/>
      <c r="AX351" s="1"/>
      <c r="AY351" s="1"/>
      <c r="AZ351" s="1"/>
      <c r="BA351" s="1"/>
      <c r="BB351" s="1"/>
      <c r="BC351" s="1"/>
      <c r="BD351" s="1"/>
      <c r="BE351" s="1"/>
      <c r="BF351" s="1"/>
      <c r="BG351" s="1"/>
    </row>
    <row r="352" spans="1:59" ht="14.25" customHeight="1" x14ac:dyDescent="0.25">
      <c r="A352" s="1"/>
      <c r="B352" s="50"/>
      <c r="C352" s="50" t="s">
        <v>1901</v>
      </c>
      <c r="D352" s="50"/>
      <c r="E352" s="50" t="str">
        <f t="shared" si="82"/>
        <v>001B</v>
      </c>
      <c r="F352" s="50"/>
      <c r="G352" s="50" t="s">
        <v>1875</v>
      </c>
      <c r="H352" s="50" t="s">
        <v>1891</v>
      </c>
      <c r="I352" s="50" t="s">
        <v>1902</v>
      </c>
      <c r="J352" s="50" t="s">
        <v>1903</v>
      </c>
      <c r="K352" s="50" t="s">
        <v>1879</v>
      </c>
      <c r="L352" s="50" t="s">
        <v>1904</v>
      </c>
      <c r="M352" s="50"/>
      <c r="N352" s="52"/>
      <c r="O352" s="50" t="s">
        <v>159</v>
      </c>
      <c r="P352" s="50">
        <v>191</v>
      </c>
      <c r="Q352" s="53">
        <v>0</v>
      </c>
      <c r="R352" s="53">
        <f t="shared" si="84"/>
        <v>191</v>
      </c>
      <c r="S352" s="54">
        <v>0.45</v>
      </c>
      <c r="T352" s="54">
        <v>0</v>
      </c>
      <c r="U352" s="54">
        <f t="shared" si="85"/>
        <v>0.45</v>
      </c>
      <c r="V352" s="54">
        <v>10</v>
      </c>
      <c r="W352" s="52">
        <f t="shared" si="93"/>
        <v>1.6579861111111112</v>
      </c>
      <c r="X352" s="54">
        <f t="shared" si="86"/>
        <v>22.222222222222221</v>
      </c>
      <c r="Y352" s="50" t="str">
        <f t="shared" si="87"/>
        <v>è in grado</v>
      </c>
      <c r="Z352" s="50" t="str">
        <f t="shared" si="88"/>
        <v>non sottende</v>
      </c>
      <c r="AA352" s="106">
        <f t="shared" si="89"/>
        <v>6.0314136125654452</v>
      </c>
      <c r="AB352" s="50" t="str">
        <f t="shared" si="90"/>
        <v>A</v>
      </c>
      <c r="AC352" s="50" t="str">
        <f t="shared" si="83"/>
        <v>SI</v>
      </c>
      <c r="AD352" s="50" t="str">
        <f t="shared" si="91"/>
        <v>No</v>
      </c>
      <c r="AE352" s="50" t="s">
        <v>490</v>
      </c>
      <c r="AF352" s="55">
        <v>5.27</v>
      </c>
      <c r="AG352" s="55">
        <v>587</v>
      </c>
      <c r="AH352" s="55">
        <v>841</v>
      </c>
      <c r="AI352" s="55" t="str">
        <f t="shared" si="102"/>
        <v xml:space="preserve"> </v>
      </c>
      <c r="AJ352" s="53">
        <v>235.57</v>
      </c>
      <c r="AK352" s="53">
        <f t="shared" si="101"/>
        <v>2.4493781041728573</v>
      </c>
      <c r="AL352" s="53">
        <f t="shared" si="99"/>
        <v>577</v>
      </c>
      <c r="AM352" s="50" t="s">
        <v>190</v>
      </c>
      <c r="AN352" s="56" t="s">
        <v>222</v>
      </c>
      <c r="AO352" s="66"/>
      <c r="AP352" s="58" t="s">
        <v>723</v>
      </c>
      <c r="AQ352" s="58" t="s">
        <v>238</v>
      </c>
      <c r="AR352" s="58" t="s">
        <v>544</v>
      </c>
      <c r="AS352" s="58"/>
      <c r="AT352" s="50" t="s">
        <v>1882</v>
      </c>
      <c r="AU352" s="1"/>
      <c r="AV352" s="1"/>
      <c r="AW352" s="1"/>
      <c r="AX352" s="1"/>
      <c r="AY352" s="1"/>
      <c r="AZ352" s="1"/>
      <c r="BA352" s="1"/>
      <c r="BB352" s="1"/>
      <c r="BC352" s="1"/>
      <c r="BD352" s="1"/>
      <c r="BE352" s="1"/>
      <c r="BF352" s="1"/>
      <c r="BG352" s="1"/>
    </row>
    <row r="353" spans="1:59" ht="14.25" customHeight="1" x14ac:dyDescent="0.25">
      <c r="A353" s="1"/>
      <c r="B353" s="50"/>
      <c r="C353" s="50" t="s">
        <v>1905</v>
      </c>
      <c r="D353" s="50"/>
      <c r="E353" s="50" t="str">
        <f t="shared" si="82"/>
        <v>001B</v>
      </c>
      <c r="F353" s="50"/>
      <c r="G353" s="50" t="s">
        <v>1875</v>
      </c>
      <c r="H353" s="50" t="s">
        <v>1876</v>
      </c>
      <c r="I353" s="50" t="s">
        <v>1906</v>
      </c>
      <c r="J353" s="50" t="s">
        <v>1907</v>
      </c>
      <c r="K353" s="50" t="s">
        <v>1887</v>
      </c>
      <c r="L353" s="50" t="s">
        <v>1908</v>
      </c>
      <c r="M353" s="51" t="s">
        <v>221</v>
      </c>
      <c r="N353" s="52"/>
      <c r="O353" s="50" t="s">
        <v>151</v>
      </c>
      <c r="P353" s="50">
        <v>486</v>
      </c>
      <c r="Q353" s="53">
        <v>0</v>
      </c>
      <c r="R353" s="53">
        <f t="shared" si="84"/>
        <v>486</v>
      </c>
      <c r="S353" s="54">
        <v>1.1399999999999999</v>
      </c>
      <c r="T353" s="54">
        <v>0</v>
      </c>
      <c r="U353" s="54">
        <f t="shared" si="85"/>
        <v>1.1399999999999999</v>
      </c>
      <c r="V353" s="54">
        <v>657.19</v>
      </c>
      <c r="W353" s="52">
        <f t="shared" si="93"/>
        <v>4.21875</v>
      </c>
      <c r="X353" s="54">
        <f t="shared" si="86"/>
        <v>576.48245614035102</v>
      </c>
      <c r="Y353" s="50" t="str">
        <f t="shared" si="87"/>
        <v>è in grado</v>
      </c>
      <c r="Z353" s="50" t="str">
        <f t="shared" si="88"/>
        <v>non sottende</v>
      </c>
      <c r="AA353" s="106">
        <f t="shared" si="89"/>
        <v>155.7783703703704</v>
      </c>
      <c r="AB353" s="50" t="str">
        <f t="shared" si="90"/>
        <v>A</v>
      </c>
      <c r="AC353" s="50" t="str">
        <f t="shared" si="83"/>
        <v>SI</v>
      </c>
      <c r="AD353" s="50" t="str">
        <f t="shared" si="91"/>
        <v>Si</v>
      </c>
      <c r="AE353" s="50" t="s">
        <v>147</v>
      </c>
      <c r="AF353" s="55">
        <v>9.9</v>
      </c>
      <c r="AG353" s="55">
        <v>959</v>
      </c>
      <c r="AH353" s="55">
        <v>5510</v>
      </c>
      <c r="AI353" s="55" t="str">
        <f t="shared" si="102"/>
        <v xml:space="preserve"> </v>
      </c>
      <c r="AJ353" s="53">
        <v>60.37</v>
      </c>
      <c r="AK353" s="53">
        <f t="shared" si="101"/>
        <v>4.9993374192479703</v>
      </c>
      <c r="AL353" s="53">
        <f t="shared" si="99"/>
        <v>301.80999999999995</v>
      </c>
      <c r="AM353" s="50" t="s">
        <v>190</v>
      </c>
      <c r="AN353" s="56" t="s">
        <v>222</v>
      </c>
      <c r="AO353" s="66"/>
      <c r="AP353" s="58" t="s">
        <v>223</v>
      </c>
      <c r="AQ353" s="58" t="s">
        <v>224</v>
      </c>
      <c r="AR353" s="58" t="s">
        <v>225</v>
      </c>
      <c r="AS353" s="58" t="s">
        <v>92</v>
      </c>
      <c r="AT353" s="64"/>
      <c r="AU353" s="1"/>
      <c r="AV353" s="1"/>
      <c r="AW353" s="1"/>
      <c r="AX353" s="1"/>
      <c r="AY353" s="1"/>
      <c r="AZ353" s="1"/>
      <c r="BA353" s="1"/>
      <c r="BB353" s="1"/>
      <c r="BC353" s="1"/>
      <c r="BD353" s="1"/>
      <c r="BE353" s="1"/>
      <c r="BF353" s="1"/>
      <c r="BG353" s="1"/>
    </row>
    <row r="354" spans="1:59" ht="14.25" customHeight="1" x14ac:dyDescent="0.25">
      <c r="A354" s="1"/>
      <c r="B354" s="50"/>
      <c r="C354" s="50" t="s">
        <v>1909</v>
      </c>
      <c r="D354" s="50" t="s">
        <v>1910</v>
      </c>
      <c r="E354" s="50" t="str">
        <f t="shared" si="82"/>
        <v>PP0200450010001B</v>
      </c>
      <c r="F354" s="50" t="s">
        <v>1911</v>
      </c>
      <c r="G354" s="50" t="s">
        <v>1875</v>
      </c>
      <c r="H354" s="50" t="s">
        <v>1876</v>
      </c>
      <c r="I354" s="50" t="s">
        <v>1912</v>
      </c>
      <c r="J354" s="50" t="s">
        <v>1913</v>
      </c>
      <c r="K354" s="50" t="s">
        <v>1887</v>
      </c>
      <c r="L354" s="50" t="s">
        <v>1880</v>
      </c>
      <c r="M354" s="50"/>
      <c r="N354" s="52"/>
      <c r="O354" s="50" t="s">
        <v>151</v>
      </c>
      <c r="P354" s="50">
        <v>1662</v>
      </c>
      <c r="Q354" s="53">
        <v>0</v>
      </c>
      <c r="R354" s="53">
        <f t="shared" si="84"/>
        <v>1662</v>
      </c>
      <c r="S354" s="54">
        <v>3.91</v>
      </c>
      <c r="T354" s="54">
        <v>0</v>
      </c>
      <c r="U354" s="54">
        <f t="shared" si="85"/>
        <v>3.91</v>
      </c>
      <c r="V354" s="54">
        <v>38.81</v>
      </c>
      <c r="W354" s="52">
        <f t="shared" si="93"/>
        <v>14.427083333333334</v>
      </c>
      <c r="X354" s="54">
        <f t="shared" si="86"/>
        <v>9.9258312020460355</v>
      </c>
      <c r="Y354" s="50" t="str">
        <f t="shared" si="87"/>
        <v>è in grado</v>
      </c>
      <c r="Z354" s="50" t="str">
        <f t="shared" si="88"/>
        <v>non sottende</v>
      </c>
      <c r="AA354" s="106">
        <f t="shared" si="89"/>
        <v>2.6900794223826714</v>
      </c>
      <c r="AB354" s="50" t="str">
        <f t="shared" si="90"/>
        <v>A</v>
      </c>
      <c r="AC354" s="50" t="str">
        <f t="shared" si="83"/>
        <v>SI</v>
      </c>
      <c r="AD354" s="50" t="str">
        <f t="shared" si="91"/>
        <v>Si</v>
      </c>
      <c r="AE354" s="50" t="s">
        <v>490</v>
      </c>
      <c r="AF354" s="55">
        <v>1.6</v>
      </c>
      <c r="AG354" s="55">
        <v>250</v>
      </c>
      <c r="AH354" s="55">
        <v>2665</v>
      </c>
      <c r="AI354" s="55" t="str">
        <f t="shared" si="102"/>
        <v xml:space="preserve"> </v>
      </c>
      <c r="AJ354" s="53">
        <v>267.17</v>
      </c>
      <c r="AK354" s="53">
        <f t="shared" si="101"/>
        <v>0.79047048695587074</v>
      </c>
      <c r="AL354" s="53">
        <f t="shared" si="99"/>
        <v>211.19</v>
      </c>
      <c r="AM354" s="50" t="s">
        <v>190</v>
      </c>
      <c r="AN354" s="56" t="s">
        <v>236</v>
      </c>
      <c r="AO354" s="57">
        <v>46690</v>
      </c>
      <c r="AP354" s="58" t="s">
        <v>1888</v>
      </c>
      <c r="AQ354" s="58" t="s">
        <v>313</v>
      </c>
      <c r="AR354" s="58" t="s">
        <v>239</v>
      </c>
      <c r="AS354" s="58"/>
      <c r="AT354" s="64" t="s">
        <v>1889</v>
      </c>
      <c r="AU354" s="1"/>
      <c r="AV354" s="1"/>
      <c r="AW354" s="1"/>
      <c r="AX354" s="1"/>
      <c r="AY354" s="1"/>
      <c r="AZ354" s="1"/>
      <c r="BA354" s="1"/>
      <c r="BB354" s="1"/>
      <c r="BC354" s="1"/>
      <c r="BD354" s="1"/>
      <c r="BE354" s="1"/>
      <c r="BF354" s="1"/>
      <c r="BG354" s="1"/>
    </row>
    <row r="355" spans="1:59" ht="14.25" customHeight="1" x14ac:dyDescent="0.25">
      <c r="A355" s="1"/>
      <c r="B355" s="50"/>
      <c r="C355" s="50" t="s">
        <v>1914</v>
      </c>
      <c r="D355" s="50"/>
      <c r="E355" s="50" t="str">
        <f t="shared" si="82"/>
        <v>001B</v>
      </c>
      <c r="F355" s="50"/>
      <c r="G355" s="50" t="s">
        <v>1875</v>
      </c>
      <c r="H355" s="50" t="s">
        <v>1891</v>
      </c>
      <c r="I355" s="50" t="s">
        <v>1915</v>
      </c>
      <c r="J355" s="50" t="s">
        <v>1916</v>
      </c>
      <c r="K355" s="50" t="s">
        <v>1879</v>
      </c>
      <c r="L355" s="50" t="s">
        <v>1904</v>
      </c>
      <c r="M355" s="50"/>
      <c r="N355" s="52"/>
      <c r="O355" s="50" t="s">
        <v>159</v>
      </c>
      <c r="P355" s="50">
        <v>1688</v>
      </c>
      <c r="Q355" s="53">
        <v>0</v>
      </c>
      <c r="R355" s="53">
        <f t="shared" si="84"/>
        <v>1688</v>
      </c>
      <c r="S355" s="54">
        <v>3.97</v>
      </c>
      <c r="T355" s="54">
        <v>0</v>
      </c>
      <c r="U355" s="54">
        <f t="shared" si="85"/>
        <v>3.97</v>
      </c>
      <c r="V355" s="54">
        <v>29.5</v>
      </c>
      <c r="W355" s="52">
        <f t="shared" si="93"/>
        <v>14.652777777777779</v>
      </c>
      <c r="X355" s="54">
        <f t="shared" si="86"/>
        <v>7.4307304785894202</v>
      </c>
      <c r="Y355" s="50" t="str">
        <f t="shared" si="87"/>
        <v>è in grado</v>
      </c>
      <c r="Z355" s="50" t="str">
        <f t="shared" si="88"/>
        <v>non sottende</v>
      </c>
      <c r="AA355" s="106">
        <f t="shared" si="89"/>
        <v>2.0132701421800947</v>
      </c>
      <c r="AB355" s="50" t="str">
        <f t="shared" si="90"/>
        <v>A</v>
      </c>
      <c r="AC355" s="50" t="str">
        <f t="shared" si="83"/>
        <v>SI</v>
      </c>
      <c r="AD355" s="50" t="str">
        <f t="shared" si="91"/>
        <v>Si</v>
      </c>
      <c r="AE355" s="50" t="s">
        <v>490</v>
      </c>
      <c r="AF355" s="55">
        <v>0.6</v>
      </c>
      <c r="AG355" s="55">
        <v>138</v>
      </c>
      <c r="AH355" s="55">
        <v>692</v>
      </c>
      <c r="AI355" s="55" t="str">
        <f t="shared" si="102"/>
        <v xml:space="preserve"> </v>
      </c>
      <c r="AJ355" s="53">
        <v>382.5</v>
      </c>
      <c r="AK355" s="53">
        <f t="shared" si="101"/>
        <v>0.28366013071895424</v>
      </c>
      <c r="AL355" s="53">
        <f t="shared" si="99"/>
        <v>108.5</v>
      </c>
      <c r="AM355" s="50" t="s">
        <v>190</v>
      </c>
      <c r="AN355" s="56" t="s">
        <v>236</v>
      </c>
      <c r="AO355" s="67">
        <v>44561</v>
      </c>
      <c r="AP355" s="58" t="s">
        <v>1917</v>
      </c>
      <c r="AQ355" s="58" t="s">
        <v>238</v>
      </c>
      <c r="AR355" s="58" t="s">
        <v>544</v>
      </c>
      <c r="AS355" s="58"/>
      <c r="AT355" s="50" t="s">
        <v>1882</v>
      </c>
      <c r="AU355" s="1"/>
      <c r="AV355" s="1"/>
      <c r="AW355" s="1"/>
      <c r="AX355" s="1"/>
      <c r="AY355" s="1"/>
      <c r="AZ355" s="1"/>
      <c r="BA355" s="1"/>
      <c r="BB355" s="1"/>
      <c r="BC355" s="1"/>
      <c r="BD355" s="1"/>
      <c r="BE355" s="1"/>
      <c r="BF355" s="1"/>
      <c r="BG355" s="1"/>
    </row>
    <row r="356" spans="1:59" ht="14.25" customHeight="1" x14ac:dyDescent="0.25">
      <c r="A356" s="1"/>
      <c r="B356" s="50"/>
      <c r="C356" s="50" t="s">
        <v>1918</v>
      </c>
      <c r="D356" s="50"/>
      <c r="E356" s="50" t="str">
        <f t="shared" si="82"/>
        <v>001B</v>
      </c>
      <c r="F356" s="50"/>
      <c r="G356" s="50" t="s">
        <v>1875</v>
      </c>
      <c r="H356" s="50" t="s">
        <v>1876</v>
      </c>
      <c r="I356" s="50" t="s">
        <v>1919</v>
      </c>
      <c r="J356" s="50" t="s">
        <v>1920</v>
      </c>
      <c r="K356" s="50" t="s">
        <v>1879</v>
      </c>
      <c r="L356" s="50" t="s">
        <v>1880</v>
      </c>
      <c r="M356" s="50"/>
      <c r="N356" s="52"/>
      <c r="O356" s="50" t="s">
        <v>151</v>
      </c>
      <c r="P356" s="50">
        <v>3328</v>
      </c>
      <c r="Q356" s="53">
        <v>1</v>
      </c>
      <c r="R356" s="53">
        <f t="shared" si="84"/>
        <v>3329</v>
      </c>
      <c r="S356" s="54">
        <v>7.83</v>
      </c>
      <c r="T356" s="54">
        <v>0</v>
      </c>
      <c r="U356" s="54">
        <f t="shared" si="85"/>
        <v>7.83</v>
      </c>
      <c r="V356" s="54">
        <v>112.56</v>
      </c>
      <c r="W356" s="52">
        <f t="shared" si="93"/>
        <v>28.897569444444443</v>
      </c>
      <c r="X356" s="54">
        <f t="shared" si="86"/>
        <v>14.375478927203066</v>
      </c>
      <c r="Y356" s="50" t="str">
        <f t="shared" si="87"/>
        <v>è in grado</v>
      </c>
      <c r="Z356" s="50" t="str">
        <f t="shared" si="88"/>
        <v>non sottende</v>
      </c>
      <c r="AA356" s="106">
        <f t="shared" si="89"/>
        <v>3.8951372784620011</v>
      </c>
      <c r="AB356" s="50" t="str">
        <f t="shared" si="90"/>
        <v>A</v>
      </c>
      <c r="AC356" s="50" t="str">
        <f t="shared" si="83"/>
        <v>SI</v>
      </c>
      <c r="AD356" s="50" t="str">
        <f t="shared" si="91"/>
        <v>Si</v>
      </c>
      <c r="AE356" s="50" t="s">
        <v>147</v>
      </c>
      <c r="AF356" s="55">
        <v>60.29</v>
      </c>
      <c r="AG356" s="55">
        <v>3993</v>
      </c>
      <c r="AH356" s="55">
        <v>2616</v>
      </c>
      <c r="AI356" s="55" t="str">
        <f t="shared" si="102"/>
        <v>Manufatto limitante</v>
      </c>
      <c r="AJ356" s="53">
        <v>85.65</v>
      </c>
      <c r="AK356" s="53">
        <f t="shared" si="101"/>
        <v>29.228721541155867</v>
      </c>
      <c r="AL356" s="53">
        <f t="shared" si="99"/>
        <v>2503.44</v>
      </c>
      <c r="AM356" s="50" t="s">
        <v>190</v>
      </c>
      <c r="AN356" s="56" t="s">
        <v>222</v>
      </c>
      <c r="AO356" s="67">
        <v>44561</v>
      </c>
      <c r="AP356" s="58" t="s">
        <v>1921</v>
      </c>
      <c r="AQ356" s="58" t="s">
        <v>313</v>
      </c>
      <c r="AR356" s="58" t="s">
        <v>544</v>
      </c>
      <c r="AS356" s="58"/>
      <c r="AT356" s="50" t="s">
        <v>1882</v>
      </c>
      <c r="AU356" s="1"/>
      <c r="AV356" s="1"/>
      <c r="AW356" s="1"/>
      <c r="AX356" s="1"/>
      <c r="AY356" s="1"/>
      <c r="AZ356" s="1"/>
      <c r="BA356" s="1"/>
      <c r="BB356" s="1"/>
      <c r="BC356" s="1"/>
      <c r="BD356" s="1"/>
      <c r="BE356" s="1"/>
      <c r="BF356" s="1"/>
      <c r="BG356" s="1"/>
    </row>
    <row r="357" spans="1:59" ht="14.25" customHeight="1" x14ac:dyDescent="0.25">
      <c r="A357" s="1"/>
      <c r="B357" s="50"/>
      <c r="C357" s="50" t="s">
        <v>1922</v>
      </c>
      <c r="D357" s="50"/>
      <c r="E357" s="50" t="str">
        <f t="shared" si="82"/>
        <v>001B</v>
      </c>
      <c r="F357" s="50"/>
      <c r="G357" s="50" t="s">
        <v>1875</v>
      </c>
      <c r="H357" s="50" t="s">
        <v>1923</v>
      </c>
      <c r="I357" s="50" t="s">
        <v>1924</v>
      </c>
      <c r="J357" s="50" t="s">
        <v>1925</v>
      </c>
      <c r="K357" s="50" t="s">
        <v>1879</v>
      </c>
      <c r="L357" s="50" t="s">
        <v>1926</v>
      </c>
      <c r="M357" s="51" t="s">
        <v>221</v>
      </c>
      <c r="N357" s="52"/>
      <c r="O357" s="50" t="s">
        <v>151</v>
      </c>
      <c r="P357" s="50">
        <v>10.000000999999999</v>
      </c>
      <c r="Q357" s="53">
        <v>5</v>
      </c>
      <c r="R357" s="53">
        <f t="shared" si="84"/>
        <v>15.000000999999999</v>
      </c>
      <c r="S357" s="54">
        <v>0.02</v>
      </c>
      <c r="T357" s="54">
        <v>0.13</v>
      </c>
      <c r="U357" s="54">
        <f t="shared" si="85"/>
        <v>0.15</v>
      </c>
      <c r="V357" s="54">
        <v>214.85</v>
      </c>
      <c r="W357" s="52">
        <f t="shared" si="93"/>
        <v>0.32</v>
      </c>
      <c r="X357" s="54">
        <f t="shared" si="86"/>
        <v>1432.3333333333333</v>
      </c>
      <c r="Y357" s="50" t="str">
        <f t="shared" si="87"/>
        <v>è in grado</v>
      </c>
      <c r="Z357" s="50" t="str">
        <f t="shared" si="88"/>
        <v>non sottende</v>
      </c>
      <c r="AA357" s="106">
        <f t="shared" si="89"/>
        <v>671.40625</v>
      </c>
      <c r="AB357" s="50" t="str">
        <f t="shared" si="90"/>
        <v>A</v>
      </c>
      <c r="AC357" s="50" t="str">
        <f t="shared" si="83"/>
        <v>SI</v>
      </c>
      <c r="AD357" s="50" t="str">
        <f t="shared" si="91"/>
        <v>Si</v>
      </c>
      <c r="AE357" s="50" t="s">
        <v>490</v>
      </c>
      <c r="AF357" s="55">
        <v>13.1</v>
      </c>
      <c r="AG357" s="55">
        <v>2029</v>
      </c>
      <c r="AH357" s="55">
        <v>1486</v>
      </c>
      <c r="AI357" s="55" t="str">
        <f t="shared" si="102"/>
        <v>Manufatto limitante</v>
      </c>
      <c r="AJ357" s="53">
        <v>138.84</v>
      </c>
      <c r="AK357" s="53">
        <f t="shared" si="101"/>
        <v>9.1555027369634114</v>
      </c>
      <c r="AL357" s="53">
        <f t="shared" si="99"/>
        <v>1271.1500000000001</v>
      </c>
      <c r="AM357" s="50" t="s">
        <v>190</v>
      </c>
      <c r="AN357" s="56" t="s">
        <v>222</v>
      </c>
      <c r="AO357" s="66" t="s">
        <v>92</v>
      </c>
      <c r="AP357" s="58" t="s">
        <v>1927</v>
      </c>
      <c r="AQ357" s="58" t="s">
        <v>224</v>
      </c>
      <c r="AR357" s="58" t="s">
        <v>225</v>
      </c>
      <c r="AS357" s="58" t="s">
        <v>92</v>
      </c>
      <c r="AT357" s="50"/>
      <c r="AU357" s="1"/>
      <c r="AV357" s="1"/>
      <c r="AW357" s="1"/>
      <c r="AX357" s="1"/>
      <c r="AY357" s="1"/>
      <c r="AZ357" s="1"/>
      <c r="BA357" s="1"/>
      <c r="BB357" s="1"/>
      <c r="BC357" s="1"/>
      <c r="BD357" s="1"/>
      <c r="BE357" s="1"/>
      <c r="BF357" s="1"/>
      <c r="BG357" s="1"/>
    </row>
    <row r="358" spans="1:59" ht="14.25" customHeight="1" x14ac:dyDescent="0.25">
      <c r="A358" s="1"/>
      <c r="B358" s="50"/>
      <c r="C358" s="50" t="s">
        <v>1928</v>
      </c>
      <c r="D358" s="50"/>
      <c r="E358" s="50" t="str">
        <f t="shared" si="82"/>
        <v>001B</v>
      </c>
      <c r="F358" s="50"/>
      <c r="G358" s="50" t="s">
        <v>1875</v>
      </c>
      <c r="H358" s="50" t="s">
        <v>1929</v>
      </c>
      <c r="I358" s="50" t="s">
        <v>1930</v>
      </c>
      <c r="J358" s="50" t="s">
        <v>1931</v>
      </c>
      <c r="K358" s="50" t="s">
        <v>1887</v>
      </c>
      <c r="L358" s="50" t="s">
        <v>1932</v>
      </c>
      <c r="M358" s="51" t="s">
        <v>221</v>
      </c>
      <c r="N358" s="52"/>
      <c r="O358" s="50" t="s">
        <v>151</v>
      </c>
      <c r="P358" s="50">
        <v>5076</v>
      </c>
      <c r="Q358" s="53">
        <v>6.4</v>
      </c>
      <c r="R358" s="53">
        <f t="shared" si="84"/>
        <v>5082.3999999999996</v>
      </c>
      <c r="S358" s="54">
        <v>11.94</v>
      </c>
      <c r="T358" s="54">
        <v>0.13</v>
      </c>
      <c r="U358" s="54">
        <f t="shared" si="85"/>
        <v>12.07</v>
      </c>
      <c r="V358" s="54">
        <v>349.56</v>
      </c>
      <c r="W358" s="52">
        <f t="shared" si="93"/>
        <v>44.11805555555555</v>
      </c>
      <c r="X358" s="54">
        <f t="shared" si="86"/>
        <v>28.961060480530239</v>
      </c>
      <c r="Y358" s="50" t="str">
        <f t="shared" si="87"/>
        <v>è in grado</v>
      </c>
      <c r="Z358" s="50" t="str">
        <f t="shared" si="88"/>
        <v>non sottende</v>
      </c>
      <c r="AA358" s="106">
        <f t="shared" si="89"/>
        <v>7.9232866362348506</v>
      </c>
      <c r="AB358" s="50" t="str">
        <f t="shared" si="90"/>
        <v>A</v>
      </c>
      <c r="AC358" s="50" t="str">
        <f t="shared" si="83"/>
        <v>SI</v>
      </c>
      <c r="AD358" s="50" t="str">
        <f t="shared" si="91"/>
        <v>Si</v>
      </c>
      <c r="AE358" s="50" t="s">
        <v>147</v>
      </c>
      <c r="AF358" s="55">
        <v>60.1</v>
      </c>
      <c r="AG358" s="55">
        <v>3055</v>
      </c>
      <c r="AH358" s="55">
        <v>3492</v>
      </c>
      <c r="AI358" s="55" t="str">
        <f t="shared" si="102"/>
        <v xml:space="preserve"> </v>
      </c>
      <c r="AJ358" s="53">
        <v>141.30000000000001</v>
      </c>
      <c r="AK358" s="53">
        <f t="shared" si="101"/>
        <v>19.146779900920027</v>
      </c>
      <c r="AL358" s="53">
        <f t="shared" si="99"/>
        <v>2705.44</v>
      </c>
      <c r="AM358" s="50" t="s">
        <v>190</v>
      </c>
      <c r="AN358" s="56" t="s">
        <v>222</v>
      </c>
      <c r="AO358" s="66"/>
      <c r="AP358" s="58" t="s">
        <v>223</v>
      </c>
      <c r="AQ358" s="58" t="s">
        <v>224</v>
      </c>
      <c r="AR358" s="58" t="s">
        <v>225</v>
      </c>
      <c r="AS358" s="58" t="s">
        <v>92</v>
      </c>
      <c r="AT358" s="64"/>
      <c r="AU358" s="1"/>
      <c r="AV358" s="1"/>
      <c r="AW358" s="1"/>
      <c r="AX358" s="1"/>
      <c r="AY358" s="1"/>
      <c r="AZ358" s="1"/>
      <c r="BA358" s="1"/>
      <c r="BB358" s="1"/>
      <c r="BC358" s="1"/>
      <c r="BD358" s="1"/>
      <c r="BE358" s="1"/>
      <c r="BF358" s="1"/>
      <c r="BG358" s="1"/>
    </row>
    <row r="359" spans="1:59" ht="14.25" customHeight="1" x14ac:dyDescent="0.25">
      <c r="A359" s="1"/>
      <c r="B359" s="50"/>
      <c r="C359" s="50" t="s">
        <v>1933</v>
      </c>
      <c r="D359" s="50"/>
      <c r="E359" s="50" t="str">
        <f t="shared" si="82"/>
        <v>001B</v>
      </c>
      <c r="F359" s="50"/>
      <c r="G359" s="50" t="s">
        <v>1875</v>
      </c>
      <c r="H359" s="50" t="s">
        <v>1929</v>
      </c>
      <c r="I359" s="50" t="s">
        <v>1934</v>
      </c>
      <c r="J359" s="50" t="s">
        <v>1935</v>
      </c>
      <c r="K359" s="50" t="s">
        <v>1887</v>
      </c>
      <c r="L359" s="50" t="s">
        <v>1932</v>
      </c>
      <c r="M359" s="51" t="s">
        <v>221</v>
      </c>
      <c r="N359" s="52"/>
      <c r="O359" s="50" t="s">
        <v>151</v>
      </c>
      <c r="P359" s="50">
        <v>5548</v>
      </c>
      <c r="Q359" s="53">
        <v>6.4</v>
      </c>
      <c r="R359" s="53">
        <f t="shared" si="84"/>
        <v>5554.4</v>
      </c>
      <c r="S359" s="54">
        <v>13.05</v>
      </c>
      <c r="T359" s="54">
        <v>0.13</v>
      </c>
      <c r="U359" s="54">
        <f t="shared" si="85"/>
        <v>13.180000000000001</v>
      </c>
      <c r="V359" s="54">
        <v>299.33</v>
      </c>
      <c r="W359" s="52">
        <f t="shared" si="93"/>
        <v>48.215277777777771</v>
      </c>
      <c r="X359" s="54">
        <f t="shared" si="86"/>
        <v>22.710925644916536</v>
      </c>
      <c r="Y359" s="50" t="str">
        <f t="shared" si="87"/>
        <v>è in grado</v>
      </c>
      <c r="Z359" s="50" t="str">
        <f t="shared" si="88"/>
        <v>non sottende</v>
      </c>
      <c r="AA359" s="106">
        <f t="shared" si="89"/>
        <v>6.2081981852225265</v>
      </c>
      <c r="AB359" s="50" t="str">
        <f t="shared" si="90"/>
        <v>A</v>
      </c>
      <c r="AC359" s="50" t="str">
        <f t="shared" si="83"/>
        <v>SI</v>
      </c>
      <c r="AD359" s="50" t="str">
        <f t="shared" si="91"/>
        <v>Si</v>
      </c>
      <c r="AE359" s="50" t="s">
        <v>147</v>
      </c>
      <c r="AF359" s="55">
        <v>10.7</v>
      </c>
      <c r="AG359" s="55">
        <v>1282</v>
      </c>
      <c r="AH359" s="55">
        <v>6577</v>
      </c>
      <c r="AI359" s="55" t="str">
        <f t="shared" si="102"/>
        <v xml:space="preserve"> </v>
      </c>
      <c r="AJ359" s="53">
        <v>214.27</v>
      </c>
      <c r="AK359" s="53">
        <f t="shared" si="101"/>
        <v>4.5861296495076305</v>
      </c>
      <c r="AL359" s="53">
        <f t="shared" si="99"/>
        <v>982.67000000000007</v>
      </c>
      <c r="AM359" s="50" t="s">
        <v>190</v>
      </c>
      <c r="AN359" s="56" t="s">
        <v>222</v>
      </c>
      <c r="AO359" s="66"/>
      <c r="AP359" s="58" t="s">
        <v>223</v>
      </c>
      <c r="AQ359" s="58" t="s">
        <v>224</v>
      </c>
      <c r="AR359" s="58" t="s">
        <v>225</v>
      </c>
      <c r="AS359" s="58" t="s">
        <v>92</v>
      </c>
      <c r="AT359" s="64"/>
      <c r="AU359" s="1"/>
      <c r="AV359" s="1"/>
      <c r="AW359" s="1"/>
      <c r="AX359" s="1"/>
      <c r="AY359" s="1"/>
      <c r="AZ359" s="1"/>
      <c r="BA359" s="1"/>
      <c r="BB359" s="1"/>
      <c r="BC359" s="1"/>
      <c r="BD359" s="1"/>
      <c r="BE359" s="1"/>
      <c r="BF359" s="1"/>
      <c r="BG359" s="1"/>
    </row>
    <row r="360" spans="1:59" ht="14.25" customHeight="1" x14ac:dyDescent="0.25">
      <c r="A360" s="1"/>
      <c r="B360" s="50"/>
      <c r="C360" s="50" t="s">
        <v>1936</v>
      </c>
      <c r="D360" s="50" t="s">
        <v>1937</v>
      </c>
      <c r="E360" s="50" t="str">
        <f t="shared" si="82"/>
        <v>PP0200450021001B</v>
      </c>
      <c r="F360" s="50"/>
      <c r="G360" s="50" t="s">
        <v>1875</v>
      </c>
      <c r="H360" s="50" t="s">
        <v>1938</v>
      </c>
      <c r="I360" s="50" t="s">
        <v>1939</v>
      </c>
      <c r="J360" s="50" t="s">
        <v>1940</v>
      </c>
      <c r="K360" s="50" t="s">
        <v>1887</v>
      </c>
      <c r="L360" s="50" t="s">
        <v>1941</v>
      </c>
      <c r="M360" s="50"/>
      <c r="N360" s="52"/>
      <c r="O360" s="50" t="s">
        <v>151</v>
      </c>
      <c r="P360" s="50">
        <v>1576</v>
      </c>
      <c r="Q360" s="53">
        <v>0</v>
      </c>
      <c r="R360" s="53">
        <f t="shared" si="84"/>
        <v>1576</v>
      </c>
      <c r="S360" s="54">
        <v>3.71</v>
      </c>
      <c r="T360" s="54">
        <v>0</v>
      </c>
      <c r="U360" s="54">
        <f t="shared" si="85"/>
        <v>3.71</v>
      </c>
      <c r="V360" s="54">
        <v>80.290000000000006</v>
      </c>
      <c r="W360" s="52">
        <f t="shared" si="93"/>
        <v>13.680555555555555</v>
      </c>
      <c r="X360" s="54">
        <f t="shared" si="86"/>
        <v>21.641509433962266</v>
      </c>
      <c r="Y360" s="50" t="str">
        <f t="shared" si="87"/>
        <v>è in grado</v>
      </c>
      <c r="Z360" s="50" t="str">
        <f t="shared" si="88"/>
        <v>non sottende</v>
      </c>
      <c r="AA360" s="106">
        <f t="shared" si="89"/>
        <v>5.8689137055837568</v>
      </c>
      <c r="AB360" s="50" t="str">
        <f t="shared" si="90"/>
        <v>A</v>
      </c>
      <c r="AC360" s="50" t="str">
        <f t="shared" si="83"/>
        <v>SI</v>
      </c>
      <c r="AD360" s="50" t="str">
        <f t="shared" si="91"/>
        <v>Si</v>
      </c>
      <c r="AE360" s="50" t="s">
        <v>490</v>
      </c>
      <c r="AF360" s="55">
        <v>8.3000000000000007</v>
      </c>
      <c r="AG360" s="55">
        <v>1263</v>
      </c>
      <c r="AH360" s="55">
        <v>2129</v>
      </c>
      <c r="AI360" s="55" t="str">
        <f t="shared" si="102"/>
        <v xml:space="preserve"> </v>
      </c>
      <c r="AJ360" s="53">
        <v>259.48</v>
      </c>
      <c r="AK360" s="53">
        <f t="shared" si="101"/>
        <v>4.5580006166178508</v>
      </c>
      <c r="AL360" s="53">
        <f t="shared" si="99"/>
        <v>1182.71</v>
      </c>
      <c r="AM360" s="50" t="s">
        <v>190</v>
      </c>
      <c r="AN360" s="56" t="s">
        <v>222</v>
      </c>
      <c r="AO360" s="57">
        <v>46690</v>
      </c>
      <c r="AP360" s="58" t="s">
        <v>1888</v>
      </c>
      <c r="AQ360" s="58" t="s">
        <v>313</v>
      </c>
      <c r="AR360" s="58" t="s">
        <v>239</v>
      </c>
      <c r="AS360" s="58"/>
      <c r="AT360" s="64" t="s">
        <v>1889</v>
      </c>
      <c r="AU360" s="1"/>
      <c r="AV360" s="1"/>
      <c r="AW360" s="1"/>
      <c r="AX360" s="1"/>
      <c r="AY360" s="1"/>
      <c r="AZ360" s="1"/>
      <c r="BA360" s="1"/>
      <c r="BB360" s="1"/>
      <c r="BC360" s="1"/>
      <c r="BD360" s="1"/>
      <c r="BE360" s="1"/>
      <c r="BF360" s="1"/>
      <c r="BG360" s="1"/>
    </row>
    <row r="361" spans="1:59" ht="14.25" customHeight="1" x14ac:dyDescent="0.25">
      <c r="A361" s="1"/>
      <c r="B361" s="50"/>
      <c r="C361" s="50" t="s">
        <v>1942</v>
      </c>
      <c r="D361" s="50"/>
      <c r="E361" s="50" t="str">
        <f t="shared" si="82"/>
        <v>001B</v>
      </c>
      <c r="F361" s="50"/>
      <c r="G361" s="50" t="s">
        <v>1875</v>
      </c>
      <c r="H361" s="50" t="s">
        <v>1929</v>
      </c>
      <c r="I361" s="50" t="s">
        <v>1943</v>
      </c>
      <c r="J361" s="50" t="s">
        <v>1944</v>
      </c>
      <c r="K361" s="50" t="s">
        <v>1887</v>
      </c>
      <c r="L361" s="50" t="s">
        <v>1932</v>
      </c>
      <c r="M361" s="51" t="s">
        <v>221</v>
      </c>
      <c r="N361" s="52"/>
      <c r="O361" s="50" t="s">
        <v>151</v>
      </c>
      <c r="P361" s="50">
        <v>974</v>
      </c>
      <c r="Q361" s="53">
        <v>0</v>
      </c>
      <c r="R361" s="53">
        <f t="shared" si="84"/>
        <v>974</v>
      </c>
      <c r="S361" s="54">
        <v>2.29</v>
      </c>
      <c r="T361" s="54">
        <v>0</v>
      </c>
      <c r="U361" s="54">
        <f t="shared" si="85"/>
        <v>2.29</v>
      </c>
      <c r="V361" s="54">
        <v>155.32</v>
      </c>
      <c r="W361" s="52">
        <f t="shared" si="93"/>
        <v>8.4548611111111107</v>
      </c>
      <c r="X361" s="54">
        <f t="shared" si="86"/>
        <v>67.82532751091702</v>
      </c>
      <c r="Y361" s="50" t="str">
        <f t="shared" si="87"/>
        <v>è in grado</v>
      </c>
      <c r="Z361" s="50" t="str">
        <f t="shared" si="88"/>
        <v>non sottende</v>
      </c>
      <c r="AA361" s="106">
        <f t="shared" si="89"/>
        <v>18.370496919917866</v>
      </c>
      <c r="AB361" s="50" t="str">
        <f t="shared" si="90"/>
        <v>A</v>
      </c>
      <c r="AC361" s="50" t="str">
        <f t="shared" si="83"/>
        <v>SI</v>
      </c>
      <c r="AD361" s="50" t="str">
        <f t="shared" si="91"/>
        <v>Si</v>
      </c>
      <c r="AE361" s="50" t="s">
        <v>147</v>
      </c>
      <c r="AF361" s="55">
        <v>36.200000000000003</v>
      </c>
      <c r="AG361" s="55">
        <v>1435</v>
      </c>
      <c r="AH361" s="55">
        <v>2749</v>
      </c>
      <c r="AI361" s="55" t="str">
        <f t="shared" si="102"/>
        <v xml:space="preserve"> </v>
      </c>
      <c r="AJ361" s="53">
        <v>130.94</v>
      </c>
      <c r="AK361" s="53">
        <f t="shared" si="101"/>
        <v>9.7730258133496264</v>
      </c>
      <c r="AL361" s="53">
        <f t="shared" si="99"/>
        <v>1279.68</v>
      </c>
      <c r="AM361" s="50" t="s">
        <v>190</v>
      </c>
      <c r="AN361" s="56" t="s">
        <v>222</v>
      </c>
      <c r="AO361" s="66"/>
      <c r="AP361" s="58" t="s">
        <v>223</v>
      </c>
      <c r="AQ361" s="58" t="s">
        <v>224</v>
      </c>
      <c r="AR361" s="58" t="s">
        <v>225</v>
      </c>
      <c r="AS361" s="58" t="s">
        <v>92</v>
      </c>
      <c r="AT361" s="64"/>
      <c r="AU361" s="1"/>
      <c r="AV361" s="1"/>
      <c r="AW361" s="1"/>
      <c r="AX361" s="1"/>
      <c r="AY361" s="1"/>
      <c r="AZ361" s="1"/>
      <c r="BA361" s="1"/>
      <c r="BB361" s="1"/>
      <c r="BC361" s="1"/>
      <c r="BD361" s="1"/>
      <c r="BE361" s="1"/>
      <c r="BF361" s="1"/>
      <c r="BG361" s="1"/>
    </row>
    <row r="362" spans="1:59" ht="14.25" customHeight="1" x14ac:dyDescent="0.25">
      <c r="A362" s="1"/>
      <c r="B362" s="50"/>
      <c r="C362" s="50" t="s">
        <v>1945</v>
      </c>
      <c r="D362" s="50"/>
      <c r="E362" s="50" t="str">
        <f t="shared" si="82"/>
        <v>001B</v>
      </c>
      <c r="F362" s="50"/>
      <c r="G362" s="50" t="s">
        <v>1875</v>
      </c>
      <c r="H362" s="50" t="s">
        <v>1929</v>
      </c>
      <c r="I362" s="50" t="s">
        <v>1946</v>
      </c>
      <c r="J362" s="50" t="s">
        <v>1947</v>
      </c>
      <c r="K362" s="50" t="s">
        <v>1879</v>
      </c>
      <c r="L362" s="50" t="s">
        <v>1948</v>
      </c>
      <c r="M362" s="51" t="s">
        <v>221</v>
      </c>
      <c r="N362" s="52"/>
      <c r="O362" s="50" t="s">
        <v>151</v>
      </c>
      <c r="P362" s="50">
        <v>511</v>
      </c>
      <c r="Q362" s="53">
        <v>1</v>
      </c>
      <c r="R362" s="53">
        <f t="shared" si="84"/>
        <v>512</v>
      </c>
      <c r="S362" s="54">
        <v>1.2</v>
      </c>
      <c r="T362" s="54">
        <v>0</v>
      </c>
      <c r="U362" s="54">
        <f t="shared" si="85"/>
        <v>1.2</v>
      </c>
      <c r="V362" s="54">
        <v>118.46</v>
      </c>
      <c r="W362" s="52">
        <f t="shared" si="93"/>
        <v>4.4444444444444446</v>
      </c>
      <c r="X362" s="54">
        <f t="shared" si="86"/>
        <v>98.716666666666669</v>
      </c>
      <c r="Y362" s="50" t="str">
        <f t="shared" si="87"/>
        <v>è in grado</v>
      </c>
      <c r="Z362" s="50" t="str">
        <f t="shared" si="88"/>
        <v>non sottende</v>
      </c>
      <c r="AA362" s="106">
        <f t="shared" si="89"/>
        <v>26.653499999999998</v>
      </c>
      <c r="AB362" s="50" t="str">
        <f t="shared" si="90"/>
        <v>A</v>
      </c>
      <c r="AC362" s="50" t="str">
        <f t="shared" si="83"/>
        <v>SI</v>
      </c>
      <c r="AD362" s="50" t="str">
        <f t="shared" si="91"/>
        <v>Si</v>
      </c>
      <c r="AE362" s="50" t="s">
        <v>490</v>
      </c>
      <c r="AF362" s="55">
        <v>13.85</v>
      </c>
      <c r="AG362" s="55">
        <v>1553</v>
      </c>
      <c r="AH362" s="55">
        <v>592</v>
      </c>
      <c r="AI362" s="55" t="str">
        <f t="shared" si="102"/>
        <v>Manufatto limitante</v>
      </c>
      <c r="AJ362" s="53">
        <v>63.49</v>
      </c>
      <c r="AK362" s="53">
        <f t="shared" si="101"/>
        <v>7.4584974011655376</v>
      </c>
      <c r="AL362" s="53">
        <f t="shared" si="99"/>
        <v>473.54</v>
      </c>
      <c r="AM362" s="50" t="s">
        <v>190</v>
      </c>
      <c r="AN362" s="56" t="s">
        <v>222</v>
      </c>
      <c r="AO362" s="66" t="s">
        <v>92</v>
      </c>
      <c r="AP362" s="58" t="s">
        <v>1949</v>
      </c>
      <c r="AQ362" s="58" t="s">
        <v>224</v>
      </c>
      <c r="AR362" s="58" t="s">
        <v>225</v>
      </c>
      <c r="AS362" s="58" t="s">
        <v>92</v>
      </c>
      <c r="AT362" s="50"/>
      <c r="AU362" s="1"/>
      <c r="AV362" s="1"/>
      <c r="AW362" s="1"/>
      <c r="AX362" s="1"/>
      <c r="AY362" s="1"/>
      <c r="AZ362" s="1"/>
      <c r="BA362" s="1"/>
      <c r="BB362" s="1"/>
      <c r="BC362" s="1"/>
      <c r="BD362" s="1"/>
      <c r="BE362" s="1"/>
      <c r="BF362" s="1"/>
      <c r="BG362" s="1"/>
    </row>
    <row r="363" spans="1:59" ht="14.25" customHeight="1" x14ac:dyDescent="0.25">
      <c r="A363" s="1"/>
      <c r="B363" s="50"/>
      <c r="C363" s="50" t="s">
        <v>1950</v>
      </c>
      <c r="D363" s="50"/>
      <c r="E363" s="50" t="str">
        <f t="shared" si="82"/>
        <v>001B</v>
      </c>
      <c r="F363" s="50"/>
      <c r="G363" s="50" t="s">
        <v>1875</v>
      </c>
      <c r="H363" s="50" t="s">
        <v>1929</v>
      </c>
      <c r="I363" s="50" t="s">
        <v>1951</v>
      </c>
      <c r="J363" s="50" t="s">
        <v>1952</v>
      </c>
      <c r="K363" s="50" t="s">
        <v>1879</v>
      </c>
      <c r="L363" s="50" t="s">
        <v>1948</v>
      </c>
      <c r="M363" s="51" t="s">
        <v>221</v>
      </c>
      <c r="N363" s="52"/>
      <c r="O363" s="50" t="s">
        <v>151</v>
      </c>
      <c r="P363" s="50">
        <v>140</v>
      </c>
      <c r="Q363" s="53">
        <v>0</v>
      </c>
      <c r="R363" s="53">
        <f t="shared" si="84"/>
        <v>140</v>
      </c>
      <c r="S363" s="54">
        <v>0.33</v>
      </c>
      <c r="T363" s="54">
        <v>0</v>
      </c>
      <c r="U363" s="54">
        <f t="shared" si="85"/>
        <v>0.33</v>
      </c>
      <c r="V363" s="54">
        <v>25.73</v>
      </c>
      <c r="W363" s="52">
        <f t="shared" si="93"/>
        <v>1.2152777777777777</v>
      </c>
      <c r="X363" s="54">
        <f t="shared" si="86"/>
        <v>77.969696969696969</v>
      </c>
      <c r="Y363" s="50" t="str">
        <f t="shared" si="87"/>
        <v>è in grado</v>
      </c>
      <c r="Z363" s="50" t="str">
        <f t="shared" si="88"/>
        <v>non sottende</v>
      </c>
      <c r="AA363" s="106">
        <f t="shared" si="89"/>
        <v>21.172114285714287</v>
      </c>
      <c r="AB363" s="50" t="str">
        <f t="shared" si="90"/>
        <v>A</v>
      </c>
      <c r="AC363" s="50" t="str">
        <f t="shared" si="83"/>
        <v>SI</v>
      </c>
      <c r="AD363" s="50" t="str">
        <f t="shared" si="91"/>
        <v>Si</v>
      </c>
      <c r="AE363" s="50" t="s">
        <v>490</v>
      </c>
      <c r="AF363" s="55">
        <v>22.94</v>
      </c>
      <c r="AG363" s="55">
        <v>27999</v>
      </c>
      <c r="AH363" s="55">
        <v>378</v>
      </c>
      <c r="AI363" s="55" t="str">
        <f t="shared" si="102"/>
        <v>Manufatto limitante</v>
      </c>
      <c r="AJ363" s="53">
        <v>21.04</v>
      </c>
      <c r="AK363" s="53">
        <f t="shared" si="101"/>
        <v>16.742870722433459</v>
      </c>
      <c r="AL363" s="53">
        <f t="shared" si="99"/>
        <v>352.27</v>
      </c>
      <c r="AM363" s="50" t="s">
        <v>147</v>
      </c>
      <c r="AN363" s="56" t="s">
        <v>222</v>
      </c>
      <c r="AO363" s="66" t="s">
        <v>92</v>
      </c>
      <c r="AP363" s="58" t="s">
        <v>1953</v>
      </c>
      <c r="AQ363" s="58" t="s">
        <v>224</v>
      </c>
      <c r="AR363" s="58" t="s">
        <v>225</v>
      </c>
      <c r="AS363" s="58" t="s">
        <v>92</v>
      </c>
      <c r="AT363" s="50"/>
      <c r="AU363" s="1"/>
      <c r="AV363" s="1"/>
      <c r="AW363" s="1"/>
      <c r="AX363" s="1"/>
      <c r="AY363" s="1"/>
      <c r="AZ363" s="1"/>
      <c r="BA363" s="1"/>
      <c r="BB363" s="1"/>
      <c r="BC363" s="1"/>
      <c r="BD363" s="1"/>
      <c r="BE363" s="1"/>
      <c r="BF363" s="1"/>
      <c r="BG363" s="1"/>
    </row>
    <row r="364" spans="1:59" ht="14.25" customHeight="1" x14ac:dyDescent="0.25">
      <c r="A364" s="1"/>
      <c r="B364" s="50"/>
      <c r="C364" s="50" t="s">
        <v>1954</v>
      </c>
      <c r="D364" s="50"/>
      <c r="E364" s="50" t="str">
        <f t="shared" si="82"/>
        <v>001B</v>
      </c>
      <c r="F364" s="50"/>
      <c r="G364" s="50" t="s">
        <v>1875</v>
      </c>
      <c r="H364" s="50" t="s">
        <v>1891</v>
      </c>
      <c r="I364" s="50" t="s">
        <v>1955</v>
      </c>
      <c r="J364" s="50" t="s">
        <v>1956</v>
      </c>
      <c r="K364" s="50" t="s">
        <v>1879</v>
      </c>
      <c r="L364" s="50" t="s">
        <v>1957</v>
      </c>
      <c r="M364" s="50"/>
      <c r="N364" s="52"/>
      <c r="O364" s="50" t="s">
        <v>159</v>
      </c>
      <c r="P364" s="50">
        <v>29</v>
      </c>
      <c r="Q364" s="53">
        <v>0</v>
      </c>
      <c r="R364" s="53">
        <f t="shared" si="84"/>
        <v>29</v>
      </c>
      <c r="S364" s="54">
        <v>7.0000000000000007E-2</v>
      </c>
      <c r="T364" s="54">
        <v>0</v>
      </c>
      <c r="U364" s="54">
        <f t="shared" si="85"/>
        <v>7.0000000000000007E-2</v>
      </c>
      <c r="V364" s="54">
        <v>7</v>
      </c>
      <c r="W364" s="52">
        <f t="shared" si="93"/>
        <v>0.2517361111111111</v>
      </c>
      <c r="X364" s="54">
        <f t="shared" si="86"/>
        <v>99.999999999999986</v>
      </c>
      <c r="Y364" s="50" t="str">
        <f t="shared" si="87"/>
        <v>è in grado</v>
      </c>
      <c r="Z364" s="50" t="str">
        <f t="shared" si="88"/>
        <v>non sottende</v>
      </c>
      <c r="AA364" s="106">
        <f t="shared" si="89"/>
        <v>27.80689655172414</v>
      </c>
      <c r="AB364" s="50" t="str">
        <f t="shared" si="90"/>
        <v>A</v>
      </c>
      <c r="AC364" s="50" t="str">
        <f t="shared" si="83"/>
        <v>SI</v>
      </c>
      <c r="AD364" s="50" t="str">
        <f t="shared" si="91"/>
        <v>No</v>
      </c>
      <c r="AE364" s="50" t="s">
        <v>490</v>
      </c>
      <c r="AF364" s="55">
        <v>1.34</v>
      </c>
      <c r="AG364" s="55">
        <v>196</v>
      </c>
      <c r="AH364" s="55">
        <v>262</v>
      </c>
      <c r="AI364" s="55" t="str">
        <f t="shared" si="102"/>
        <v xml:space="preserve"> </v>
      </c>
      <c r="AJ364" s="53">
        <v>340.81</v>
      </c>
      <c r="AK364" s="53">
        <f t="shared" si="101"/>
        <v>0.55456119245327307</v>
      </c>
      <c r="AL364" s="53">
        <f t="shared" si="99"/>
        <v>189</v>
      </c>
      <c r="AM364" s="50" t="s">
        <v>190</v>
      </c>
      <c r="AN364" s="56" t="s">
        <v>236</v>
      </c>
      <c r="AO364" s="67">
        <v>44561</v>
      </c>
      <c r="AP364" s="58" t="s">
        <v>1958</v>
      </c>
      <c r="AQ364" s="58" t="s">
        <v>238</v>
      </c>
      <c r="AR364" s="58" t="s">
        <v>544</v>
      </c>
      <c r="AS364" s="58"/>
      <c r="AT364" s="50" t="s">
        <v>1882</v>
      </c>
      <c r="AU364" s="1"/>
      <c r="AV364" s="1"/>
      <c r="AW364" s="1"/>
      <c r="AX364" s="1"/>
      <c r="AY364" s="1"/>
      <c r="AZ364" s="1"/>
      <c r="BA364" s="1"/>
      <c r="BB364" s="1"/>
      <c r="BC364" s="1"/>
      <c r="BD364" s="1"/>
      <c r="BE364" s="1"/>
      <c r="BF364" s="1"/>
      <c r="BG364" s="1"/>
    </row>
    <row r="365" spans="1:59" ht="14.25" customHeight="1" x14ac:dyDescent="0.25">
      <c r="A365" s="1"/>
      <c r="B365" s="50"/>
      <c r="C365" s="50" t="s">
        <v>1959</v>
      </c>
      <c r="D365" s="50"/>
      <c r="E365" s="50" t="str">
        <f t="shared" si="82"/>
        <v>001B</v>
      </c>
      <c r="F365" s="50"/>
      <c r="G365" s="50" t="s">
        <v>1875</v>
      </c>
      <c r="H365" s="50" t="s">
        <v>1891</v>
      </c>
      <c r="I365" s="50" t="s">
        <v>1955</v>
      </c>
      <c r="J365" s="50" t="s">
        <v>1960</v>
      </c>
      <c r="K365" s="50" t="s">
        <v>1879</v>
      </c>
      <c r="L365" s="50" t="s">
        <v>1957</v>
      </c>
      <c r="M365" s="50"/>
      <c r="N365" s="52"/>
      <c r="O365" s="50" t="s">
        <v>151</v>
      </c>
      <c r="P365" s="50">
        <v>16</v>
      </c>
      <c r="Q365" s="53">
        <v>0</v>
      </c>
      <c r="R365" s="53">
        <f t="shared" si="84"/>
        <v>16</v>
      </c>
      <c r="S365" s="54">
        <v>0.04</v>
      </c>
      <c r="T365" s="54">
        <v>0</v>
      </c>
      <c r="U365" s="54">
        <f t="shared" si="85"/>
        <v>0.04</v>
      </c>
      <c r="V365" s="54">
        <v>42.7</v>
      </c>
      <c r="W365" s="52">
        <f t="shared" si="93"/>
        <v>0.1388888888888889</v>
      </c>
      <c r="X365" s="54">
        <f t="shared" si="86"/>
        <v>1067.5</v>
      </c>
      <c r="Y365" s="50" t="str">
        <f t="shared" si="87"/>
        <v>è in grado</v>
      </c>
      <c r="Z365" s="50" t="str">
        <f t="shared" si="88"/>
        <v>non sottende</v>
      </c>
      <c r="AA365" s="106">
        <f t="shared" si="89"/>
        <v>307.44</v>
      </c>
      <c r="AB365" s="50" t="str">
        <f t="shared" si="90"/>
        <v>A</v>
      </c>
      <c r="AC365" s="50" t="str">
        <f t="shared" si="83"/>
        <v>SI</v>
      </c>
      <c r="AD365" s="50" t="str">
        <f t="shared" si="91"/>
        <v>Si</v>
      </c>
      <c r="AE365" s="50" t="s">
        <v>490</v>
      </c>
      <c r="AF365" s="55">
        <v>8.8000000000000007</v>
      </c>
      <c r="AG365" s="55">
        <v>1155</v>
      </c>
      <c r="AH365" s="55">
        <v>588</v>
      </c>
      <c r="AI365" s="55" t="str">
        <f t="shared" si="102"/>
        <v>Manufatto limitante</v>
      </c>
      <c r="AJ365" s="53">
        <v>101.4</v>
      </c>
      <c r="AK365" s="53">
        <f t="shared" si="101"/>
        <v>5.3777120315581843</v>
      </c>
      <c r="AL365" s="53">
        <f t="shared" si="99"/>
        <v>545.29999999999995</v>
      </c>
      <c r="AM365" s="50" t="s">
        <v>190</v>
      </c>
      <c r="AN365" s="56" t="s">
        <v>236</v>
      </c>
      <c r="AO365" s="67">
        <v>44561</v>
      </c>
      <c r="AP365" s="58" t="s">
        <v>1961</v>
      </c>
      <c r="AQ365" s="58" t="s">
        <v>238</v>
      </c>
      <c r="AR365" s="58" t="s">
        <v>544</v>
      </c>
      <c r="AS365" s="58"/>
      <c r="AT365" s="50" t="s">
        <v>1882</v>
      </c>
      <c r="AU365" s="1"/>
      <c r="AV365" s="1"/>
      <c r="AW365" s="1"/>
      <c r="AX365" s="1"/>
      <c r="AY365" s="1"/>
      <c r="AZ365" s="1"/>
      <c r="BA365" s="1"/>
      <c r="BB365" s="1"/>
      <c r="BC365" s="1"/>
      <c r="BD365" s="1"/>
      <c r="BE365" s="1"/>
      <c r="BF365" s="1"/>
      <c r="BG365" s="1"/>
    </row>
    <row r="366" spans="1:59" ht="14.25" customHeight="1" x14ac:dyDescent="0.25">
      <c r="A366" s="1"/>
      <c r="B366" s="50"/>
      <c r="C366" s="50" t="s">
        <v>1962</v>
      </c>
      <c r="D366" s="50"/>
      <c r="E366" s="50" t="str">
        <f t="shared" si="82"/>
        <v>001B</v>
      </c>
      <c r="F366" s="50"/>
      <c r="G366" s="50" t="s">
        <v>1875</v>
      </c>
      <c r="H366" s="50" t="s">
        <v>1876</v>
      </c>
      <c r="I366" s="50" t="s">
        <v>1963</v>
      </c>
      <c r="J366" s="50" t="s">
        <v>1964</v>
      </c>
      <c r="K366" s="50" t="s">
        <v>1879</v>
      </c>
      <c r="L366" s="50" t="s">
        <v>1880</v>
      </c>
      <c r="M366" s="50"/>
      <c r="N366" s="52"/>
      <c r="O366" s="50" t="s">
        <v>151</v>
      </c>
      <c r="P366" s="50">
        <v>4130</v>
      </c>
      <c r="Q366" s="53">
        <v>6</v>
      </c>
      <c r="R366" s="53">
        <f t="shared" si="84"/>
        <v>4136</v>
      </c>
      <c r="S366" s="54">
        <v>9.7100000000000009</v>
      </c>
      <c r="T366" s="54">
        <v>0.03</v>
      </c>
      <c r="U366" s="54">
        <f t="shared" si="85"/>
        <v>9.74</v>
      </c>
      <c r="V366" s="54">
        <v>42.48</v>
      </c>
      <c r="W366" s="52">
        <f t="shared" si="93"/>
        <v>35.902777777777779</v>
      </c>
      <c r="X366" s="54">
        <f t="shared" si="86"/>
        <v>4.3613963039014374</v>
      </c>
      <c r="Y366" s="50" t="str">
        <f t="shared" si="87"/>
        <v>è in grado</v>
      </c>
      <c r="Z366" s="50" t="str">
        <f t="shared" si="88"/>
        <v>non sottende</v>
      </c>
      <c r="AA366" s="106">
        <f t="shared" si="89"/>
        <v>1.1831953578336556</v>
      </c>
      <c r="AB366" s="50" t="str">
        <f t="shared" si="90"/>
        <v>B</v>
      </c>
      <c r="AC366" s="50" t="str">
        <f t="shared" si="83"/>
        <v>SI</v>
      </c>
      <c r="AD366" s="50" t="str">
        <f t="shared" si="91"/>
        <v>Si</v>
      </c>
      <c r="AE366" s="50" t="s">
        <v>605</v>
      </c>
      <c r="AF366" s="55">
        <v>31.02</v>
      </c>
      <c r="AG366" s="55">
        <v>3179</v>
      </c>
      <c r="AH366" s="55">
        <v>4399</v>
      </c>
      <c r="AI366" s="55" t="str">
        <f t="shared" si="102"/>
        <v xml:space="preserve"> </v>
      </c>
      <c r="AJ366" s="53">
        <v>192.9</v>
      </c>
      <c r="AK366" s="53">
        <f t="shared" si="101"/>
        <v>16.259823742871955</v>
      </c>
      <c r="AL366" s="53">
        <f t="shared" si="99"/>
        <v>3136.52</v>
      </c>
      <c r="AM366" s="50" t="s">
        <v>190</v>
      </c>
      <c r="AN366" s="56" t="s">
        <v>222</v>
      </c>
      <c r="AO366" s="67">
        <v>44561</v>
      </c>
      <c r="AP366" s="58" t="s">
        <v>1965</v>
      </c>
      <c r="AQ366" s="58" t="s">
        <v>313</v>
      </c>
      <c r="AR366" s="58" t="s">
        <v>544</v>
      </c>
      <c r="AS366" s="58"/>
      <c r="AT366" s="50" t="s">
        <v>1882</v>
      </c>
      <c r="AU366" s="1"/>
      <c r="AV366" s="1"/>
      <c r="AW366" s="1"/>
      <c r="AX366" s="1"/>
      <c r="AY366" s="1"/>
      <c r="AZ366" s="1"/>
      <c r="BA366" s="1"/>
      <c r="BB366" s="1"/>
      <c r="BC366" s="1"/>
      <c r="BD366" s="1"/>
      <c r="BE366" s="1"/>
      <c r="BF366" s="1"/>
      <c r="BG366" s="1"/>
    </row>
    <row r="367" spans="1:59" ht="14.25" customHeight="1" x14ac:dyDescent="0.25">
      <c r="A367" s="1"/>
      <c r="B367" s="50"/>
      <c r="C367" s="50" t="s">
        <v>1966</v>
      </c>
      <c r="D367" s="50" t="s">
        <v>1967</v>
      </c>
      <c r="E367" s="50" t="str">
        <f t="shared" si="82"/>
        <v>PP0200450034001B</v>
      </c>
      <c r="F367" s="50"/>
      <c r="G367" s="50" t="s">
        <v>1875</v>
      </c>
      <c r="H367" s="50" t="s">
        <v>1938</v>
      </c>
      <c r="I367" s="50" t="s">
        <v>1968</v>
      </c>
      <c r="J367" s="50" t="s">
        <v>1969</v>
      </c>
      <c r="K367" s="50" t="s">
        <v>1887</v>
      </c>
      <c r="L367" s="50" t="s">
        <v>1970</v>
      </c>
      <c r="M367" s="50"/>
      <c r="N367" s="52"/>
      <c r="O367" s="50" t="s">
        <v>151</v>
      </c>
      <c r="P367" s="50">
        <v>1162</v>
      </c>
      <c r="Q367" s="53">
        <v>0</v>
      </c>
      <c r="R367" s="53">
        <f t="shared" si="84"/>
        <v>1162</v>
      </c>
      <c r="S367" s="54">
        <v>2.73</v>
      </c>
      <c r="T367" s="54">
        <v>0</v>
      </c>
      <c r="U367" s="54">
        <f t="shared" si="85"/>
        <v>2.73</v>
      </c>
      <c r="V367" s="54">
        <v>382.73</v>
      </c>
      <c r="W367" s="52">
        <f t="shared" si="93"/>
        <v>10.086805555555555</v>
      </c>
      <c r="X367" s="54">
        <f t="shared" si="86"/>
        <v>140.19413919413921</v>
      </c>
      <c r="Y367" s="50" t="str">
        <f t="shared" si="87"/>
        <v>è in grado</v>
      </c>
      <c r="Z367" s="50" t="str">
        <f t="shared" si="88"/>
        <v>non sottende</v>
      </c>
      <c r="AA367" s="106">
        <f t="shared" si="89"/>
        <v>37.943628227194495</v>
      </c>
      <c r="AB367" s="50" t="str">
        <f t="shared" si="90"/>
        <v>A</v>
      </c>
      <c r="AC367" s="50" t="str">
        <f t="shared" si="83"/>
        <v>SI</v>
      </c>
      <c r="AD367" s="50" t="str">
        <f t="shared" si="91"/>
        <v>Si</v>
      </c>
      <c r="AE367" s="50" t="s">
        <v>147</v>
      </c>
      <c r="AF367" s="55">
        <v>25.4</v>
      </c>
      <c r="AG367" s="55">
        <v>1411</v>
      </c>
      <c r="AH367" s="55">
        <v>3882</v>
      </c>
      <c r="AI367" s="55" t="str">
        <f t="shared" si="102"/>
        <v xml:space="preserve"> </v>
      </c>
      <c r="AJ367" s="53">
        <v>134.34</v>
      </c>
      <c r="AK367" s="53">
        <f t="shared" si="101"/>
        <v>7.6542355218103317</v>
      </c>
      <c r="AL367" s="53">
        <f t="shared" si="99"/>
        <v>1028.27</v>
      </c>
      <c r="AM367" s="50" t="s">
        <v>190</v>
      </c>
      <c r="AN367" s="56" t="s">
        <v>222</v>
      </c>
      <c r="AO367" s="57">
        <v>46690</v>
      </c>
      <c r="AP367" s="58" t="s">
        <v>1888</v>
      </c>
      <c r="AQ367" s="58" t="s">
        <v>255</v>
      </c>
      <c r="AR367" s="58" t="s">
        <v>1643</v>
      </c>
      <c r="AS367" s="58"/>
      <c r="AT367" s="64"/>
      <c r="AU367" s="1"/>
      <c r="AV367" s="1"/>
      <c r="AW367" s="1"/>
      <c r="AX367" s="1"/>
      <c r="AY367" s="1"/>
      <c r="AZ367" s="1"/>
      <c r="BA367" s="1"/>
      <c r="BB367" s="1"/>
      <c r="BC367" s="1"/>
      <c r="BD367" s="1"/>
      <c r="BE367" s="1"/>
      <c r="BF367" s="1"/>
      <c r="BG367" s="1"/>
    </row>
    <row r="368" spans="1:59" ht="14.25" customHeight="1" x14ac:dyDescent="0.25">
      <c r="A368" s="1"/>
      <c r="B368" s="50"/>
      <c r="C368" s="50" t="s">
        <v>1971</v>
      </c>
      <c r="D368" s="50"/>
      <c r="E368" s="50" t="str">
        <f t="shared" si="82"/>
        <v>001B</v>
      </c>
      <c r="F368" s="50"/>
      <c r="G368" s="50" t="s">
        <v>1875</v>
      </c>
      <c r="H368" s="50" t="s">
        <v>1929</v>
      </c>
      <c r="I368" s="50" t="s">
        <v>1972</v>
      </c>
      <c r="J368" s="50" t="s">
        <v>1973</v>
      </c>
      <c r="K368" s="50" t="s">
        <v>1879</v>
      </c>
      <c r="L368" s="50" t="s">
        <v>1974</v>
      </c>
      <c r="M368" s="50"/>
      <c r="N368" s="52"/>
      <c r="O368" s="50" t="s">
        <v>159</v>
      </c>
      <c r="P368" s="50">
        <v>594</v>
      </c>
      <c r="Q368" s="53">
        <v>0</v>
      </c>
      <c r="R368" s="53">
        <f t="shared" si="84"/>
        <v>594</v>
      </c>
      <c r="S368" s="54">
        <v>1.4</v>
      </c>
      <c r="T368" s="54">
        <v>0</v>
      </c>
      <c r="U368" s="54">
        <f t="shared" si="85"/>
        <v>1.4</v>
      </c>
      <c r="V368" s="54">
        <v>50</v>
      </c>
      <c r="W368" s="52">
        <f t="shared" si="93"/>
        <v>5.15625</v>
      </c>
      <c r="X368" s="54">
        <f t="shared" si="86"/>
        <v>35.714285714285715</v>
      </c>
      <c r="Y368" s="50" t="str">
        <f t="shared" si="87"/>
        <v>è in grado</v>
      </c>
      <c r="Z368" s="50" t="str">
        <f t="shared" si="88"/>
        <v>non sottende</v>
      </c>
      <c r="AA368" s="106">
        <f t="shared" si="89"/>
        <v>9.6969696969696972</v>
      </c>
      <c r="AB368" s="50" t="str">
        <f t="shared" si="90"/>
        <v>A</v>
      </c>
      <c r="AC368" s="50" t="str">
        <f t="shared" si="83"/>
        <v>SI</v>
      </c>
      <c r="AD368" s="50" t="str">
        <f t="shared" si="91"/>
        <v>Si</v>
      </c>
      <c r="AE368" s="50" t="s">
        <v>490</v>
      </c>
      <c r="AF368" s="55">
        <v>12.05</v>
      </c>
      <c r="AG368" s="55">
        <v>1378</v>
      </c>
      <c r="AH368" s="55">
        <v>1499</v>
      </c>
      <c r="AI368" s="55" t="str">
        <f t="shared" si="102"/>
        <v xml:space="preserve"> </v>
      </c>
      <c r="AJ368" s="53">
        <v>232</v>
      </c>
      <c r="AK368" s="53">
        <f t="shared" si="101"/>
        <v>5.7241379310344831</v>
      </c>
      <c r="AL368" s="53">
        <f t="shared" si="99"/>
        <v>1328</v>
      </c>
      <c r="AM368" s="50" t="s">
        <v>190</v>
      </c>
      <c r="AN368" s="56" t="s">
        <v>236</v>
      </c>
      <c r="AO368" s="67">
        <v>44561</v>
      </c>
      <c r="AP368" s="58" t="s">
        <v>1975</v>
      </c>
      <c r="AQ368" s="58" t="s">
        <v>723</v>
      </c>
      <c r="AR368" s="58"/>
      <c r="AS368" s="58"/>
      <c r="AT368" s="50" t="s">
        <v>1882</v>
      </c>
      <c r="AU368" s="1"/>
      <c r="AV368" s="1"/>
      <c r="AW368" s="1"/>
      <c r="AX368" s="1"/>
      <c r="AY368" s="1"/>
      <c r="AZ368" s="1"/>
      <c r="BA368" s="1"/>
      <c r="BB368" s="1"/>
      <c r="BC368" s="1"/>
      <c r="BD368" s="1"/>
      <c r="BE368" s="1"/>
      <c r="BF368" s="1"/>
      <c r="BG368" s="1"/>
    </row>
    <row r="369" spans="1:59" ht="14.25" customHeight="1" x14ac:dyDescent="0.25">
      <c r="A369" s="1"/>
      <c r="B369" s="50"/>
      <c r="C369" s="50" t="s">
        <v>1976</v>
      </c>
      <c r="D369" s="50"/>
      <c r="E369" s="50" t="str">
        <f t="shared" si="82"/>
        <v>001B</v>
      </c>
      <c r="F369" s="50"/>
      <c r="G369" s="50" t="s">
        <v>1875</v>
      </c>
      <c r="H369" s="50" t="s">
        <v>1891</v>
      </c>
      <c r="I369" s="50" t="s">
        <v>1977</v>
      </c>
      <c r="J369" s="50" t="s">
        <v>1978</v>
      </c>
      <c r="K369" s="50" t="s">
        <v>1879</v>
      </c>
      <c r="L369" s="50" t="s">
        <v>1979</v>
      </c>
      <c r="M369" s="50"/>
      <c r="N369" s="52"/>
      <c r="O369" s="50" t="s">
        <v>151</v>
      </c>
      <c r="P369" s="50">
        <v>145</v>
      </c>
      <c r="Q369" s="53">
        <v>0</v>
      </c>
      <c r="R369" s="53">
        <f t="shared" si="84"/>
        <v>145</v>
      </c>
      <c r="S369" s="54">
        <v>0.34</v>
      </c>
      <c r="T369" s="54">
        <v>0</v>
      </c>
      <c r="U369" s="54">
        <f t="shared" si="85"/>
        <v>0.34</v>
      </c>
      <c r="V369" s="54">
        <v>26.03</v>
      </c>
      <c r="W369" s="52">
        <f t="shared" si="93"/>
        <v>1.2586805555555556</v>
      </c>
      <c r="X369" s="54">
        <f t="shared" si="86"/>
        <v>76.558823529411768</v>
      </c>
      <c r="Y369" s="50" t="str">
        <f t="shared" si="87"/>
        <v>è in grado</v>
      </c>
      <c r="Z369" s="50" t="str">
        <f t="shared" si="88"/>
        <v>non sottende</v>
      </c>
      <c r="AA369" s="106">
        <f t="shared" si="89"/>
        <v>20.680386206896554</v>
      </c>
      <c r="AB369" s="50" t="str">
        <f t="shared" si="90"/>
        <v>A</v>
      </c>
      <c r="AC369" s="50" t="str">
        <f t="shared" si="83"/>
        <v>SI</v>
      </c>
      <c r="AD369" s="50" t="str">
        <f t="shared" si="91"/>
        <v>Si</v>
      </c>
      <c r="AE369" s="50" t="s">
        <v>490</v>
      </c>
      <c r="AF369" s="55">
        <v>4.3099999999999996</v>
      </c>
      <c r="AG369" s="55">
        <v>448</v>
      </c>
      <c r="AH369" s="55">
        <v>854</v>
      </c>
      <c r="AI369" s="55" t="str">
        <f t="shared" si="102"/>
        <v xml:space="preserve"> </v>
      </c>
      <c r="AJ369" s="53">
        <v>230.29</v>
      </c>
      <c r="AK369" s="53">
        <f t="shared" si="101"/>
        <v>1.83234182986669</v>
      </c>
      <c r="AL369" s="53">
        <f t="shared" si="99"/>
        <v>421.97</v>
      </c>
      <c r="AM369" s="50" t="s">
        <v>190</v>
      </c>
      <c r="AN369" s="56" t="s">
        <v>222</v>
      </c>
      <c r="AO369" s="67">
        <v>44561</v>
      </c>
      <c r="AP369" s="58" t="s">
        <v>1980</v>
      </c>
      <c r="AQ369" s="58" t="s">
        <v>255</v>
      </c>
      <c r="AR369" s="58"/>
      <c r="AS369" s="58"/>
      <c r="AT369" s="50" t="s">
        <v>1882</v>
      </c>
      <c r="AU369" s="1"/>
      <c r="AV369" s="1"/>
      <c r="AW369" s="1"/>
      <c r="AX369" s="1"/>
      <c r="AY369" s="1"/>
      <c r="AZ369" s="1"/>
      <c r="BA369" s="1"/>
      <c r="BB369" s="1"/>
      <c r="BC369" s="1"/>
      <c r="BD369" s="1"/>
      <c r="BE369" s="1"/>
      <c r="BF369" s="1"/>
      <c r="BG369" s="1"/>
    </row>
    <row r="370" spans="1:59" ht="14.25" customHeight="1" x14ac:dyDescent="0.25">
      <c r="A370" s="1"/>
      <c r="B370" s="50"/>
      <c r="C370" s="50" t="s">
        <v>1981</v>
      </c>
      <c r="D370" s="50"/>
      <c r="E370" s="50" t="str">
        <f t="shared" si="82"/>
        <v>001B</v>
      </c>
      <c r="F370" s="50"/>
      <c r="G370" s="50" t="s">
        <v>1875</v>
      </c>
      <c r="H370" s="50" t="s">
        <v>1929</v>
      </c>
      <c r="I370" s="50" t="s">
        <v>1982</v>
      </c>
      <c r="J370" s="50" t="s">
        <v>1983</v>
      </c>
      <c r="K370" s="50" t="s">
        <v>1887</v>
      </c>
      <c r="L370" s="50" t="s">
        <v>1932</v>
      </c>
      <c r="M370" s="51" t="s">
        <v>221</v>
      </c>
      <c r="N370" s="52"/>
      <c r="O370" s="50" t="s">
        <v>151</v>
      </c>
      <c r="P370" s="50">
        <v>2839</v>
      </c>
      <c r="Q370" s="53">
        <v>2.4</v>
      </c>
      <c r="R370" s="53">
        <f t="shared" si="84"/>
        <v>2841.4</v>
      </c>
      <c r="S370" s="54">
        <v>6.68</v>
      </c>
      <c r="T370" s="54">
        <v>0.03</v>
      </c>
      <c r="U370" s="54">
        <f t="shared" si="85"/>
        <v>6.71</v>
      </c>
      <c r="V370" s="54">
        <v>51.76</v>
      </c>
      <c r="W370" s="52">
        <f t="shared" si="93"/>
        <v>24.664930555555557</v>
      </c>
      <c r="X370" s="54">
        <f t="shared" si="86"/>
        <v>7.7138599105812222</v>
      </c>
      <c r="Y370" s="50" t="str">
        <f t="shared" si="87"/>
        <v>è in grado</v>
      </c>
      <c r="Z370" s="50" t="str">
        <f t="shared" si="88"/>
        <v>non sottende</v>
      </c>
      <c r="AA370" s="106">
        <f t="shared" si="89"/>
        <v>2.0985260786936015</v>
      </c>
      <c r="AB370" s="50" t="str">
        <f t="shared" si="90"/>
        <v>A</v>
      </c>
      <c r="AC370" s="50" t="str">
        <f t="shared" si="83"/>
        <v>SI</v>
      </c>
      <c r="AD370" s="50" t="str">
        <f t="shared" si="91"/>
        <v>Si</v>
      </c>
      <c r="AE370" s="50" t="s">
        <v>147</v>
      </c>
      <c r="AF370" s="55">
        <v>44.4</v>
      </c>
      <c r="AG370" s="55">
        <v>319</v>
      </c>
      <c r="AH370" s="55">
        <v>3023</v>
      </c>
      <c r="AI370" s="55" t="str">
        <f t="shared" si="102"/>
        <v xml:space="preserve"> </v>
      </c>
      <c r="AJ370" s="53">
        <v>239.13</v>
      </c>
      <c r="AK370" s="53">
        <f t="shared" si="101"/>
        <v>1.1175511228202233</v>
      </c>
      <c r="AL370" s="53">
        <f t="shared" si="99"/>
        <v>267.24</v>
      </c>
      <c r="AM370" s="50" t="s">
        <v>190</v>
      </c>
      <c r="AN370" s="56" t="s">
        <v>222</v>
      </c>
      <c r="AO370" s="66"/>
      <c r="AP370" s="58" t="s">
        <v>223</v>
      </c>
      <c r="AQ370" s="58" t="s">
        <v>224</v>
      </c>
      <c r="AR370" s="58" t="s">
        <v>225</v>
      </c>
      <c r="AS370" s="58" t="s">
        <v>92</v>
      </c>
      <c r="AT370" s="64"/>
      <c r="AU370" s="1"/>
      <c r="AV370" s="1"/>
      <c r="AW370" s="1"/>
      <c r="AX370" s="1"/>
      <c r="AY370" s="1"/>
      <c r="AZ370" s="1"/>
      <c r="BA370" s="1"/>
      <c r="BB370" s="1"/>
      <c r="BC370" s="1"/>
      <c r="BD370" s="1"/>
      <c r="BE370" s="1"/>
      <c r="BF370" s="1"/>
      <c r="BG370" s="1"/>
    </row>
    <row r="371" spans="1:59" ht="14.25" customHeight="1" x14ac:dyDescent="0.25">
      <c r="A371" s="1"/>
      <c r="B371" s="50"/>
      <c r="C371" s="50" t="s">
        <v>1984</v>
      </c>
      <c r="D371" s="50"/>
      <c r="E371" s="50" t="str">
        <f t="shared" si="82"/>
        <v>001B</v>
      </c>
      <c r="F371" s="50" t="s">
        <v>1985</v>
      </c>
      <c r="G371" s="50" t="s">
        <v>1875</v>
      </c>
      <c r="H371" s="50" t="s">
        <v>1876</v>
      </c>
      <c r="I371" s="50" t="s">
        <v>1986</v>
      </c>
      <c r="J371" s="50" t="s">
        <v>1987</v>
      </c>
      <c r="K371" s="50" t="s">
        <v>1879</v>
      </c>
      <c r="L371" s="50" t="s">
        <v>1988</v>
      </c>
      <c r="M371" s="50"/>
      <c r="N371" s="52"/>
      <c r="O371" s="50" t="s">
        <v>151</v>
      </c>
      <c r="P371" s="50">
        <v>4844</v>
      </c>
      <c r="Q371" s="53">
        <v>6</v>
      </c>
      <c r="R371" s="53">
        <f t="shared" si="84"/>
        <v>4850</v>
      </c>
      <c r="S371" s="54">
        <v>11.39</v>
      </c>
      <c r="T371" s="54">
        <v>0.03</v>
      </c>
      <c r="U371" s="54">
        <f t="shared" si="85"/>
        <v>11.42</v>
      </c>
      <c r="V371" s="54">
        <v>51.85</v>
      </c>
      <c r="W371" s="52">
        <f t="shared" si="93"/>
        <v>42.100694444444443</v>
      </c>
      <c r="X371" s="54">
        <f t="shared" si="86"/>
        <v>4.5402802101576185</v>
      </c>
      <c r="Y371" s="50" t="str">
        <f t="shared" si="87"/>
        <v>è in grado</v>
      </c>
      <c r="Z371" s="50" t="str">
        <f t="shared" si="88"/>
        <v>non sottende</v>
      </c>
      <c r="AA371" s="106">
        <f t="shared" si="89"/>
        <v>1.2315711340206186</v>
      </c>
      <c r="AB371" s="50" t="str">
        <f t="shared" si="90"/>
        <v>B</v>
      </c>
      <c r="AC371" s="50" t="str">
        <f t="shared" si="83"/>
        <v>SI</v>
      </c>
      <c r="AD371" s="50" t="str">
        <f t="shared" si="91"/>
        <v>Si</v>
      </c>
      <c r="AE371" s="50" t="s">
        <v>605</v>
      </c>
      <c r="AF371" s="55">
        <v>32.700000000000003</v>
      </c>
      <c r="AG371" s="55">
        <v>2380</v>
      </c>
      <c r="AH371" s="55">
        <v>1550</v>
      </c>
      <c r="AI371" s="55" t="str">
        <f t="shared" si="102"/>
        <v>Manufatto limitante</v>
      </c>
      <c r="AJ371" s="53">
        <v>104.63</v>
      </c>
      <c r="AK371" s="53">
        <f t="shared" si="101"/>
        <v>14.318551084774922</v>
      </c>
      <c r="AL371" s="53">
        <f t="shared" si="99"/>
        <v>1498.15</v>
      </c>
      <c r="AM371" s="50" t="s">
        <v>190</v>
      </c>
      <c r="AN371" s="56" t="s">
        <v>236</v>
      </c>
      <c r="AO371" s="67">
        <v>44561</v>
      </c>
      <c r="AP371" s="58" t="s">
        <v>1989</v>
      </c>
      <c r="AQ371" s="58" t="s">
        <v>255</v>
      </c>
      <c r="AR371" s="58"/>
      <c r="AS371" s="58"/>
      <c r="AT371" s="50" t="s">
        <v>1882</v>
      </c>
      <c r="AU371" s="1"/>
      <c r="AV371" s="1"/>
      <c r="AW371" s="1"/>
      <c r="AX371" s="1"/>
      <c r="AY371" s="1"/>
      <c r="AZ371" s="1"/>
      <c r="BA371" s="1"/>
      <c r="BB371" s="1"/>
      <c r="BC371" s="1"/>
      <c r="BD371" s="1"/>
      <c r="BE371" s="1"/>
      <c r="BF371" s="1"/>
      <c r="BG371" s="1"/>
    </row>
    <row r="372" spans="1:59" ht="14.25" customHeight="1" x14ac:dyDescent="0.25">
      <c r="A372" s="1"/>
      <c r="B372" s="50"/>
      <c r="C372" s="50" t="s">
        <v>1990</v>
      </c>
      <c r="D372" s="50"/>
      <c r="E372" s="50" t="str">
        <f t="shared" si="82"/>
        <v>001B</v>
      </c>
      <c r="F372" s="50" t="s">
        <v>1991</v>
      </c>
      <c r="G372" s="50" t="s">
        <v>1875</v>
      </c>
      <c r="H372" s="50" t="s">
        <v>1891</v>
      </c>
      <c r="I372" s="50" t="s">
        <v>1992</v>
      </c>
      <c r="J372" s="50" t="s">
        <v>1993</v>
      </c>
      <c r="K372" s="50" t="s">
        <v>1879</v>
      </c>
      <c r="L372" s="50" t="s">
        <v>1904</v>
      </c>
      <c r="M372" s="50"/>
      <c r="N372" s="52"/>
      <c r="O372" s="50" t="s">
        <v>159</v>
      </c>
      <c r="P372" s="50">
        <v>73</v>
      </c>
      <c r="Q372" s="53">
        <v>0</v>
      </c>
      <c r="R372" s="53">
        <f t="shared" si="84"/>
        <v>73</v>
      </c>
      <c r="S372" s="54">
        <v>0.17</v>
      </c>
      <c r="T372" s="54">
        <v>0</v>
      </c>
      <c r="U372" s="54">
        <f t="shared" si="85"/>
        <v>0.17</v>
      </c>
      <c r="V372" s="54">
        <v>2.7</v>
      </c>
      <c r="W372" s="52">
        <f t="shared" si="93"/>
        <v>0.63368055555555558</v>
      </c>
      <c r="X372" s="54">
        <f t="shared" si="86"/>
        <v>15.882352941176471</v>
      </c>
      <c r="Y372" s="50" t="str">
        <f t="shared" si="87"/>
        <v>è in grado</v>
      </c>
      <c r="Z372" s="50" t="str">
        <f t="shared" si="88"/>
        <v>non sottende</v>
      </c>
      <c r="AA372" s="106">
        <f t="shared" si="89"/>
        <v>4.2608219178082196</v>
      </c>
      <c r="AB372" s="50" t="str">
        <f t="shared" si="90"/>
        <v>A</v>
      </c>
      <c r="AC372" s="50" t="str">
        <f t="shared" si="83"/>
        <v>SI</v>
      </c>
      <c r="AD372" s="50" t="str">
        <f t="shared" si="91"/>
        <v>No</v>
      </c>
      <c r="AE372" s="50" t="s">
        <v>490</v>
      </c>
      <c r="AF372" s="55">
        <v>1.84</v>
      </c>
      <c r="AG372" s="55">
        <v>266</v>
      </c>
      <c r="AH372" s="55">
        <v>743</v>
      </c>
      <c r="AI372" s="55" t="str">
        <f t="shared" si="102"/>
        <v xml:space="preserve"> </v>
      </c>
      <c r="AJ372" s="53">
        <v>258.81</v>
      </c>
      <c r="AK372" s="53">
        <f t="shared" si="101"/>
        <v>1.0173486341331479</v>
      </c>
      <c r="AL372" s="53">
        <f t="shared" si="99"/>
        <v>263.3</v>
      </c>
      <c r="AM372" s="50" t="s">
        <v>190</v>
      </c>
      <c r="AN372" s="56" t="s">
        <v>236</v>
      </c>
      <c r="AO372" s="67">
        <v>44561</v>
      </c>
      <c r="AP372" s="58" t="s">
        <v>1994</v>
      </c>
      <c r="AQ372" s="58" t="s">
        <v>238</v>
      </c>
      <c r="AR372" s="58" t="s">
        <v>544</v>
      </c>
      <c r="AS372" s="58"/>
      <c r="AT372" s="50" t="s">
        <v>1882</v>
      </c>
      <c r="AU372" s="1"/>
      <c r="AV372" s="1"/>
      <c r="AW372" s="1"/>
      <c r="AX372" s="1"/>
      <c r="AY372" s="1"/>
      <c r="AZ372" s="1"/>
      <c r="BA372" s="1"/>
      <c r="BB372" s="1"/>
      <c r="BC372" s="1"/>
      <c r="BD372" s="1"/>
      <c r="BE372" s="1"/>
      <c r="BF372" s="1"/>
      <c r="BG372" s="1"/>
    </row>
    <row r="373" spans="1:59" ht="14.25" customHeight="1" x14ac:dyDescent="0.25">
      <c r="A373" s="1"/>
      <c r="B373" s="50"/>
      <c r="C373" s="50" t="s">
        <v>1995</v>
      </c>
      <c r="D373" s="50"/>
      <c r="E373" s="50" t="str">
        <f t="shared" si="82"/>
        <v>001B</v>
      </c>
      <c r="F373" s="50"/>
      <c r="G373" s="50" t="s">
        <v>1875</v>
      </c>
      <c r="H373" s="50" t="s">
        <v>1929</v>
      </c>
      <c r="I373" s="50" t="s">
        <v>1996</v>
      </c>
      <c r="J373" s="50" t="s">
        <v>1997</v>
      </c>
      <c r="K373" s="50" t="s">
        <v>1879</v>
      </c>
      <c r="L373" s="50" t="s">
        <v>1948</v>
      </c>
      <c r="M373" s="51" t="s">
        <v>221</v>
      </c>
      <c r="N373" s="52"/>
      <c r="O373" s="50" t="s">
        <v>151</v>
      </c>
      <c r="P373" s="50">
        <v>51</v>
      </c>
      <c r="Q373" s="53">
        <v>0</v>
      </c>
      <c r="R373" s="53">
        <f t="shared" si="84"/>
        <v>51</v>
      </c>
      <c r="S373" s="54">
        <v>0.12</v>
      </c>
      <c r="T373" s="54">
        <v>0</v>
      </c>
      <c r="U373" s="54">
        <f t="shared" si="85"/>
        <v>0.12</v>
      </c>
      <c r="V373" s="54">
        <v>22.04</v>
      </c>
      <c r="W373" s="52">
        <f t="shared" si="93"/>
        <v>0.44270833333333331</v>
      </c>
      <c r="X373" s="54">
        <f t="shared" si="86"/>
        <v>183.66666666666666</v>
      </c>
      <c r="Y373" s="50" t="str">
        <f t="shared" si="87"/>
        <v>è in grado</v>
      </c>
      <c r="Z373" s="50" t="str">
        <f t="shared" si="88"/>
        <v>non sottende</v>
      </c>
      <c r="AA373" s="106">
        <f t="shared" si="89"/>
        <v>49.784470588235294</v>
      </c>
      <c r="AB373" s="50" t="str">
        <f t="shared" si="90"/>
        <v>A</v>
      </c>
      <c r="AC373" s="50" t="str">
        <f t="shared" si="83"/>
        <v>SI</v>
      </c>
      <c r="AD373" s="50" t="str">
        <f t="shared" si="91"/>
        <v>Si</v>
      </c>
      <c r="AE373" s="50" t="s">
        <v>490</v>
      </c>
      <c r="AF373" s="55">
        <v>1.25</v>
      </c>
      <c r="AG373" s="55">
        <v>163</v>
      </c>
      <c r="AH373" s="55">
        <v>520</v>
      </c>
      <c r="AI373" s="55" t="str">
        <f t="shared" si="102"/>
        <v xml:space="preserve"> </v>
      </c>
      <c r="AJ373" s="53">
        <v>225.24</v>
      </c>
      <c r="AK373" s="53">
        <f t="shared" si="101"/>
        <v>0.62582134611969453</v>
      </c>
      <c r="AL373" s="53">
        <f t="shared" si="99"/>
        <v>140.96</v>
      </c>
      <c r="AM373" s="50" t="s">
        <v>190</v>
      </c>
      <c r="AN373" s="56" t="s">
        <v>222</v>
      </c>
      <c r="AO373" s="66" t="s">
        <v>92</v>
      </c>
      <c r="AP373" s="58" t="s">
        <v>1998</v>
      </c>
      <c r="AQ373" s="58" t="s">
        <v>224</v>
      </c>
      <c r="AR373" s="58" t="s">
        <v>225</v>
      </c>
      <c r="AS373" s="58" t="s">
        <v>92</v>
      </c>
      <c r="AT373" s="50"/>
      <c r="AU373" s="1"/>
      <c r="AV373" s="1"/>
      <c r="AW373" s="1"/>
      <c r="AX373" s="1"/>
      <c r="AY373" s="1"/>
      <c r="AZ373" s="1"/>
      <c r="BA373" s="1"/>
      <c r="BB373" s="1"/>
      <c r="BC373" s="1"/>
      <c r="BD373" s="1"/>
      <c r="BE373" s="1"/>
      <c r="BF373" s="1"/>
      <c r="BG373" s="1"/>
    </row>
    <row r="374" spans="1:59" ht="14.25" customHeight="1" x14ac:dyDescent="0.25">
      <c r="A374" s="1"/>
      <c r="B374" s="50"/>
      <c r="C374" s="50" t="s">
        <v>1999</v>
      </c>
      <c r="D374" s="50"/>
      <c r="E374" s="50" t="str">
        <f t="shared" si="82"/>
        <v>001B</v>
      </c>
      <c r="F374" s="50"/>
      <c r="G374" s="50" t="s">
        <v>1875</v>
      </c>
      <c r="H374" s="50" t="s">
        <v>1929</v>
      </c>
      <c r="I374" s="50" t="s">
        <v>2000</v>
      </c>
      <c r="J374" s="50" t="s">
        <v>2001</v>
      </c>
      <c r="K374" s="50" t="s">
        <v>1879</v>
      </c>
      <c r="L374" s="50" t="s">
        <v>2002</v>
      </c>
      <c r="M374" s="51" t="s">
        <v>221</v>
      </c>
      <c r="N374" s="52"/>
      <c r="O374" s="50" t="s">
        <v>151</v>
      </c>
      <c r="P374" s="50">
        <v>81</v>
      </c>
      <c r="Q374" s="53">
        <v>0</v>
      </c>
      <c r="R374" s="53">
        <f t="shared" si="84"/>
        <v>81</v>
      </c>
      <c r="S374" s="54">
        <v>0.19</v>
      </c>
      <c r="T374" s="54">
        <v>0</v>
      </c>
      <c r="U374" s="54">
        <f t="shared" si="85"/>
        <v>0.19</v>
      </c>
      <c r="V374" s="54">
        <v>68.5</v>
      </c>
      <c r="W374" s="52">
        <f t="shared" si="93"/>
        <v>0.703125</v>
      </c>
      <c r="X374" s="54">
        <f t="shared" si="86"/>
        <v>360.5263157894737</v>
      </c>
      <c r="Y374" s="50" t="str">
        <f t="shared" si="87"/>
        <v>è in grado</v>
      </c>
      <c r="Z374" s="50" t="str">
        <f t="shared" si="88"/>
        <v>non sottende</v>
      </c>
      <c r="AA374" s="106">
        <f t="shared" si="89"/>
        <v>97.422222222222217</v>
      </c>
      <c r="AB374" s="50" t="str">
        <f t="shared" si="90"/>
        <v>A</v>
      </c>
      <c r="AC374" s="50" t="str">
        <f t="shared" si="83"/>
        <v>SI</v>
      </c>
      <c r="AD374" s="50" t="str">
        <f t="shared" si="91"/>
        <v>Si</v>
      </c>
      <c r="AE374" s="50" t="s">
        <v>490</v>
      </c>
      <c r="AF374" s="55">
        <v>2.0099999999999998</v>
      </c>
      <c r="AG374" s="55">
        <v>216</v>
      </c>
      <c r="AH374" s="55">
        <v>575</v>
      </c>
      <c r="AI374" s="55" t="str">
        <f t="shared" si="102"/>
        <v xml:space="preserve"> </v>
      </c>
      <c r="AJ374" s="53">
        <v>184.02</v>
      </c>
      <c r="AK374" s="53">
        <f t="shared" si="101"/>
        <v>0.80154331050972716</v>
      </c>
      <c r="AL374" s="53">
        <f t="shared" si="99"/>
        <v>147.5</v>
      </c>
      <c r="AM374" s="50" t="s">
        <v>190</v>
      </c>
      <c r="AN374" s="56" t="s">
        <v>222</v>
      </c>
      <c r="AO374" s="66" t="s">
        <v>92</v>
      </c>
      <c r="AP374" s="58" t="s">
        <v>2003</v>
      </c>
      <c r="AQ374" s="58" t="s">
        <v>224</v>
      </c>
      <c r="AR374" s="58" t="s">
        <v>225</v>
      </c>
      <c r="AS374" s="58" t="s">
        <v>92</v>
      </c>
      <c r="AT374" s="50"/>
      <c r="AU374" s="1"/>
      <c r="AV374" s="1"/>
      <c r="AW374" s="1"/>
      <c r="AX374" s="1"/>
      <c r="AY374" s="1"/>
      <c r="AZ374" s="1"/>
      <c r="BA374" s="1"/>
      <c r="BB374" s="1"/>
      <c r="BC374" s="1"/>
      <c r="BD374" s="1"/>
      <c r="BE374" s="1"/>
      <c r="BF374" s="1"/>
      <c r="BG374" s="1"/>
    </row>
    <row r="375" spans="1:59" ht="14.25" customHeight="1" x14ac:dyDescent="0.25">
      <c r="A375" s="1"/>
      <c r="B375" s="50"/>
      <c r="C375" s="50" t="s">
        <v>2004</v>
      </c>
      <c r="D375" s="50"/>
      <c r="E375" s="50" t="str">
        <f t="shared" si="82"/>
        <v>001B</v>
      </c>
      <c r="F375" s="50"/>
      <c r="G375" s="50" t="s">
        <v>1875</v>
      </c>
      <c r="H375" s="50" t="s">
        <v>1929</v>
      </c>
      <c r="I375" s="50" t="s">
        <v>2005</v>
      </c>
      <c r="J375" s="50" t="s">
        <v>2006</v>
      </c>
      <c r="K375" s="50" t="s">
        <v>1879</v>
      </c>
      <c r="L375" s="50" t="s">
        <v>2007</v>
      </c>
      <c r="M375" s="51" t="s">
        <v>221</v>
      </c>
      <c r="N375" s="52"/>
      <c r="O375" s="50" t="s">
        <v>151</v>
      </c>
      <c r="P375" s="50">
        <v>88</v>
      </c>
      <c r="Q375" s="53">
        <v>0</v>
      </c>
      <c r="R375" s="53">
        <f t="shared" si="84"/>
        <v>88</v>
      </c>
      <c r="S375" s="54">
        <v>0.21</v>
      </c>
      <c r="T375" s="54">
        <v>0</v>
      </c>
      <c r="U375" s="54">
        <f t="shared" si="85"/>
        <v>0.21</v>
      </c>
      <c r="V375" s="54">
        <v>42.33</v>
      </c>
      <c r="W375" s="52">
        <f t="shared" si="93"/>
        <v>0.76388888888888884</v>
      </c>
      <c r="X375" s="54">
        <f t="shared" si="86"/>
        <v>201.57142857142858</v>
      </c>
      <c r="Y375" s="50" t="str">
        <f t="shared" si="87"/>
        <v>è in grado</v>
      </c>
      <c r="Z375" s="50" t="str">
        <f t="shared" si="88"/>
        <v>non sottende</v>
      </c>
      <c r="AA375" s="106">
        <f t="shared" si="89"/>
        <v>55.413818181818186</v>
      </c>
      <c r="AB375" s="50" t="str">
        <f t="shared" si="90"/>
        <v>A</v>
      </c>
      <c r="AC375" s="50" t="str">
        <f t="shared" si="83"/>
        <v>SI</v>
      </c>
      <c r="AD375" s="50" t="str">
        <f t="shared" si="91"/>
        <v>Si</v>
      </c>
      <c r="AE375" s="50" t="s">
        <v>490</v>
      </c>
      <c r="AF375" s="55">
        <v>2.17</v>
      </c>
      <c r="AG375" s="55">
        <v>263</v>
      </c>
      <c r="AH375" s="55">
        <v>350</v>
      </c>
      <c r="AI375" s="55" t="str">
        <f t="shared" si="102"/>
        <v xml:space="preserve"> </v>
      </c>
      <c r="AJ375" s="53">
        <v>203.52</v>
      </c>
      <c r="AK375" s="53">
        <f t="shared" si="101"/>
        <v>1.0842669025157232</v>
      </c>
      <c r="AL375" s="53">
        <f t="shared" si="99"/>
        <v>220.67000000000002</v>
      </c>
      <c r="AM375" s="50" t="s">
        <v>190</v>
      </c>
      <c r="AN375" s="56" t="s">
        <v>222</v>
      </c>
      <c r="AO375" s="66" t="s">
        <v>92</v>
      </c>
      <c r="AP375" s="58" t="s">
        <v>2008</v>
      </c>
      <c r="AQ375" s="58" t="s">
        <v>224</v>
      </c>
      <c r="AR375" s="58" t="s">
        <v>225</v>
      </c>
      <c r="AS375" s="58" t="s">
        <v>92</v>
      </c>
      <c r="AT375" s="50"/>
      <c r="AU375" s="1"/>
      <c r="AV375" s="1"/>
      <c r="AW375" s="1"/>
      <c r="AX375" s="1"/>
      <c r="AY375" s="1"/>
      <c r="AZ375" s="1"/>
      <c r="BA375" s="1"/>
      <c r="BB375" s="1"/>
      <c r="BC375" s="1"/>
      <c r="BD375" s="1"/>
      <c r="BE375" s="1"/>
      <c r="BF375" s="1"/>
      <c r="BG375" s="1"/>
    </row>
    <row r="376" spans="1:59" ht="14.25" customHeight="1" x14ac:dyDescent="0.25">
      <c r="A376" s="1"/>
      <c r="B376" s="50"/>
      <c r="C376" s="50" t="s">
        <v>2009</v>
      </c>
      <c r="D376" s="50"/>
      <c r="E376" s="50" t="str">
        <f t="shared" si="82"/>
        <v>001B</v>
      </c>
      <c r="F376" s="50"/>
      <c r="G376" s="50" t="s">
        <v>1875</v>
      </c>
      <c r="H376" s="50" t="s">
        <v>1929</v>
      </c>
      <c r="I376" s="50" t="s">
        <v>2010</v>
      </c>
      <c r="J376" s="50" t="s">
        <v>2011</v>
      </c>
      <c r="K376" s="50" t="s">
        <v>1879</v>
      </c>
      <c r="L376" s="50" t="s">
        <v>2007</v>
      </c>
      <c r="M376" s="51" t="s">
        <v>221</v>
      </c>
      <c r="N376" s="52"/>
      <c r="O376" s="50" t="s">
        <v>151</v>
      </c>
      <c r="P376" s="50">
        <v>99</v>
      </c>
      <c r="Q376" s="53">
        <v>0</v>
      </c>
      <c r="R376" s="53">
        <f t="shared" si="84"/>
        <v>99</v>
      </c>
      <c r="S376" s="54">
        <v>0.23</v>
      </c>
      <c r="T376" s="54">
        <v>0</v>
      </c>
      <c r="U376" s="54">
        <f t="shared" si="85"/>
        <v>0.23</v>
      </c>
      <c r="V376" s="54">
        <v>103.15</v>
      </c>
      <c r="W376" s="52">
        <f t="shared" si="93"/>
        <v>0.859375</v>
      </c>
      <c r="X376" s="54">
        <f t="shared" si="86"/>
        <v>448.47826086956525</v>
      </c>
      <c r="Y376" s="50" t="str">
        <f t="shared" si="87"/>
        <v>è in grado</v>
      </c>
      <c r="Z376" s="50" t="str">
        <f t="shared" si="88"/>
        <v>non sottende</v>
      </c>
      <c r="AA376" s="106">
        <f t="shared" si="89"/>
        <v>120.02909090909091</v>
      </c>
      <c r="AB376" s="50" t="str">
        <f t="shared" si="90"/>
        <v>A</v>
      </c>
      <c r="AC376" s="50" t="str">
        <f t="shared" si="83"/>
        <v>SI</v>
      </c>
      <c r="AD376" s="50" t="str">
        <f t="shared" si="91"/>
        <v>Si</v>
      </c>
      <c r="AE376" s="50" t="s">
        <v>490</v>
      </c>
      <c r="AF376" s="55">
        <v>2.54</v>
      </c>
      <c r="AG376" s="55">
        <v>306</v>
      </c>
      <c r="AH376" s="55">
        <v>625</v>
      </c>
      <c r="AI376" s="55" t="str">
        <f t="shared" si="102"/>
        <v xml:space="preserve"> </v>
      </c>
      <c r="AJ376" s="53">
        <v>160</v>
      </c>
      <c r="AK376" s="53">
        <f t="shared" si="101"/>
        <v>1.2678125</v>
      </c>
      <c r="AL376" s="53">
        <f t="shared" si="99"/>
        <v>202.85</v>
      </c>
      <c r="AM376" s="50" t="s">
        <v>190</v>
      </c>
      <c r="AN376" s="56" t="s">
        <v>222</v>
      </c>
      <c r="AO376" s="66" t="s">
        <v>92</v>
      </c>
      <c r="AP376" s="58" t="s">
        <v>2012</v>
      </c>
      <c r="AQ376" s="58" t="s">
        <v>224</v>
      </c>
      <c r="AR376" s="58" t="s">
        <v>225</v>
      </c>
      <c r="AS376" s="58" t="s">
        <v>92</v>
      </c>
      <c r="AT376" s="50"/>
      <c r="AU376" s="1"/>
      <c r="AV376" s="1"/>
      <c r="AW376" s="1"/>
      <c r="AX376" s="1"/>
      <c r="AY376" s="1"/>
      <c r="AZ376" s="1"/>
      <c r="BA376" s="1"/>
      <c r="BB376" s="1"/>
      <c r="BC376" s="1"/>
      <c r="BD376" s="1"/>
      <c r="BE376" s="1"/>
      <c r="BF376" s="1"/>
      <c r="BG376" s="1"/>
    </row>
    <row r="377" spans="1:59" ht="15.75" customHeight="1" x14ac:dyDescent="0.25">
      <c r="A377" s="1"/>
      <c r="B377" s="50"/>
      <c r="C377" s="50" t="s">
        <v>2013</v>
      </c>
      <c r="D377" s="50"/>
      <c r="E377" s="50" t="str">
        <f t="shared" si="82"/>
        <v>001B</v>
      </c>
      <c r="F377" s="50"/>
      <c r="G377" s="50" t="s">
        <v>1875</v>
      </c>
      <c r="H377" s="50" t="s">
        <v>1891</v>
      </c>
      <c r="I377" s="50" t="s">
        <v>2014</v>
      </c>
      <c r="J377" s="50" t="s">
        <v>2015</v>
      </c>
      <c r="K377" s="50" t="s">
        <v>1879</v>
      </c>
      <c r="L377" s="50" t="s">
        <v>1904</v>
      </c>
      <c r="M377" s="50"/>
      <c r="N377" s="52"/>
      <c r="O377" s="50" t="s">
        <v>151</v>
      </c>
      <c r="P377" s="50">
        <v>1662</v>
      </c>
      <c r="Q377" s="53">
        <v>0</v>
      </c>
      <c r="R377" s="53">
        <f t="shared" si="84"/>
        <v>1662</v>
      </c>
      <c r="S377" s="54">
        <v>3.91</v>
      </c>
      <c r="T377" s="54">
        <v>0</v>
      </c>
      <c r="U377" s="54">
        <f t="shared" si="85"/>
        <v>3.91</v>
      </c>
      <c r="V377" s="54">
        <v>60.28</v>
      </c>
      <c r="W377" s="52">
        <f t="shared" si="93"/>
        <v>14.427083333333334</v>
      </c>
      <c r="X377" s="54">
        <f t="shared" si="86"/>
        <v>15.416879795396419</v>
      </c>
      <c r="Y377" s="50" t="str">
        <f t="shared" si="87"/>
        <v>è in grado</v>
      </c>
      <c r="Z377" s="50" t="str">
        <f t="shared" si="88"/>
        <v>non sottende</v>
      </c>
      <c r="AA377" s="106">
        <f t="shared" si="89"/>
        <v>4.178252707581227</v>
      </c>
      <c r="AB377" s="50" t="str">
        <f t="shared" si="90"/>
        <v>A</v>
      </c>
      <c r="AC377" s="50" t="str">
        <f t="shared" si="83"/>
        <v>SI</v>
      </c>
      <c r="AD377" s="50" t="str">
        <f t="shared" si="91"/>
        <v>Si</v>
      </c>
      <c r="AE377" s="50" t="s">
        <v>490</v>
      </c>
      <c r="AF377" s="55">
        <v>40.32</v>
      </c>
      <c r="AG377" s="55">
        <v>2942</v>
      </c>
      <c r="AH377" s="55">
        <v>438</v>
      </c>
      <c r="AI377" s="55" t="str">
        <f t="shared" si="102"/>
        <v>Manufatto limitante</v>
      </c>
      <c r="AJ377" s="53">
        <v>26</v>
      </c>
      <c r="AK377" s="53">
        <f t="shared" si="101"/>
        <v>14.527692307692309</v>
      </c>
      <c r="AL377" s="53">
        <f t="shared" si="99"/>
        <v>377.72</v>
      </c>
      <c r="AM377" s="50" t="s">
        <v>147</v>
      </c>
      <c r="AN377" s="56" t="s">
        <v>222</v>
      </c>
      <c r="AO377" s="67">
        <v>44561</v>
      </c>
      <c r="AP377" s="107" t="s">
        <v>2016</v>
      </c>
      <c r="AQ377" s="58" t="s">
        <v>238</v>
      </c>
      <c r="AR377" s="58" t="s">
        <v>544</v>
      </c>
      <c r="AS377" s="58"/>
      <c r="AT377" s="50" t="s">
        <v>1882</v>
      </c>
      <c r="AU377" s="1"/>
      <c r="AV377" s="1"/>
      <c r="AW377" s="1"/>
      <c r="AX377" s="1"/>
      <c r="AY377" s="1"/>
      <c r="AZ377" s="1"/>
      <c r="BA377" s="1"/>
      <c r="BB377" s="1"/>
      <c r="BC377" s="1"/>
      <c r="BD377" s="1"/>
      <c r="BE377" s="1"/>
      <c r="BF377" s="1"/>
      <c r="BG377" s="1"/>
    </row>
    <row r="378" spans="1:59" ht="14.25" customHeight="1" x14ac:dyDescent="0.25">
      <c r="A378" s="1"/>
      <c r="B378" s="50"/>
      <c r="C378" s="50" t="s">
        <v>2017</v>
      </c>
      <c r="D378" s="50" t="s">
        <v>2018</v>
      </c>
      <c r="E378" s="50" t="str">
        <f t="shared" si="82"/>
        <v>PP0200450019001B</v>
      </c>
      <c r="F378" s="50"/>
      <c r="G378" s="50" t="s">
        <v>1875</v>
      </c>
      <c r="H378" s="50" t="s">
        <v>2019</v>
      </c>
      <c r="I378" s="50" t="s">
        <v>2020</v>
      </c>
      <c r="J378" s="50" t="s">
        <v>2021</v>
      </c>
      <c r="K378" s="50" t="s">
        <v>1887</v>
      </c>
      <c r="L378" s="50" t="s">
        <v>2022</v>
      </c>
      <c r="M378" s="50"/>
      <c r="N378" s="52"/>
      <c r="O378" s="50" t="s">
        <v>159</v>
      </c>
      <c r="P378" s="50">
        <v>14</v>
      </c>
      <c r="Q378" s="53">
        <v>0</v>
      </c>
      <c r="R378" s="53">
        <f t="shared" si="84"/>
        <v>14</v>
      </c>
      <c r="S378" s="54">
        <v>0.03</v>
      </c>
      <c r="T378" s="54">
        <v>0</v>
      </c>
      <c r="U378" s="54">
        <f t="shared" si="85"/>
        <v>0.03</v>
      </c>
      <c r="V378" s="54">
        <v>36.1</v>
      </c>
      <c r="W378" s="52">
        <f t="shared" si="93"/>
        <v>0.12152777777777778</v>
      </c>
      <c r="X378" s="54">
        <f t="shared" si="86"/>
        <v>1203.3333333333335</v>
      </c>
      <c r="Y378" s="50" t="str">
        <f t="shared" si="87"/>
        <v>è in grado</v>
      </c>
      <c r="Z378" s="50" t="str">
        <f t="shared" si="88"/>
        <v>non sottende</v>
      </c>
      <c r="AA378" s="106">
        <f t="shared" si="89"/>
        <v>297.05142857142857</v>
      </c>
      <c r="AB378" s="50" t="str">
        <f t="shared" si="90"/>
        <v>A</v>
      </c>
      <c r="AC378" s="50" t="str">
        <f t="shared" si="83"/>
        <v>SI</v>
      </c>
      <c r="AD378" s="50" t="str">
        <f t="shared" si="91"/>
        <v>Si</v>
      </c>
      <c r="AE378" s="50" t="s">
        <v>490</v>
      </c>
      <c r="AF378" s="55">
        <v>1.1000000000000001</v>
      </c>
      <c r="AG378" s="55">
        <v>116</v>
      </c>
      <c r="AH378" s="55">
        <v>544</v>
      </c>
      <c r="AI378" s="55" t="str">
        <f t="shared" si="102"/>
        <v xml:space="preserve"> </v>
      </c>
      <c r="AJ378" s="53">
        <v>261.04000000000002</v>
      </c>
      <c r="AK378" s="53">
        <f t="shared" si="101"/>
        <v>0.3060833588722035</v>
      </c>
      <c r="AL378" s="53">
        <f t="shared" si="99"/>
        <v>79.900000000000006</v>
      </c>
      <c r="AM378" s="50" t="s">
        <v>190</v>
      </c>
      <c r="AN378" s="56" t="s">
        <v>222</v>
      </c>
      <c r="AO378" s="57">
        <v>46690</v>
      </c>
      <c r="AP378" s="58" t="s">
        <v>1888</v>
      </c>
      <c r="AQ378" s="58" t="s">
        <v>313</v>
      </c>
      <c r="AR378" s="58" t="s">
        <v>1643</v>
      </c>
      <c r="AS378" s="58"/>
      <c r="AT378" s="64"/>
      <c r="AU378" s="1"/>
      <c r="AV378" s="1"/>
      <c r="AW378" s="1"/>
      <c r="AX378" s="1"/>
      <c r="AY378" s="1"/>
      <c r="AZ378" s="1"/>
      <c r="BA378" s="1"/>
      <c r="BB378" s="1"/>
      <c r="BC378" s="1"/>
      <c r="BD378" s="1"/>
      <c r="BE378" s="1"/>
      <c r="BF378" s="1"/>
      <c r="BG378" s="1"/>
    </row>
    <row r="379" spans="1:59" ht="14.25" customHeight="1" x14ac:dyDescent="0.25">
      <c r="A379" s="1"/>
      <c r="B379" s="50"/>
      <c r="C379" s="50" t="s">
        <v>2023</v>
      </c>
      <c r="D379" s="50" t="s">
        <v>2024</v>
      </c>
      <c r="E379" s="50" t="str">
        <f t="shared" si="82"/>
        <v>PP0200450020001B</v>
      </c>
      <c r="F379" s="50"/>
      <c r="G379" s="50" t="s">
        <v>1875</v>
      </c>
      <c r="H379" s="50" t="s">
        <v>2019</v>
      </c>
      <c r="I379" s="50" t="s">
        <v>2020</v>
      </c>
      <c r="J379" s="50" t="s">
        <v>2025</v>
      </c>
      <c r="K379" s="50" t="s">
        <v>1887</v>
      </c>
      <c r="L379" s="50" t="s">
        <v>2022</v>
      </c>
      <c r="M379" s="50"/>
      <c r="N379" s="52"/>
      <c r="O379" s="50" t="s">
        <v>151</v>
      </c>
      <c r="P379" s="50">
        <v>22</v>
      </c>
      <c r="Q379" s="53">
        <v>0</v>
      </c>
      <c r="R379" s="53">
        <f t="shared" si="84"/>
        <v>22</v>
      </c>
      <c r="S379" s="54">
        <v>0.05</v>
      </c>
      <c r="T379" s="54">
        <v>0</v>
      </c>
      <c r="U379" s="54">
        <f t="shared" si="85"/>
        <v>0.05</v>
      </c>
      <c r="V379" s="54">
        <v>22.86</v>
      </c>
      <c r="W379" s="52">
        <f t="shared" si="93"/>
        <v>0.19097222222222221</v>
      </c>
      <c r="X379" s="54">
        <f t="shared" si="86"/>
        <v>457.2</v>
      </c>
      <c r="Y379" s="50" t="str">
        <f t="shared" si="87"/>
        <v>è in grado</v>
      </c>
      <c r="Z379" s="50" t="str">
        <f t="shared" si="88"/>
        <v>non sottende</v>
      </c>
      <c r="AA379" s="106">
        <f t="shared" si="89"/>
        <v>119.70327272727273</v>
      </c>
      <c r="AB379" s="50" t="str">
        <f t="shared" si="90"/>
        <v>A</v>
      </c>
      <c r="AC379" s="50" t="str">
        <f t="shared" si="83"/>
        <v>SI</v>
      </c>
      <c r="AD379" s="50" t="str">
        <f t="shared" si="91"/>
        <v>Si</v>
      </c>
      <c r="AE379" s="50" t="s">
        <v>147</v>
      </c>
      <c r="AF379" s="55">
        <v>1.87</v>
      </c>
      <c r="AG379" s="55">
        <v>171</v>
      </c>
      <c r="AH379" s="55">
        <v>1744</v>
      </c>
      <c r="AI379" s="55" t="str">
        <f t="shared" si="102"/>
        <v xml:space="preserve"> </v>
      </c>
      <c r="AJ379" s="53">
        <v>224.04</v>
      </c>
      <c r="AK379" s="53">
        <f t="shared" si="101"/>
        <v>0.66122121049812532</v>
      </c>
      <c r="AL379" s="53">
        <f t="shared" si="99"/>
        <v>148.13999999999999</v>
      </c>
      <c r="AM379" s="50" t="s">
        <v>190</v>
      </c>
      <c r="AN379" s="56" t="s">
        <v>222</v>
      </c>
      <c r="AO379" s="57">
        <v>46690</v>
      </c>
      <c r="AP379" s="58" t="s">
        <v>1888</v>
      </c>
      <c r="AQ379" s="58" t="s">
        <v>313</v>
      </c>
      <c r="AR379" s="58" t="s">
        <v>1643</v>
      </c>
      <c r="AS379" s="58"/>
      <c r="AT379" s="64"/>
      <c r="AU379" s="1"/>
      <c r="AV379" s="1"/>
      <c r="AW379" s="1"/>
      <c r="AX379" s="1"/>
      <c r="AY379" s="1"/>
      <c r="AZ379" s="1"/>
      <c r="BA379" s="1"/>
      <c r="BB379" s="1"/>
      <c r="BC379" s="1"/>
      <c r="BD379" s="1"/>
      <c r="BE379" s="1"/>
      <c r="BF379" s="1"/>
      <c r="BG379" s="1"/>
    </row>
    <row r="380" spans="1:59" ht="14.25" customHeight="1" x14ac:dyDescent="0.25">
      <c r="A380" s="1"/>
      <c r="B380" s="50"/>
      <c r="C380" s="50" t="s">
        <v>2026</v>
      </c>
      <c r="D380" s="50"/>
      <c r="E380" s="50" t="str">
        <f t="shared" si="82"/>
        <v>001B</v>
      </c>
      <c r="F380" s="70"/>
      <c r="G380" s="50" t="s">
        <v>1875</v>
      </c>
      <c r="H380" s="70" t="s">
        <v>1876</v>
      </c>
      <c r="I380" s="70" t="s">
        <v>2027</v>
      </c>
      <c r="J380" s="50" t="s">
        <v>2028</v>
      </c>
      <c r="K380" s="50" t="s">
        <v>1879</v>
      </c>
      <c r="L380" s="70" t="s">
        <v>1880</v>
      </c>
      <c r="M380" s="50"/>
      <c r="N380" s="72"/>
      <c r="O380" s="50" t="s">
        <v>151</v>
      </c>
      <c r="P380" s="70">
        <v>35</v>
      </c>
      <c r="Q380" s="73">
        <v>0</v>
      </c>
      <c r="R380" s="53">
        <f t="shared" si="84"/>
        <v>35</v>
      </c>
      <c r="S380" s="74">
        <v>0.08</v>
      </c>
      <c r="T380" s="74">
        <v>0</v>
      </c>
      <c r="U380" s="54">
        <f t="shared" si="85"/>
        <v>0.08</v>
      </c>
      <c r="V380" s="74">
        <v>26.99</v>
      </c>
      <c r="W380" s="52">
        <f t="shared" si="93"/>
        <v>0.30381944444444442</v>
      </c>
      <c r="X380" s="54">
        <f t="shared" si="86"/>
        <v>337.375</v>
      </c>
      <c r="Y380" s="50" t="str">
        <f t="shared" si="87"/>
        <v>è in grado</v>
      </c>
      <c r="Z380" s="50" t="str">
        <f t="shared" si="88"/>
        <v>non sottende</v>
      </c>
      <c r="AA380" s="106">
        <f t="shared" si="89"/>
        <v>88.835657142857144</v>
      </c>
      <c r="AB380" s="50" t="str">
        <f t="shared" si="90"/>
        <v>A</v>
      </c>
      <c r="AC380" s="50" t="str">
        <f t="shared" si="83"/>
        <v>SI</v>
      </c>
      <c r="AD380" s="50" t="str">
        <f t="shared" si="91"/>
        <v>Si</v>
      </c>
      <c r="AE380" s="50" t="s">
        <v>490</v>
      </c>
      <c r="AF380" s="71">
        <v>1.43</v>
      </c>
      <c r="AG380" s="71">
        <v>158</v>
      </c>
      <c r="AH380" s="71">
        <v>569</v>
      </c>
      <c r="AI380" s="55" t="str">
        <f t="shared" si="102"/>
        <v xml:space="preserve"> </v>
      </c>
      <c r="AJ380" s="73">
        <v>221.26</v>
      </c>
      <c r="AK380" s="53">
        <f t="shared" si="101"/>
        <v>0.59210883123926605</v>
      </c>
      <c r="AL380" s="53">
        <f t="shared" si="99"/>
        <v>131.01</v>
      </c>
      <c r="AM380" s="50" t="s">
        <v>190</v>
      </c>
      <c r="AN380" s="56" t="s">
        <v>222</v>
      </c>
      <c r="AO380" s="67">
        <v>44561</v>
      </c>
      <c r="AP380" s="107" t="s">
        <v>2029</v>
      </c>
      <c r="AQ380" s="58" t="s">
        <v>313</v>
      </c>
      <c r="AR380" s="107" t="s">
        <v>544</v>
      </c>
      <c r="AS380" s="58"/>
      <c r="AT380" s="50" t="s">
        <v>1882</v>
      </c>
      <c r="AU380" s="69"/>
      <c r="AV380" s="69"/>
      <c r="AW380" s="69"/>
      <c r="AX380" s="69"/>
      <c r="AY380" s="69"/>
      <c r="AZ380" s="69"/>
      <c r="BA380" s="69"/>
      <c r="BB380" s="69"/>
      <c r="BC380" s="69"/>
      <c r="BD380" s="69"/>
      <c r="BE380" s="69"/>
      <c r="BF380" s="1"/>
      <c r="BG380" s="1"/>
    </row>
    <row r="381" spans="1:59" ht="14.25" customHeight="1" x14ac:dyDescent="0.25">
      <c r="A381" s="1"/>
      <c r="B381" s="70"/>
      <c r="C381" s="50" t="s">
        <v>2030</v>
      </c>
      <c r="D381" s="50"/>
      <c r="E381" s="50" t="str">
        <f t="shared" si="82"/>
        <v>001B</v>
      </c>
      <c r="F381" s="70"/>
      <c r="G381" s="50" t="s">
        <v>1875</v>
      </c>
      <c r="H381" s="50" t="s">
        <v>1929</v>
      </c>
      <c r="I381" s="70" t="s">
        <v>2031</v>
      </c>
      <c r="J381" s="50" t="s">
        <v>2032</v>
      </c>
      <c r="K381" s="50" t="s">
        <v>1887</v>
      </c>
      <c r="L381" s="70" t="s">
        <v>1932</v>
      </c>
      <c r="M381" s="51" t="s">
        <v>221</v>
      </c>
      <c r="N381" s="72"/>
      <c r="O381" s="70" t="s">
        <v>151</v>
      </c>
      <c r="P381" s="70">
        <v>2919</v>
      </c>
      <c r="Q381" s="73">
        <v>2.4</v>
      </c>
      <c r="R381" s="53">
        <f t="shared" si="84"/>
        <v>2921.4</v>
      </c>
      <c r="S381" s="74">
        <v>6.87</v>
      </c>
      <c r="T381" s="74">
        <v>0.03</v>
      </c>
      <c r="U381" s="54">
        <f t="shared" si="85"/>
        <v>6.9</v>
      </c>
      <c r="V381" s="74">
        <v>95.47</v>
      </c>
      <c r="W381" s="52">
        <f t="shared" si="93"/>
        <v>25.359375</v>
      </c>
      <c r="X381" s="54">
        <f t="shared" si="86"/>
        <v>13.83623188405797</v>
      </c>
      <c r="Y381" s="50" t="str">
        <f t="shared" si="87"/>
        <v>è in grado</v>
      </c>
      <c r="Z381" s="50" t="str">
        <f t="shared" si="88"/>
        <v>non sottende</v>
      </c>
      <c r="AA381" s="106">
        <f t="shared" si="89"/>
        <v>3.764682686383241</v>
      </c>
      <c r="AB381" s="50" t="str">
        <f t="shared" si="90"/>
        <v>A</v>
      </c>
      <c r="AC381" s="50" t="str">
        <f t="shared" si="83"/>
        <v>SI</v>
      </c>
      <c r="AD381" s="50" t="str">
        <f t="shared" si="91"/>
        <v>Si</v>
      </c>
      <c r="AE381" s="50" t="s">
        <v>147</v>
      </c>
      <c r="AF381" s="71">
        <v>1.75</v>
      </c>
      <c r="AG381" s="71">
        <v>241</v>
      </c>
      <c r="AH381" s="71">
        <v>3035</v>
      </c>
      <c r="AI381" s="55" t="str">
        <f t="shared" si="102"/>
        <v xml:space="preserve"> </v>
      </c>
      <c r="AJ381" s="73">
        <v>200</v>
      </c>
      <c r="AK381" s="53">
        <f t="shared" si="101"/>
        <v>0.72765000000000002</v>
      </c>
      <c r="AL381" s="53">
        <f t="shared" si="99"/>
        <v>145.53</v>
      </c>
      <c r="AM381" s="50" t="s">
        <v>190</v>
      </c>
      <c r="AN381" s="56" t="s">
        <v>222</v>
      </c>
      <c r="AO381" s="143"/>
      <c r="AP381" s="107" t="s">
        <v>223</v>
      </c>
      <c r="AQ381" s="58" t="s">
        <v>224</v>
      </c>
      <c r="AR381" s="107" t="s">
        <v>225</v>
      </c>
      <c r="AS381" s="58" t="s">
        <v>92</v>
      </c>
      <c r="AT381" s="64"/>
      <c r="AU381" s="69"/>
      <c r="AV381" s="69"/>
      <c r="AW381" s="69"/>
      <c r="AX381" s="69"/>
      <c r="AY381" s="69"/>
      <c r="AZ381" s="69"/>
      <c r="BA381" s="69"/>
      <c r="BB381" s="69"/>
      <c r="BC381" s="69"/>
      <c r="BD381" s="69"/>
      <c r="BE381" s="69"/>
      <c r="BF381" s="1"/>
      <c r="BG381" s="1"/>
    </row>
    <row r="382" spans="1:59" ht="14.25" customHeight="1" x14ac:dyDescent="0.25">
      <c r="A382" s="1"/>
      <c r="B382" s="50"/>
      <c r="C382" s="70" t="s">
        <v>2033</v>
      </c>
      <c r="D382" s="1"/>
      <c r="E382" s="50" t="str">
        <f t="shared" si="82"/>
        <v>001B</v>
      </c>
      <c r="F382" s="50"/>
      <c r="G382" s="50" t="s">
        <v>1875</v>
      </c>
      <c r="H382" s="70" t="s">
        <v>1929</v>
      </c>
      <c r="I382" s="70" t="s">
        <v>2034</v>
      </c>
      <c r="J382" s="50" t="s">
        <v>2035</v>
      </c>
      <c r="K382" s="50" t="s">
        <v>1887</v>
      </c>
      <c r="L382" s="70" t="s">
        <v>1932</v>
      </c>
      <c r="M382" s="122" t="s">
        <v>221</v>
      </c>
      <c r="N382" s="72"/>
      <c r="O382" s="50" t="s">
        <v>151</v>
      </c>
      <c r="P382" s="70">
        <v>3055</v>
      </c>
      <c r="Q382" s="73">
        <v>2.4</v>
      </c>
      <c r="R382" s="53">
        <f t="shared" si="84"/>
        <v>3057.4</v>
      </c>
      <c r="S382" s="74">
        <v>7.18</v>
      </c>
      <c r="T382" s="74">
        <v>0.03</v>
      </c>
      <c r="U382" s="54">
        <f t="shared" si="85"/>
        <v>7.21</v>
      </c>
      <c r="V382" s="74">
        <v>163.38999999999999</v>
      </c>
      <c r="W382" s="52">
        <f t="shared" si="93"/>
        <v>26.539930555555557</v>
      </c>
      <c r="X382" s="54">
        <f t="shared" si="86"/>
        <v>22.661581137309291</v>
      </c>
      <c r="Y382" s="50" t="str">
        <f t="shared" si="87"/>
        <v>è in grado</v>
      </c>
      <c r="Z382" s="50" t="str">
        <f t="shared" si="88"/>
        <v>non sottende</v>
      </c>
      <c r="AA382" s="106">
        <f t="shared" si="89"/>
        <v>6.1563838555635497</v>
      </c>
      <c r="AB382" s="50" t="str">
        <f t="shared" si="90"/>
        <v>A</v>
      </c>
      <c r="AC382" s="50" t="str">
        <f t="shared" si="83"/>
        <v>SI</v>
      </c>
      <c r="AD382" s="50" t="str">
        <f t="shared" si="91"/>
        <v>Si</v>
      </c>
      <c r="AE382" s="50" t="s">
        <v>147</v>
      </c>
      <c r="AF382" s="71">
        <v>3.61</v>
      </c>
      <c r="AG382" s="71">
        <v>127</v>
      </c>
      <c r="AH382" s="71">
        <v>4830</v>
      </c>
      <c r="AI382" s="55" t="str">
        <f t="shared" si="102"/>
        <v xml:space="preserve"> </v>
      </c>
      <c r="AJ382" s="73">
        <v>0</v>
      </c>
      <c r="AK382" s="53" t="e">
        <f t="shared" si="101"/>
        <v>#DIV/0!</v>
      </c>
      <c r="AL382" s="53">
        <f t="shared" si="99"/>
        <v>-36.389999999999986</v>
      </c>
      <c r="AM382" s="50" t="s">
        <v>147</v>
      </c>
      <c r="AN382" s="56" t="s">
        <v>222</v>
      </c>
      <c r="AO382" s="143"/>
      <c r="AP382" s="107" t="s">
        <v>223</v>
      </c>
      <c r="AQ382" s="107" t="s">
        <v>224</v>
      </c>
      <c r="AR382" s="107" t="s">
        <v>225</v>
      </c>
      <c r="AS382" s="58" t="s">
        <v>92</v>
      </c>
      <c r="AT382" s="64"/>
      <c r="AU382" s="70"/>
      <c r="AV382" s="70"/>
      <c r="AW382" s="70"/>
      <c r="AX382" s="70"/>
      <c r="AY382" s="70"/>
      <c r="AZ382" s="70"/>
      <c r="BA382" s="70"/>
      <c r="BB382" s="70"/>
      <c r="BC382" s="70"/>
      <c r="BD382" s="70"/>
      <c r="BE382" s="70"/>
      <c r="BF382" s="1"/>
      <c r="BG382" s="1"/>
    </row>
    <row r="383" spans="1:59" ht="14.25" customHeight="1" x14ac:dyDescent="0.25">
      <c r="A383" s="1"/>
      <c r="B383" s="50"/>
      <c r="C383" s="50" t="s">
        <v>2036</v>
      </c>
      <c r="D383" s="50" t="s">
        <v>2037</v>
      </c>
      <c r="E383" s="50" t="str">
        <f t="shared" si="82"/>
        <v>PP0200440003001B</v>
      </c>
      <c r="F383" s="50" t="s">
        <v>2038</v>
      </c>
      <c r="G383" s="50" t="s">
        <v>2039</v>
      </c>
      <c r="H383" s="50" t="s">
        <v>2040</v>
      </c>
      <c r="I383" s="50" t="s">
        <v>2041</v>
      </c>
      <c r="J383" s="50" t="s">
        <v>2042</v>
      </c>
      <c r="K383" s="50" t="s">
        <v>2043</v>
      </c>
      <c r="L383" s="50" t="s">
        <v>2044</v>
      </c>
      <c r="M383" s="50"/>
      <c r="N383" s="52"/>
      <c r="O383" s="50" t="s">
        <v>159</v>
      </c>
      <c r="P383" s="50">
        <v>131</v>
      </c>
      <c r="Q383" s="53">
        <v>0</v>
      </c>
      <c r="R383" s="53">
        <f t="shared" si="84"/>
        <v>131</v>
      </c>
      <c r="S383" s="54">
        <v>0.3</v>
      </c>
      <c r="T383" s="54">
        <v>0</v>
      </c>
      <c r="U383" s="54">
        <f t="shared" si="85"/>
        <v>0.3</v>
      </c>
      <c r="V383" s="54">
        <v>2</v>
      </c>
      <c r="W383" s="52">
        <f t="shared" si="93"/>
        <v>1.1371527777777777</v>
      </c>
      <c r="X383" s="54">
        <f t="shared" si="86"/>
        <v>6.666666666666667</v>
      </c>
      <c r="Y383" s="50" t="str">
        <f t="shared" si="87"/>
        <v>è in grado</v>
      </c>
      <c r="Z383" s="50" t="str">
        <f t="shared" si="88"/>
        <v>non sottende</v>
      </c>
      <c r="AA383" s="106">
        <f t="shared" si="89"/>
        <v>1.7587786259541986</v>
      </c>
      <c r="AB383" s="50" t="str">
        <f t="shared" si="90"/>
        <v>B</v>
      </c>
      <c r="AC383" s="50" t="str">
        <f t="shared" si="83"/>
        <v>SI</v>
      </c>
      <c r="AD383" s="50" t="str">
        <f t="shared" si="91"/>
        <v>No</v>
      </c>
      <c r="AE383" s="50" t="s">
        <v>147</v>
      </c>
      <c r="AF383" s="55">
        <v>3.91</v>
      </c>
      <c r="AG383" s="55">
        <v>365</v>
      </c>
      <c r="AH383" s="55">
        <v>669</v>
      </c>
      <c r="AI383" s="55" t="str">
        <f t="shared" si="102"/>
        <v xml:space="preserve"> </v>
      </c>
      <c r="AJ383" s="53">
        <v>237.58</v>
      </c>
      <c r="AK383" s="53">
        <f t="shared" si="101"/>
        <v>1.5279063894267193</v>
      </c>
      <c r="AL383" s="53">
        <f t="shared" si="99"/>
        <v>363</v>
      </c>
      <c r="AM383" s="50" t="s">
        <v>190</v>
      </c>
      <c r="AN383" s="56" t="s">
        <v>236</v>
      </c>
      <c r="AO383" s="57">
        <v>46502</v>
      </c>
      <c r="AP383" s="58" t="s">
        <v>2045</v>
      </c>
      <c r="AQ383" s="58" t="s">
        <v>723</v>
      </c>
      <c r="AR383" s="58"/>
      <c r="AS383" s="58"/>
      <c r="AT383" s="64"/>
      <c r="AU383" s="50"/>
      <c r="AV383" s="50"/>
      <c r="AW383" s="50"/>
      <c r="AX383" s="50"/>
      <c r="AY383" s="50"/>
      <c r="AZ383" s="50"/>
      <c r="BA383" s="50"/>
      <c r="BB383" s="50"/>
      <c r="BC383" s="50"/>
      <c r="BD383" s="50"/>
      <c r="BE383" s="50"/>
      <c r="BF383" s="1"/>
      <c r="BG383" s="1"/>
    </row>
    <row r="384" spans="1:59" ht="14.25" customHeight="1" x14ac:dyDescent="0.25">
      <c r="A384" s="1"/>
      <c r="B384" s="50"/>
      <c r="C384" s="50" t="s">
        <v>2046</v>
      </c>
      <c r="D384" s="1" t="s">
        <v>2047</v>
      </c>
      <c r="E384" s="50" t="str">
        <f t="shared" si="82"/>
        <v>PP0200440002001B</v>
      </c>
      <c r="F384" s="50"/>
      <c r="G384" s="50" t="s">
        <v>2039</v>
      </c>
      <c r="H384" s="50" t="s">
        <v>95</v>
      </c>
      <c r="I384" s="50" t="s">
        <v>2048</v>
      </c>
      <c r="J384" s="50" t="s">
        <v>2049</v>
      </c>
      <c r="K384" s="50" t="s">
        <v>2050</v>
      </c>
      <c r="L384" s="50" t="s">
        <v>2051</v>
      </c>
      <c r="M384" s="51" t="s">
        <v>221</v>
      </c>
      <c r="N384" s="52"/>
      <c r="O384" s="50" t="s">
        <v>151</v>
      </c>
      <c r="P384" s="50">
        <v>239</v>
      </c>
      <c r="Q384" s="53">
        <v>0</v>
      </c>
      <c r="R384" s="53">
        <f t="shared" si="84"/>
        <v>239</v>
      </c>
      <c r="S384" s="54">
        <v>0.56000000000000005</v>
      </c>
      <c r="T384" s="54">
        <v>0</v>
      </c>
      <c r="U384" s="54">
        <f t="shared" si="85"/>
        <v>0.56000000000000005</v>
      </c>
      <c r="V384" s="54">
        <v>59.27</v>
      </c>
      <c r="W384" s="52">
        <f t="shared" si="93"/>
        <v>2.0746527777777777</v>
      </c>
      <c r="X384" s="54">
        <f t="shared" si="86"/>
        <v>105.83928571428571</v>
      </c>
      <c r="Y384" s="50" t="str">
        <f t="shared" si="87"/>
        <v>è in grado</v>
      </c>
      <c r="Z384" s="50" t="str">
        <f t="shared" si="88"/>
        <v>non sottende</v>
      </c>
      <c r="AA384" s="106">
        <f t="shared" si="89"/>
        <v>28.568635983263601</v>
      </c>
      <c r="AB384" s="50" t="str">
        <f t="shared" si="90"/>
        <v>A</v>
      </c>
      <c r="AC384" s="50" t="str">
        <f t="shared" si="83"/>
        <v>SI</v>
      </c>
      <c r="AD384" s="50" t="str">
        <f t="shared" si="91"/>
        <v>Si</v>
      </c>
      <c r="AE384" s="50" t="s">
        <v>147</v>
      </c>
      <c r="AF384" s="55">
        <v>0.85</v>
      </c>
      <c r="AG384" s="55">
        <v>274</v>
      </c>
      <c r="AH384" s="55">
        <v>416</v>
      </c>
      <c r="AI384" s="55" t="str">
        <f t="shared" si="102"/>
        <v xml:space="preserve"> </v>
      </c>
      <c r="AJ384" s="53">
        <v>545.54999999999995</v>
      </c>
      <c r="AK384" s="53">
        <f t="shared" si="101"/>
        <v>0.39360278617908534</v>
      </c>
      <c r="AL384" s="53">
        <f t="shared" si="99"/>
        <v>214.73</v>
      </c>
      <c r="AM384" s="50" t="s">
        <v>190</v>
      </c>
      <c r="AN384" s="56" t="s">
        <v>222</v>
      </c>
      <c r="AO384" s="66" t="s">
        <v>92</v>
      </c>
      <c r="AP384" s="58" t="s">
        <v>223</v>
      </c>
      <c r="AQ384" s="58" t="s">
        <v>224</v>
      </c>
      <c r="AR384" s="58" t="s">
        <v>225</v>
      </c>
      <c r="AS384" s="58" t="s">
        <v>92</v>
      </c>
      <c r="AT384" s="64"/>
      <c r="AU384" s="69"/>
      <c r="AV384" s="69"/>
      <c r="AW384" s="69"/>
      <c r="AX384" s="69"/>
      <c r="AY384" s="69"/>
      <c r="AZ384" s="69"/>
      <c r="BA384" s="69"/>
      <c r="BB384" s="69"/>
      <c r="BC384" s="69"/>
      <c r="BD384" s="69"/>
      <c r="BE384" s="69"/>
      <c r="BF384" s="1"/>
      <c r="BG384" s="1"/>
    </row>
    <row r="385" spans="1:59" ht="14.25" customHeight="1" x14ac:dyDescent="0.25">
      <c r="A385" s="1"/>
      <c r="B385" s="50"/>
      <c r="C385" s="50" t="s">
        <v>2052</v>
      </c>
      <c r="D385" s="50"/>
      <c r="E385" s="50" t="str">
        <f t="shared" si="82"/>
        <v>001B</v>
      </c>
      <c r="F385" s="144"/>
      <c r="G385" s="70" t="s">
        <v>2039</v>
      </c>
      <c r="H385" s="70" t="s">
        <v>95</v>
      </c>
      <c r="I385" s="70" t="s">
        <v>833</v>
      </c>
      <c r="J385" s="50" t="s">
        <v>2053</v>
      </c>
      <c r="K385" s="70" t="s">
        <v>2050</v>
      </c>
      <c r="L385" s="70" t="s">
        <v>2051</v>
      </c>
      <c r="M385" s="51" t="s">
        <v>221</v>
      </c>
      <c r="N385" s="72"/>
      <c r="O385" s="70" t="s">
        <v>151</v>
      </c>
      <c r="P385" s="70">
        <v>198</v>
      </c>
      <c r="Q385" s="73">
        <v>0</v>
      </c>
      <c r="R385" s="73">
        <f t="shared" si="84"/>
        <v>198</v>
      </c>
      <c r="S385" s="74">
        <v>0.47</v>
      </c>
      <c r="T385" s="74">
        <v>0</v>
      </c>
      <c r="U385" s="74">
        <f t="shared" si="85"/>
        <v>0.47</v>
      </c>
      <c r="V385" s="74">
        <v>27.16</v>
      </c>
      <c r="W385" s="52">
        <f t="shared" si="93"/>
        <v>1.71875</v>
      </c>
      <c r="X385" s="74">
        <f t="shared" si="86"/>
        <v>57.787234042553195</v>
      </c>
      <c r="Y385" s="70" t="str">
        <f t="shared" si="87"/>
        <v>è in grado</v>
      </c>
      <c r="Z385" s="70" t="str">
        <f t="shared" si="88"/>
        <v>non sottende</v>
      </c>
      <c r="AA385" s="112">
        <f t="shared" si="89"/>
        <v>15.802181818181818</v>
      </c>
      <c r="AB385" s="70" t="str">
        <f t="shared" si="90"/>
        <v>A</v>
      </c>
      <c r="AC385" s="50" t="str">
        <f t="shared" si="83"/>
        <v>SI</v>
      </c>
      <c r="AD385" s="70" t="str">
        <f t="shared" si="91"/>
        <v>Si</v>
      </c>
      <c r="AE385" s="50" t="s">
        <v>147</v>
      </c>
      <c r="AF385" s="71">
        <v>1.63</v>
      </c>
      <c r="AG385" s="71">
        <v>169</v>
      </c>
      <c r="AH385" s="71">
        <v>924</v>
      </c>
      <c r="AI385" s="55" t="str">
        <f t="shared" si="102"/>
        <v xml:space="preserve"> </v>
      </c>
      <c r="AJ385" s="73">
        <v>232.77</v>
      </c>
      <c r="AK385" s="53">
        <f t="shared" si="101"/>
        <v>0.60935687588606779</v>
      </c>
      <c r="AL385" s="53">
        <f t="shared" si="99"/>
        <v>141.84</v>
      </c>
      <c r="AM385" s="70" t="s">
        <v>190</v>
      </c>
      <c r="AN385" s="56" t="s">
        <v>222</v>
      </c>
      <c r="AO385" s="66" t="s">
        <v>92</v>
      </c>
      <c r="AP385" s="107" t="s">
        <v>223</v>
      </c>
      <c r="AQ385" s="58" t="s">
        <v>224</v>
      </c>
      <c r="AR385" s="107" t="s">
        <v>225</v>
      </c>
      <c r="AS385" s="58" t="s">
        <v>92</v>
      </c>
      <c r="AT385" s="64"/>
      <c r="AU385" s="1"/>
      <c r="AV385" s="1"/>
      <c r="AW385" s="1"/>
      <c r="AX385" s="1"/>
      <c r="AY385" s="1"/>
      <c r="AZ385" s="1"/>
      <c r="BA385" s="1"/>
      <c r="BB385" s="1"/>
      <c r="BC385" s="1"/>
      <c r="BD385" s="1"/>
      <c r="BE385" s="1"/>
      <c r="BF385" s="1"/>
      <c r="BG385" s="1"/>
    </row>
    <row r="386" spans="1:59" ht="14.25" customHeight="1" x14ac:dyDescent="0.25">
      <c r="A386" s="1"/>
      <c r="B386" s="131"/>
      <c r="C386" s="50" t="s">
        <v>2054</v>
      </c>
      <c r="D386" s="1" t="s">
        <v>2055</v>
      </c>
      <c r="E386" s="50" t="str">
        <f t="shared" si="82"/>
        <v>PP0200440005001B</v>
      </c>
      <c r="F386" s="50"/>
      <c r="G386" s="50" t="s">
        <v>2039</v>
      </c>
      <c r="H386" s="50" t="s">
        <v>95</v>
      </c>
      <c r="I386" s="50" t="s">
        <v>2056</v>
      </c>
      <c r="J386" s="50" t="s">
        <v>2057</v>
      </c>
      <c r="K386" s="50" t="s">
        <v>2050</v>
      </c>
      <c r="L386" s="50" t="s">
        <v>2058</v>
      </c>
      <c r="M386" s="50"/>
      <c r="N386" s="52"/>
      <c r="O386" s="50" t="s">
        <v>151</v>
      </c>
      <c r="P386" s="50">
        <v>1561</v>
      </c>
      <c r="Q386" s="53">
        <v>0</v>
      </c>
      <c r="R386" s="53">
        <f t="shared" si="84"/>
        <v>1561</v>
      </c>
      <c r="S386" s="54">
        <v>3.67</v>
      </c>
      <c r="T386" s="54">
        <v>0</v>
      </c>
      <c r="U386" s="54">
        <f t="shared" si="85"/>
        <v>3.67</v>
      </c>
      <c r="V386" s="54">
        <v>443.1</v>
      </c>
      <c r="W386" s="52">
        <f t="shared" si="93"/>
        <v>13.550347222222221</v>
      </c>
      <c r="X386" s="54">
        <f t="shared" si="86"/>
        <v>120.73569482288829</v>
      </c>
      <c r="Y386" s="50" t="str">
        <f t="shared" si="87"/>
        <v>è in grado</v>
      </c>
      <c r="Z386" s="50" t="str">
        <f t="shared" si="88"/>
        <v>non sottende</v>
      </c>
      <c r="AA386" s="106">
        <f t="shared" si="89"/>
        <v>32.700269058295966</v>
      </c>
      <c r="AB386" s="50" t="str">
        <f t="shared" si="90"/>
        <v>A</v>
      </c>
      <c r="AC386" s="50" t="str">
        <f t="shared" si="83"/>
        <v>SI</v>
      </c>
      <c r="AD386" s="50" t="str">
        <f t="shared" si="91"/>
        <v>Si</v>
      </c>
      <c r="AE386" s="50" t="s">
        <v>147</v>
      </c>
      <c r="AF386" s="55">
        <v>29.94</v>
      </c>
      <c r="AG386" s="55">
        <v>1953</v>
      </c>
      <c r="AH386" s="55">
        <v>3500</v>
      </c>
      <c r="AI386" s="55" t="str">
        <f t="shared" si="102"/>
        <v xml:space="preserve"> </v>
      </c>
      <c r="AJ386" s="53">
        <v>126.51</v>
      </c>
      <c r="AK386" s="53">
        <f t="shared" si="101"/>
        <v>11.935024899217453</v>
      </c>
      <c r="AL386" s="53">
        <f t="shared" si="99"/>
        <v>1509.9</v>
      </c>
      <c r="AM386" s="50" t="s">
        <v>190</v>
      </c>
      <c r="AN386" s="56" t="s">
        <v>222</v>
      </c>
      <c r="AO386" s="57">
        <v>46291</v>
      </c>
      <c r="AP386" s="58" t="s">
        <v>2059</v>
      </c>
      <c r="AQ386" s="58" t="s">
        <v>313</v>
      </c>
      <c r="AR386" s="58" t="s">
        <v>544</v>
      </c>
      <c r="AS386" s="58"/>
      <c r="AT386" s="64"/>
      <c r="AU386" s="1"/>
      <c r="AV386" s="1"/>
      <c r="AW386" s="1"/>
      <c r="AX386" s="1"/>
      <c r="AY386" s="1"/>
      <c r="AZ386" s="1"/>
      <c r="BA386" s="1"/>
      <c r="BB386" s="1"/>
      <c r="BC386" s="1"/>
      <c r="BD386" s="1"/>
      <c r="BE386" s="1"/>
      <c r="BF386" s="1"/>
      <c r="BG386" s="1"/>
    </row>
    <row r="387" spans="1:59" ht="14.25" customHeight="1" x14ac:dyDescent="0.25">
      <c r="A387" s="1"/>
      <c r="B387" s="50"/>
      <c r="C387" s="50" t="s">
        <v>2060</v>
      </c>
      <c r="D387" s="1" t="s">
        <v>2061</v>
      </c>
      <c r="E387" s="50" t="str">
        <f t="shared" si="82"/>
        <v>PP0200440001001B</v>
      </c>
      <c r="F387" s="50"/>
      <c r="G387" s="50" t="s">
        <v>2039</v>
      </c>
      <c r="H387" s="50" t="s">
        <v>95</v>
      </c>
      <c r="I387" s="50" t="s">
        <v>2056</v>
      </c>
      <c r="J387" s="50" t="s">
        <v>2062</v>
      </c>
      <c r="K387" s="50" t="s">
        <v>2050</v>
      </c>
      <c r="L387" s="50" t="s">
        <v>2058</v>
      </c>
      <c r="M387" s="50"/>
      <c r="N387" s="52"/>
      <c r="O387" s="50" t="s">
        <v>118</v>
      </c>
      <c r="P387" s="50">
        <v>1561</v>
      </c>
      <c r="Q387" s="53">
        <v>0</v>
      </c>
      <c r="R387" s="53">
        <f t="shared" si="84"/>
        <v>1561</v>
      </c>
      <c r="S387" s="54">
        <v>3.67</v>
      </c>
      <c r="T387" s="54">
        <v>0</v>
      </c>
      <c r="U387" s="54">
        <f t="shared" si="85"/>
        <v>3.67</v>
      </c>
      <c r="V387" s="54">
        <v>51.85</v>
      </c>
      <c r="W387" s="52">
        <f t="shared" si="93"/>
        <v>13.550347222222221</v>
      </c>
      <c r="X387" s="54">
        <f t="shared" si="86"/>
        <v>14.128065395095369</v>
      </c>
      <c r="Y387" s="50" t="str">
        <f t="shared" si="87"/>
        <v>è in grado</v>
      </c>
      <c r="Z387" s="50" t="str">
        <f t="shared" si="88"/>
        <v>non sottende</v>
      </c>
      <c r="AA387" s="106">
        <f t="shared" si="89"/>
        <v>3.8264702114029472</v>
      </c>
      <c r="AB387" s="50" t="str">
        <f t="shared" si="90"/>
        <v>A</v>
      </c>
      <c r="AC387" s="50" t="str">
        <f t="shared" si="83"/>
        <v>SI</v>
      </c>
      <c r="AD387" s="50" t="str">
        <f t="shared" si="91"/>
        <v>Si</v>
      </c>
      <c r="AE387" s="50" t="s">
        <v>343</v>
      </c>
      <c r="AF387" s="55"/>
      <c r="AG387" s="55">
        <v>443</v>
      </c>
      <c r="AH387" s="55">
        <v>1636</v>
      </c>
      <c r="AI387" s="55" t="str">
        <f t="shared" si="102"/>
        <v xml:space="preserve"> </v>
      </c>
      <c r="AJ387" s="53">
        <v>782799.02</v>
      </c>
      <c r="AK387" s="53">
        <f t="shared" si="101"/>
        <v>4.9968125918195452E-4</v>
      </c>
      <c r="AL387" s="53">
        <f t="shared" si="99"/>
        <v>391.15</v>
      </c>
      <c r="AM387" s="50" t="s">
        <v>190</v>
      </c>
      <c r="AN387" s="56" t="s">
        <v>236</v>
      </c>
      <c r="AO387" s="57">
        <v>46291</v>
      </c>
      <c r="AP387" s="61" t="s">
        <v>2059</v>
      </c>
      <c r="AQ387" s="58" t="s">
        <v>313</v>
      </c>
      <c r="AR387" s="58" t="s">
        <v>544</v>
      </c>
      <c r="AS387" s="58"/>
      <c r="AT387" s="64"/>
      <c r="AU387" s="1"/>
      <c r="AV387" s="1"/>
      <c r="AW387" s="1"/>
      <c r="AX387" s="1"/>
      <c r="AY387" s="1"/>
      <c r="AZ387" s="1"/>
      <c r="BA387" s="1"/>
      <c r="BB387" s="1"/>
      <c r="BC387" s="1"/>
      <c r="BD387" s="1"/>
      <c r="BE387" s="1"/>
      <c r="BF387" s="1"/>
      <c r="BG387" s="1"/>
    </row>
    <row r="388" spans="1:59" ht="14.25" customHeight="1" x14ac:dyDescent="0.25">
      <c r="A388" s="1"/>
      <c r="B388" s="50"/>
      <c r="C388" s="50" t="s">
        <v>2063</v>
      </c>
      <c r="D388" s="50" t="s">
        <v>2064</v>
      </c>
      <c r="E388" s="50" t="str">
        <f t="shared" si="82"/>
        <v>PP0200720002001B</v>
      </c>
      <c r="F388" s="50" t="s">
        <v>2065</v>
      </c>
      <c r="G388" s="50" t="s">
        <v>177</v>
      </c>
      <c r="H388" s="50" t="s">
        <v>178</v>
      </c>
      <c r="I388" s="50" t="s">
        <v>822</v>
      </c>
      <c r="J388" s="50" t="s">
        <v>2066</v>
      </c>
      <c r="K388" s="50" t="s">
        <v>178</v>
      </c>
      <c r="L388" s="50" t="s">
        <v>2067</v>
      </c>
      <c r="M388" s="51" t="s">
        <v>221</v>
      </c>
      <c r="N388" s="52"/>
      <c r="O388" s="50" t="s">
        <v>151</v>
      </c>
      <c r="P388" s="50">
        <v>59</v>
      </c>
      <c r="Q388" s="53">
        <v>0</v>
      </c>
      <c r="R388" s="53">
        <f t="shared" si="84"/>
        <v>59</v>
      </c>
      <c r="S388" s="54">
        <v>0.14000000000000001</v>
      </c>
      <c r="T388" s="54">
        <v>0</v>
      </c>
      <c r="U388" s="54">
        <f t="shared" si="85"/>
        <v>0.14000000000000001</v>
      </c>
      <c r="V388" s="54">
        <v>21.1</v>
      </c>
      <c r="W388" s="52">
        <f t="shared" si="93"/>
        <v>0.51215277777777779</v>
      </c>
      <c r="X388" s="54">
        <f t="shared" si="86"/>
        <v>150.71428571428572</v>
      </c>
      <c r="Y388" s="50" t="str">
        <f t="shared" si="87"/>
        <v>è in grado</v>
      </c>
      <c r="Z388" s="50" t="str">
        <f t="shared" si="88"/>
        <v>non sottende</v>
      </c>
      <c r="AA388" s="106">
        <f t="shared" si="89"/>
        <v>41.198644067796614</v>
      </c>
      <c r="AB388" s="50" t="str">
        <f t="shared" si="90"/>
        <v>A</v>
      </c>
      <c r="AC388" s="50" t="str">
        <f t="shared" si="83"/>
        <v>SI</v>
      </c>
      <c r="AD388" s="50" t="str">
        <f t="shared" si="91"/>
        <v>Si</v>
      </c>
      <c r="AE388" s="50" t="s">
        <v>147</v>
      </c>
      <c r="AF388" s="55">
        <v>0.98</v>
      </c>
      <c r="AG388" s="55">
        <v>161</v>
      </c>
      <c r="AH388" s="55">
        <v>612</v>
      </c>
      <c r="AI388" s="55"/>
      <c r="AJ388" s="53">
        <v>298.10000000000002</v>
      </c>
      <c r="AK388" s="53">
        <f t="shared" si="101"/>
        <v>0.46930560214693057</v>
      </c>
      <c r="AL388" s="53">
        <f t="shared" si="99"/>
        <v>139.9</v>
      </c>
      <c r="AM388" s="50" t="s">
        <v>190</v>
      </c>
      <c r="AN388" s="56" t="s">
        <v>222</v>
      </c>
      <c r="AO388" s="66"/>
      <c r="AP388" s="64" t="s">
        <v>2068</v>
      </c>
      <c r="AQ388" s="58" t="s">
        <v>224</v>
      </c>
      <c r="AR388" s="58" t="s">
        <v>225</v>
      </c>
      <c r="AS388" s="58" t="s">
        <v>92</v>
      </c>
      <c r="AT388" s="50"/>
      <c r="AU388" s="69"/>
      <c r="AV388" s="69"/>
      <c r="AW388" s="69"/>
      <c r="AX388" s="69"/>
      <c r="AY388" s="69"/>
      <c r="AZ388" s="69"/>
      <c r="BA388" s="69"/>
      <c r="BB388" s="69"/>
      <c r="BC388" s="69"/>
      <c r="BD388" s="69"/>
      <c r="BE388" s="69"/>
      <c r="BF388" s="1"/>
      <c r="BG388" s="1"/>
    </row>
    <row r="389" spans="1:59" ht="14.25" customHeight="1" x14ac:dyDescent="0.25">
      <c r="A389" s="1" t="s">
        <v>670</v>
      </c>
      <c r="B389" s="145"/>
      <c r="C389" s="70" t="s">
        <v>2069</v>
      </c>
      <c r="D389" s="50" t="s">
        <v>2070</v>
      </c>
      <c r="E389" s="50" t="str">
        <f t="shared" si="82"/>
        <v>PP0200720003001B</v>
      </c>
      <c r="F389" s="70"/>
      <c r="G389" s="70" t="s">
        <v>177</v>
      </c>
      <c r="H389" s="70" t="s">
        <v>178</v>
      </c>
      <c r="I389" s="70" t="s">
        <v>2071</v>
      </c>
      <c r="J389" s="50" t="s">
        <v>2072</v>
      </c>
      <c r="K389" s="70" t="s">
        <v>178</v>
      </c>
      <c r="L389" s="70" t="s">
        <v>2073</v>
      </c>
      <c r="M389" s="70"/>
      <c r="N389" s="52"/>
      <c r="O389" s="50" t="s">
        <v>159</v>
      </c>
      <c r="P389" s="70">
        <v>40</v>
      </c>
      <c r="Q389" s="73">
        <v>0</v>
      </c>
      <c r="R389" s="73">
        <f t="shared" si="84"/>
        <v>40</v>
      </c>
      <c r="S389" s="74">
        <v>0.09</v>
      </c>
      <c r="T389" s="74">
        <v>0</v>
      </c>
      <c r="U389" s="74">
        <f t="shared" si="85"/>
        <v>0.09</v>
      </c>
      <c r="V389" s="74">
        <v>10</v>
      </c>
      <c r="W389" s="52">
        <f t="shared" si="93"/>
        <v>0.34722222222222221</v>
      </c>
      <c r="X389" s="74">
        <f t="shared" si="86"/>
        <v>111.11111111111111</v>
      </c>
      <c r="Y389" s="70" t="str">
        <f t="shared" si="87"/>
        <v>è in grado</v>
      </c>
      <c r="Z389" s="70" t="str">
        <f t="shared" si="88"/>
        <v>non sottende</v>
      </c>
      <c r="AA389" s="112">
        <f t="shared" si="89"/>
        <v>28.8</v>
      </c>
      <c r="AB389" s="70" t="str">
        <f t="shared" si="90"/>
        <v>A</v>
      </c>
      <c r="AC389" s="50" t="str">
        <f t="shared" si="83"/>
        <v>SI</v>
      </c>
      <c r="AD389" s="70" t="str">
        <f t="shared" si="91"/>
        <v>No</v>
      </c>
      <c r="AE389" s="70" t="s">
        <v>147</v>
      </c>
      <c r="AF389" s="71">
        <v>9.07</v>
      </c>
      <c r="AG389" s="71">
        <v>1223</v>
      </c>
      <c r="AH389" s="71">
        <v>1305</v>
      </c>
      <c r="AI389" s="55" t="str">
        <f t="shared" ref="AI389:AI468" si="103">IF(AG389&gt;AH389, "Manufatto limitante", " ")</f>
        <v xml:space="preserve"> </v>
      </c>
      <c r="AJ389" s="73">
        <v>192.9</v>
      </c>
      <c r="AK389" s="53">
        <f t="shared" si="101"/>
        <v>6.2882322446863661</v>
      </c>
      <c r="AL389" s="53">
        <f t="shared" si="99"/>
        <v>1213</v>
      </c>
      <c r="AM389" s="70" t="s">
        <v>190</v>
      </c>
      <c r="AN389" s="56" t="s">
        <v>236</v>
      </c>
      <c r="AO389" s="146">
        <v>2028</v>
      </c>
      <c r="AP389" s="84" t="s">
        <v>2074</v>
      </c>
      <c r="AQ389" s="58" t="s">
        <v>1113</v>
      </c>
      <c r="AR389" s="107" t="s">
        <v>239</v>
      </c>
      <c r="AS389" s="58"/>
      <c r="AT389" s="50" t="s">
        <v>2075</v>
      </c>
      <c r="AU389" s="1"/>
      <c r="AV389" s="1"/>
      <c r="AW389" s="1"/>
      <c r="AX389" s="1"/>
      <c r="AY389" s="1"/>
      <c r="AZ389" s="1"/>
      <c r="BA389" s="1"/>
      <c r="BB389" s="1"/>
      <c r="BC389" s="1"/>
      <c r="BD389" s="1"/>
      <c r="BE389" s="1"/>
      <c r="BF389" s="1"/>
      <c r="BG389" s="1"/>
    </row>
    <row r="390" spans="1:59" ht="14.25" customHeight="1" x14ac:dyDescent="0.25">
      <c r="A390" s="1" t="s">
        <v>670</v>
      </c>
      <c r="B390" s="9"/>
      <c r="C390" s="7" t="s">
        <v>2076</v>
      </c>
      <c r="D390" s="105" t="s">
        <v>2077</v>
      </c>
      <c r="E390" s="105" t="str">
        <f t="shared" si="82"/>
        <v>PP0200730002001B</v>
      </c>
      <c r="F390" s="50"/>
      <c r="G390" s="50" t="s">
        <v>177</v>
      </c>
      <c r="H390" s="50" t="s">
        <v>178</v>
      </c>
      <c r="I390" s="105" t="s">
        <v>2078</v>
      </c>
      <c r="J390" s="50" t="s">
        <v>2079</v>
      </c>
      <c r="K390" s="50" t="s">
        <v>178</v>
      </c>
      <c r="L390" s="50" t="s">
        <v>2080</v>
      </c>
      <c r="M390" s="50"/>
      <c r="N390" s="52"/>
      <c r="O390" s="50" t="s">
        <v>118</v>
      </c>
      <c r="P390" s="50">
        <v>1035</v>
      </c>
      <c r="Q390" s="50">
        <v>0</v>
      </c>
      <c r="R390" s="53">
        <f t="shared" si="84"/>
        <v>1035</v>
      </c>
      <c r="S390" s="54">
        <v>2.4300000000000002</v>
      </c>
      <c r="T390" s="54">
        <v>0</v>
      </c>
      <c r="U390" s="54">
        <f t="shared" si="85"/>
        <v>2.4300000000000002</v>
      </c>
      <c r="V390" s="54">
        <v>11.5</v>
      </c>
      <c r="W390" s="52">
        <f t="shared" si="93"/>
        <v>8.984375</v>
      </c>
      <c r="X390" s="54">
        <f t="shared" si="86"/>
        <v>4.7325102880658436</v>
      </c>
      <c r="Y390" s="50" t="str">
        <f t="shared" si="87"/>
        <v>è in grado</v>
      </c>
      <c r="Z390" s="50" t="str">
        <f t="shared" si="88"/>
        <v>non sottende</v>
      </c>
      <c r="AA390" s="106">
        <f t="shared" si="89"/>
        <v>1.28</v>
      </c>
      <c r="AB390" s="50" t="str">
        <f t="shared" si="90"/>
        <v>B</v>
      </c>
      <c r="AC390" s="50" t="str">
        <f t="shared" si="83"/>
        <v>SI</v>
      </c>
      <c r="AD390" s="50" t="str">
        <f t="shared" si="91"/>
        <v>No</v>
      </c>
      <c r="AE390" s="50" t="s">
        <v>343</v>
      </c>
      <c r="AF390" s="55">
        <v>28.78</v>
      </c>
      <c r="AG390" s="55">
        <v>2437</v>
      </c>
      <c r="AH390" s="55">
        <v>3483</v>
      </c>
      <c r="AI390" s="55" t="str">
        <f t="shared" si="103"/>
        <v xml:space="preserve"> </v>
      </c>
      <c r="AJ390" s="53">
        <v>178.2</v>
      </c>
      <c r="AK390" s="53">
        <f t="shared" si="101"/>
        <v>13.611111111111112</v>
      </c>
      <c r="AL390" s="53">
        <f t="shared" si="99"/>
        <v>2425.5</v>
      </c>
      <c r="AM390" s="50" t="s">
        <v>190</v>
      </c>
      <c r="AN390" s="56" t="s">
        <v>236</v>
      </c>
      <c r="AO390" s="146">
        <v>2028</v>
      </c>
      <c r="AP390" s="84" t="s">
        <v>2074</v>
      </c>
      <c r="AQ390" s="58" t="s">
        <v>1113</v>
      </c>
      <c r="AR390" s="58" t="s">
        <v>239</v>
      </c>
      <c r="AS390" s="58"/>
      <c r="AT390" s="50" t="s">
        <v>2075</v>
      </c>
      <c r="AU390" s="1"/>
      <c r="AV390" s="1"/>
      <c r="AW390" s="1"/>
      <c r="AX390" s="1"/>
      <c r="AY390" s="1"/>
      <c r="AZ390" s="1"/>
      <c r="BA390" s="1"/>
      <c r="BB390" s="1"/>
      <c r="BC390" s="1"/>
      <c r="BD390" s="1"/>
      <c r="BE390" s="1"/>
      <c r="BF390" s="1"/>
      <c r="BG390" s="1"/>
    </row>
    <row r="391" spans="1:59" ht="14.25" customHeight="1" x14ac:dyDescent="0.25">
      <c r="A391" s="1"/>
      <c r="B391" s="50"/>
      <c r="C391" s="50" t="s">
        <v>2081</v>
      </c>
      <c r="D391" s="50" t="s">
        <v>2082</v>
      </c>
      <c r="E391" s="50" t="str">
        <f t="shared" si="82"/>
        <v>PP0200460003001B</v>
      </c>
      <c r="F391" s="50"/>
      <c r="G391" s="50" t="s">
        <v>2083</v>
      </c>
      <c r="H391" s="50" t="s">
        <v>95</v>
      </c>
      <c r="I391" s="50" t="s">
        <v>2084</v>
      </c>
      <c r="J391" s="50" t="s">
        <v>2085</v>
      </c>
      <c r="K391" s="50" t="s">
        <v>2083</v>
      </c>
      <c r="L391" s="50" t="s">
        <v>2086</v>
      </c>
      <c r="M391" s="50"/>
      <c r="N391" s="52"/>
      <c r="O391" s="50" t="s">
        <v>159</v>
      </c>
      <c r="P391" s="50">
        <v>56</v>
      </c>
      <c r="Q391" s="53">
        <v>2</v>
      </c>
      <c r="R391" s="53">
        <f t="shared" si="84"/>
        <v>58</v>
      </c>
      <c r="S391" s="54">
        <v>0.13</v>
      </c>
      <c r="T391" s="54">
        <v>0.14000000000000001</v>
      </c>
      <c r="U391" s="54">
        <f t="shared" si="85"/>
        <v>0.27</v>
      </c>
      <c r="V391" s="54">
        <v>8.9</v>
      </c>
      <c r="W391" s="52">
        <f t="shared" si="93"/>
        <v>0.67</v>
      </c>
      <c r="X391" s="54">
        <f t="shared" si="86"/>
        <v>32.962962962962962</v>
      </c>
      <c r="Y391" s="50" t="str">
        <f t="shared" si="87"/>
        <v>è in grado</v>
      </c>
      <c r="Z391" s="50" t="str">
        <f t="shared" si="88"/>
        <v>non sottende</v>
      </c>
      <c r="AA391" s="106">
        <f t="shared" si="89"/>
        <v>13.283582089552239</v>
      </c>
      <c r="AB391" s="50" t="str">
        <f t="shared" si="90"/>
        <v>A</v>
      </c>
      <c r="AC391" s="50" t="str">
        <f t="shared" si="83"/>
        <v>SI</v>
      </c>
      <c r="AD391" s="50" t="str">
        <f t="shared" si="91"/>
        <v>No</v>
      </c>
      <c r="AE391" s="50" t="s">
        <v>147</v>
      </c>
      <c r="AF391" s="55">
        <v>5.0999999999999996</v>
      </c>
      <c r="AG391" s="55">
        <v>862</v>
      </c>
      <c r="AH391" s="55">
        <v>759</v>
      </c>
      <c r="AI391" s="55" t="str">
        <f t="shared" si="103"/>
        <v>Manufatto limitante</v>
      </c>
      <c r="AJ391" s="53">
        <v>195.56</v>
      </c>
      <c r="AK391" s="53">
        <f t="shared" si="101"/>
        <v>3.8356514624667621</v>
      </c>
      <c r="AL391" s="53">
        <f t="shared" si="99"/>
        <v>750.1</v>
      </c>
      <c r="AM391" s="50" t="s">
        <v>190</v>
      </c>
      <c r="AN391" s="56" t="s">
        <v>222</v>
      </c>
      <c r="AO391" s="57">
        <v>47034</v>
      </c>
      <c r="AP391" s="58" t="s">
        <v>2087</v>
      </c>
      <c r="AQ391" s="58" t="s">
        <v>1113</v>
      </c>
      <c r="AR391" s="58" t="s">
        <v>225</v>
      </c>
      <c r="AS391" s="58" t="s">
        <v>2088</v>
      </c>
      <c r="AT391" s="64" t="s">
        <v>2089</v>
      </c>
      <c r="AU391" s="1"/>
      <c r="AV391" s="1"/>
      <c r="AW391" s="1"/>
      <c r="AX391" s="1"/>
      <c r="AY391" s="1"/>
      <c r="AZ391" s="1"/>
      <c r="BA391" s="1"/>
      <c r="BB391" s="1"/>
      <c r="BC391" s="1"/>
      <c r="BD391" s="1"/>
      <c r="BE391" s="1"/>
      <c r="BF391" s="1"/>
      <c r="BG391" s="1"/>
    </row>
    <row r="392" spans="1:59" ht="14.25" customHeight="1" x14ac:dyDescent="0.25">
      <c r="A392" s="1"/>
      <c r="B392" s="50"/>
      <c r="C392" s="50" t="s">
        <v>2090</v>
      </c>
      <c r="D392" s="50" t="s">
        <v>2091</v>
      </c>
      <c r="E392" s="50" t="str">
        <f t="shared" si="82"/>
        <v>PP0200460001001B</v>
      </c>
      <c r="F392" s="50"/>
      <c r="G392" s="50" t="s">
        <v>2083</v>
      </c>
      <c r="H392" s="50" t="s">
        <v>95</v>
      </c>
      <c r="I392" s="50" t="s">
        <v>2092</v>
      </c>
      <c r="J392" s="50" t="s">
        <v>2093</v>
      </c>
      <c r="K392" s="50" t="s">
        <v>2083</v>
      </c>
      <c r="L392" s="50" t="s">
        <v>2094</v>
      </c>
      <c r="M392" s="50" t="s">
        <v>286</v>
      </c>
      <c r="N392" s="52"/>
      <c r="O392" s="50" t="s">
        <v>118</v>
      </c>
      <c r="P392" s="50">
        <v>797</v>
      </c>
      <c r="Q392" s="53">
        <v>2</v>
      </c>
      <c r="R392" s="53">
        <f t="shared" si="84"/>
        <v>799</v>
      </c>
      <c r="S392" s="54">
        <v>1.87</v>
      </c>
      <c r="T392" s="54">
        <v>0.14000000000000001</v>
      </c>
      <c r="U392" s="54">
        <f t="shared" si="85"/>
        <v>2.0100000000000002</v>
      </c>
      <c r="V392" s="54">
        <v>26.1</v>
      </c>
      <c r="W392" s="52">
        <f t="shared" si="93"/>
        <v>6.9357638888888893</v>
      </c>
      <c r="X392" s="54">
        <f t="shared" si="86"/>
        <v>12.985074626865671</v>
      </c>
      <c r="Y392" s="50" t="str">
        <f t="shared" si="87"/>
        <v>è in grado</v>
      </c>
      <c r="Z392" s="50" t="str">
        <f t="shared" si="88"/>
        <v>non sottende</v>
      </c>
      <c r="AA392" s="106">
        <f t="shared" si="89"/>
        <v>3.7631038798498122</v>
      </c>
      <c r="AB392" s="50" t="str">
        <f t="shared" si="90"/>
        <v>A</v>
      </c>
      <c r="AC392" s="50" t="str">
        <f t="shared" si="83"/>
        <v>SI</v>
      </c>
      <c r="AD392" s="50" t="str">
        <f t="shared" si="91"/>
        <v>Si</v>
      </c>
      <c r="AE392" s="50" t="s">
        <v>343</v>
      </c>
      <c r="AF392" s="55">
        <v>51.5</v>
      </c>
      <c r="AG392" s="55">
        <v>3856</v>
      </c>
      <c r="AH392" s="55">
        <v>311</v>
      </c>
      <c r="AI392" s="55" t="str">
        <f t="shared" si="103"/>
        <v>Manufatto limitante</v>
      </c>
      <c r="AJ392" s="53">
        <v>13.16</v>
      </c>
      <c r="AK392" s="53">
        <f t="shared" si="101"/>
        <v>21.648936170212764</v>
      </c>
      <c r="AL392" s="53">
        <f t="shared" si="99"/>
        <v>284.89999999999998</v>
      </c>
      <c r="AM392" s="50" t="s">
        <v>147</v>
      </c>
      <c r="AN392" s="56" t="s">
        <v>236</v>
      </c>
      <c r="AO392" s="57">
        <v>47034</v>
      </c>
      <c r="AP392" s="64" t="s">
        <v>2095</v>
      </c>
      <c r="AQ392" s="58" t="s">
        <v>1113</v>
      </c>
      <c r="AR392" s="58" t="s">
        <v>225</v>
      </c>
      <c r="AS392" s="58" t="s">
        <v>2096</v>
      </c>
      <c r="AT392" s="64" t="s">
        <v>2089</v>
      </c>
      <c r="AU392" s="1"/>
      <c r="AV392" s="1"/>
      <c r="AW392" s="1"/>
      <c r="AX392" s="1"/>
      <c r="AY392" s="1"/>
      <c r="AZ392" s="1"/>
      <c r="BA392" s="1"/>
      <c r="BB392" s="1"/>
      <c r="BC392" s="1"/>
      <c r="BD392" s="1"/>
      <c r="BE392" s="1"/>
      <c r="BF392" s="1"/>
      <c r="BG392" s="1"/>
    </row>
    <row r="393" spans="1:59" ht="14.25" customHeight="1" x14ac:dyDescent="0.25">
      <c r="A393" s="1"/>
      <c r="B393" s="50"/>
      <c r="C393" s="50" t="s">
        <v>2097</v>
      </c>
      <c r="D393" s="50" t="s">
        <v>2098</v>
      </c>
      <c r="E393" s="50" t="str">
        <f t="shared" si="82"/>
        <v>PP0200460002001B</v>
      </c>
      <c r="F393" s="50"/>
      <c r="G393" s="50" t="s">
        <v>2083</v>
      </c>
      <c r="H393" s="50" t="s">
        <v>95</v>
      </c>
      <c r="I393" s="50" t="s">
        <v>833</v>
      </c>
      <c r="J393" s="50" t="s">
        <v>2099</v>
      </c>
      <c r="K393" s="50" t="s">
        <v>2083</v>
      </c>
      <c r="L393" s="50" t="s">
        <v>2100</v>
      </c>
      <c r="M393" s="50"/>
      <c r="N393" s="52"/>
      <c r="O393" s="50" t="s">
        <v>159</v>
      </c>
      <c r="P393" s="50">
        <v>84</v>
      </c>
      <c r="Q393" s="53">
        <v>0</v>
      </c>
      <c r="R393" s="53">
        <f t="shared" si="84"/>
        <v>84</v>
      </c>
      <c r="S393" s="54">
        <v>0.2</v>
      </c>
      <c r="T393" s="54">
        <v>0</v>
      </c>
      <c r="U393" s="54">
        <f t="shared" si="85"/>
        <v>0.2</v>
      </c>
      <c r="V393" s="54">
        <v>30.5</v>
      </c>
      <c r="W393" s="52">
        <f t="shared" si="93"/>
        <v>0.72916666666666663</v>
      </c>
      <c r="X393" s="54">
        <f t="shared" si="86"/>
        <v>152.5</v>
      </c>
      <c r="Y393" s="50" t="str">
        <f t="shared" si="87"/>
        <v>è in grado</v>
      </c>
      <c r="Z393" s="50" t="str">
        <f t="shared" si="88"/>
        <v>non sottende</v>
      </c>
      <c r="AA393" s="106">
        <f t="shared" si="89"/>
        <v>41.828571428571429</v>
      </c>
      <c r="AB393" s="50" t="str">
        <f t="shared" si="90"/>
        <v>A</v>
      </c>
      <c r="AC393" s="50" t="str">
        <f t="shared" si="83"/>
        <v>SI</v>
      </c>
      <c r="AD393" s="50" t="str">
        <f t="shared" si="91"/>
        <v>Si</v>
      </c>
      <c r="AE393" s="50" t="s">
        <v>147</v>
      </c>
      <c r="AF393" s="55">
        <v>10.8</v>
      </c>
      <c r="AG393" s="55">
        <v>763</v>
      </c>
      <c r="AH393" s="55">
        <v>1997</v>
      </c>
      <c r="AI393" s="55" t="str">
        <f t="shared" si="103"/>
        <v xml:space="preserve"> </v>
      </c>
      <c r="AJ393" s="53">
        <v>189.79</v>
      </c>
      <c r="AK393" s="53">
        <f t="shared" si="101"/>
        <v>3.859528953053375</v>
      </c>
      <c r="AL393" s="53">
        <f t="shared" si="99"/>
        <v>732.5</v>
      </c>
      <c r="AM393" s="50" t="s">
        <v>190</v>
      </c>
      <c r="AN393" s="56" t="s">
        <v>236</v>
      </c>
      <c r="AO393" s="57">
        <v>47034</v>
      </c>
      <c r="AP393" s="64" t="s">
        <v>2101</v>
      </c>
      <c r="AQ393" s="58" t="s">
        <v>1113</v>
      </c>
      <c r="AR393" s="107" t="s">
        <v>225</v>
      </c>
      <c r="AS393" s="64" t="s">
        <v>2102</v>
      </c>
      <c r="AT393" s="64" t="s">
        <v>2089</v>
      </c>
      <c r="AU393" s="1"/>
      <c r="AV393" s="1"/>
      <c r="AW393" s="1"/>
      <c r="AX393" s="1"/>
      <c r="AY393" s="1"/>
      <c r="AZ393" s="1"/>
      <c r="BA393" s="1"/>
      <c r="BB393" s="1"/>
      <c r="BC393" s="1"/>
      <c r="BD393" s="1"/>
      <c r="BE393" s="1"/>
      <c r="BF393" s="1"/>
      <c r="BG393" s="1"/>
    </row>
    <row r="394" spans="1:59" ht="14.25" customHeight="1" x14ac:dyDescent="0.25">
      <c r="A394" s="1"/>
      <c r="B394" s="131"/>
      <c r="C394" s="50" t="s">
        <v>2103</v>
      </c>
      <c r="D394" s="50" t="s">
        <v>2104</v>
      </c>
      <c r="E394" s="50" t="str">
        <f t="shared" si="82"/>
        <v>PP0200520002001B</v>
      </c>
      <c r="F394" s="50"/>
      <c r="G394" s="50" t="s">
        <v>2105</v>
      </c>
      <c r="H394" s="50" t="s">
        <v>2106</v>
      </c>
      <c r="I394" s="50" t="s">
        <v>2107</v>
      </c>
      <c r="J394" s="50" t="s">
        <v>2108</v>
      </c>
      <c r="K394" s="50" t="s">
        <v>2109</v>
      </c>
      <c r="L394" s="50" t="s">
        <v>2110</v>
      </c>
      <c r="M394" s="50"/>
      <c r="N394" s="52"/>
      <c r="O394" s="50" t="s">
        <v>159</v>
      </c>
      <c r="P394" s="50">
        <v>568</v>
      </c>
      <c r="Q394" s="53">
        <v>1</v>
      </c>
      <c r="R394" s="53">
        <f t="shared" si="84"/>
        <v>569</v>
      </c>
      <c r="S394" s="54">
        <v>1.34</v>
      </c>
      <c r="T394" s="54">
        <v>0.01</v>
      </c>
      <c r="U394" s="54">
        <f t="shared" si="85"/>
        <v>1.35</v>
      </c>
      <c r="V394" s="54">
        <v>11.5</v>
      </c>
      <c r="W394" s="52">
        <f t="shared" si="93"/>
        <v>4.9392361111111107</v>
      </c>
      <c r="X394" s="54">
        <f t="shared" si="86"/>
        <v>8.5185185185185173</v>
      </c>
      <c r="Y394" s="50" t="str">
        <f t="shared" si="87"/>
        <v>è in grado</v>
      </c>
      <c r="Z394" s="50" t="str">
        <f t="shared" si="88"/>
        <v>non sottende</v>
      </c>
      <c r="AA394" s="106">
        <f t="shared" si="89"/>
        <v>2.3282952548330407</v>
      </c>
      <c r="AB394" s="50" t="str">
        <f t="shared" si="90"/>
        <v>A</v>
      </c>
      <c r="AC394" s="50" t="str">
        <f t="shared" si="83"/>
        <v>SI</v>
      </c>
      <c r="AD394" s="50" t="str">
        <f t="shared" si="91"/>
        <v>No</v>
      </c>
      <c r="AE394" s="50" t="s">
        <v>147</v>
      </c>
      <c r="AF394" s="2">
        <v>9.85</v>
      </c>
      <c r="AG394" s="2">
        <v>646</v>
      </c>
      <c r="AH394" s="2">
        <v>78</v>
      </c>
      <c r="AI394" s="55" t="str">
        <f t="shared" si="103"/>
        <v>Manufatto limitante</v>
      </c>
      <c r="AJ394" s="53">
        <v>21.61</v>
      </c>
      <c r="AK394" s="53">
        <f t="shared" si="101"/>
        <v>3.0772790374826471</v>
      </c>
      <c r="AL394" s="53">
        <f t="shared" si="99"/>
        <v>66.5</v>
      </c>
      <c r="AM394" s="50" t="s">
        <v>147</v>
      </c>
      <c r="AN394" s="56" t="s">
        <v>236</v>
      </c>
      <c r="AO394" s="57">
        <v>47269</v>
      </c>
      <c r="AP394" s="58" t="s">
        <v>2111</v>
      </c>
      <c r="AQ394" s="58" t="s">
        <v>238</v>
      </c>
      <c r="AR394" s="58" t="s">
        <v>544</v>
      </c>
      <c r="AS394" s="58"/>
      <c r="AT394" s="64" t="s">
        <v>2112</v>
      </c>
      <c r="AU394" s="1"/>
      <c r="AV394" s="1"/>
      <c r="AW394" s="1"/>
      <c r="AX394" s="1"/>
      <c r="AY394" s="1"/>
      <c r="AZ394" s="1"/>
      <c r="BA394" s="1"/>
      <c r="BB394" s="1"/>
      <c r="BC394" s="1"/>
      <c r="BD394" s="1"/>
      <c r="BE394" s="1"/>
      <c r="BF394" s="1"/>
      <c r="BG394" s="1"/>
    </row>
    <row r="395" spans="1:59" ht="14.25" customHeight="1" x14ac:dyDescent="0.25">
      <c r="A395" s="1"/>
      <c r="B395" s="131"/>
      <c r="C395" s="7" t="s">
        <v>2113</v>
      </c>
      <c r="D395" s="50" t="s">
        <v>2114</v>
      </c>
      <c r="E395" s="50" t="str">
        <f t="shared" si="82"/>
        <v>PP0200520013001B</v>
      </c>
      <c r="F395" s="50" t="s">
        <v>2115</v>
      </c>
      <c r="G395" s="50" t="s">
        <v>2105</v>
      </c>
      <c r="H395" s="50" t="s">
        <v>2106</v>
      </c>
      <c r="I395" s="50" t="s">
        <v>2116</v>
      </c>
      <c r="J395" s="50" t="s">
        <v>2117</v>
      </c>
      <c r="K395" s="50" t="s">
        <v>2109</v>
      </c>
      <c r="L395" s="50" t="s">
        <v>2118</v>
      </c>
      <c r="M395" s="50"/>
      <c r="N395" s="52"/>
      <c r="O395" s="50" t="s">
        <v>151</v>
      </c>
      <c r="P395" s="50">
        <v>40</v>
      </c>
      <c r="Q395" s="53">
        <v>0</v>
      </c>
      <c r="R395" s="53">
        <f t="shared" si="84"/>
        <v>40</v>
      </c>
      <c r="S395" s="54">
        <v>0.09</v>
      </c>
      <c r="T395" s="54">
        <v>0</v>
      </c>
      <c r="U395" s="54">
        <f t="shared" si="85"/>
        <v>0.09</v>
      </c>
      <c r="V395" s="54">
        <v>21.9</v>
      </c>
      <c r="W395" s="52">
        <f t="shared" si="93"/>
        <v>0.34722222222222221</v>
      </c>
      <c r="X395" s="54">
        <f t="shared" si="86"/>
        <v>243.33333333333331</v>
      </c>
      <c r="Y395" s="50" t="str">
        <f t="shared" si="87"/>
        <v>è in grado</v>
      </c>
      <c r="Z395" s="50" t="str">
        <f t="shared" si="88"/>
        <v>non sottende</v>
      </c>
      <c r="AA395" s="106">
        <f t="shared" si="89"/>
        <v>63.071999999999996</v>
      </c>
      <c r="AB395" s="50" t="str">
        <f t="shared" si="90"/>
        <v>A</v>
      </c>
      <c r="AC395" s="50" t="str">
        <f t="shared" si="83"/>
        <v>SI</v>
      </c>
      <c r="AD395" s="50" t="str">
        <f t="shared" si="91"/>
        <v>Si</v>
      </c>
      <c r="AE395" s="50" t="s">
        <v>147</v>
      </c>
      <c r="AF395" s="55">
        <v>1.98</v>
      </c>
      <c r="AG395" s="55">
        <v>216</v>
      </c>
      <c r="AH395" s="55">
        <v>96</v>
      </c>
      <c r="AI395" s="55" t="str">
        <f t="shared" si="103"/>
        <v>Manufatto limitante</v>
      </c>
      <c r="AJ395" s="53">
        <v>102.55</v>
      </c>
      <c r="AK395" s="53">
        <f t="shared" si="101"/>
        <v>0.72257435397367131</v>
      </c>
      <c r="AL395" s="53">
        <f t="shared" si="99"/>
        <v>74.099999999999994</v>
      </c>
      <c r="AM395" s="50" t="s">
        <v>190</v>
      </c>
      <c r="AN395" s="56" t="s">
        <v>222</v>
      </c>
      <c r="AO395" s="57">
        <v>47269</v>
      </c>
      <c r="AP395" s="58" t="s">
        <v>2111</v>
      </c>
      <c r="AQ395" s="58" t="s">
        <v>255</v>
      </c>
      <c r="AR395" s="58" t="s">
        <v>225</v>
      </c>
      <c r="AS395" s="58" t="s">
        <v>92</v>
      </c>
      <c r="AT395" s="64"/>
      <c r="AU395" s="1"/>
      <c r="AV395" s="1"/>
      <c r="AW395" s="1"/>
      <c r="AX395" s="1"/>
      <c r="AY395" s="1"/>
      <c r="AZ395" s="1"/>
      <c r="BA395" s="1"/>
      <c r="BB395" s="1"/>
      <c r="BC395" s="1"/>
      <c r="BD395" s="1"/>
      <c r="BE395" s="1"/>
      <c r="BF395" s="1"/>
      <c r="BG395" s="1"/>
    </row>
    <row r="396" spans="1:59" ht="14.25" customHeight="1" x14ac:dyDescent="0.25">
      <c r="A396" s="1"/>
      <c r="B396" s="131"/>
      <c r="C396" s="50" t="s">
        <v>2119</v>
      </c>
      <c r="D396" s="50" t="s">
        <v>2120</v>
      </c>
      <c r="E396" s="50" t="str">
        <f t="shared" si="82"/>
        <v>PP0200520014001B</v>
      </c>
      <c r="F396" s="50"/>
      <c r="G396" s="50" t="s">
        <v>2105</v>
      </c>
      <c r="H396" s="50" t="s">
        <v>95</v>
      </c>
      <c r="I396" s="50" t="s">
        <v>2121</v>
      </c>
      <c r="J396" s="50" t="s">
        <v>2122</v>
      </c>
      <c r="K396" s="50" t="s">
        <v>2109</v>
      </c>
      <c r="L396" s="50" t="s">
        <v>2123</v>
      </c>
      <c r="M396" s="50"/>
      <c r="N396" s="52"/>
      <c r="O396" s="50" t="s">
        <v>151</v>
      </c>
      <c r="P396" s="50">
        <v>79</v>
      </c>
      <c r="Q396" s="53">
        <v>0</v>
      </c>
      <c r="R396" s="53">
        <f t="shared" si="84"/>
        <v>79</v>
      </c>
      <c r="S396" s="54">
        <v>0.19</v>
      </c>
      <c r="T396" s="54">
        <v>0</v>
      </c>
      <c r="U396" s="54">
        <f t="shared" si="85"/>
        <v>0.19</v>
      </c>
      <c r="V396" s="54">
        <v>36.4</v>
      </c>
      <c r="W396" s="52">
        <f t="shared" si="93"/>
        <v>0.68576388888888884</v>
      </c>
      <c r="X396" s="54">
        <f t="shared" si="86"/>
        <v>191.57894736842104</v>
      </c>
      <c r="Y396" s="50" t="str">
        <f t="shared" si="87"/>
        <v>è in grado</v>
      </c>
      <c r="Z396" s="50" t="str">
        <f t="shared" si="88"/>
        <v>non sottende</v>
      </c>
      <c r="AA396" s="106">
        <f t="shared" si="89"/>
        <v>53.07949367088608</v>
      </c>
      <c r="AB396" s="50" t="str">
        <f t="shared" si="90"/>
        <v>A</v>
      </c>
      <c r="AC396" s="50" t="str">
        <f t="shared" si="83"/>
        <v>SI</v>
      </c>
      <c r="AD396" s="50" t="str">
        <f t="shared" si="91"/>
        <v>Si</v>
      </c>
      <c r="AE396" s="50" t="s">
        <v>147</v>
      </c>
      <c r="AF396" s="55">
        <v>2.6560000000000001</v>
      </c>
      <c r="AG396" s="55">
        <v>271</v>
      </c>
      <c r="AH396" s="55">
        <v>240</v>
      </c>
      <c r="AI396" s="55" t="str">
        <f t="shared" si="103"/>
        <v>Manufatto limitante</v>
      </c>
      <c r="AJ396" s="53">
        <v>186.32</v>
      </c>
      <c r="AK396" s="53">
        <f t="shared" si="101"/>
        <v>1.0927436668097896</v>
      </c>
      <c r="AL396" s="53">
        <f t="shared" si="99"/>
        <v>203.6</v>
      </c>
      <c r="AM396" s="50" t="s">
        <v>190</v>
      </c>
      <c r="AN396" s="56" t="s">
        <v>222</v>
      </c>
      <c r="AO396" s="57">
        <v>47269</v>
      </c>
      <c r="AP396" s="58" t="s">
        <v>2111</v>
      </c>
      <c r="AQ396" s="58" t="s">
        <v>255</v>
      </c>
      <c r="AR396" s="58" t="s">
        <v>225</v>
      </c>
      <c r="AS396" s="58" t="s">
        <v>92</v>
      </c>
      <c r="AT396" s="64"/>
      <c r="AU396" s="1"/>
      <c r="AV396" s="1"/>
      <c r="AW396" s="1"/>
      <c r="AX396" s="1"/>
      <c r="AY396" s="1"/>
      <c r="AZ396" s="1"/>
      <c r="BA396" s="1"/>
      <c r="BB396" s="1"/>
      <c r="BC396" s="1"/>
      <c r="BD396" s="1"/>
      <c r="BE396" s="1"/>
      <c r="BF396" s="1"/>
      <c r="BG396" s="1"/>
    </row>
    <row r="397" spans="1:59" ht="14.25" customHeight="1" x14ac:dyDescent="0.25">
      <c r="A397" s="1"/>
      <c r="B397" s="50"/>
      <c r="C397" s="50" t="s">
        <v>2124</v>
      </c>
      <c r="D397" s="50" t="s">
        <v>2125</v>
      </c>
      <c r="E397" s="50" t="str">
        <f t="shared" si="82"/>
        <v>PP0200520012001B</v>
      </c>
      <c r="F397" s="50"/>
      <c r="G397" s="50" t="s">
        <v>2105</v>
      </c>
      <c r="H397" s="50" t="s">
        <v>2126</v>
      </c>
      <c r="I397" s="50" t="s">
        <v>2127</v>
      </c>
      <c r="J397" s="50" t="s">
        <v>2128</v>
      </c>
      <c r="K397" s="50" t="s">
        <v>2109</v>
      </c>
      <c r="L397" s="50" t="s">
        <v>2129</v>
      </c>
      <c r="M397" s="50"/>
      <c r="N397" s="52"/>
      <c r="O397" s="50" t="s">
        <v>159</v>
      </c>
      <c r="P397" s="50">
        <v>442</v>
      </c>
      <c r="Q397" s="53">
        <v>1</v>
      </c>
      <c r="R397" s="53">
        <f t="shared" si="84"/>
        <v>443</v>
      </c>
      <c r="S397" s="54">
        <v>1.04</v>
      </c>
      <c r="T397" s="54">
        <v>0.01</v>
      </c>
      <c r="U397" s="54">
        <f t="shared" si="85"/>
        <v>1.05</v>
      </c>
      <c r="V397" s="54">
        <v>17.899999999999999</v>
      </c>
      <c r="W397" s="52">
        <f t="shared" si="93"/>
        <v>3.8454861111111112</v>
      </c>
      <c r="X397" s="54">
        <f t="shared" si="86"/>
        <v>17.047619047619044</v>
      </c>
      <c r="Y397" s="50" t="str">
        <f t="shared" si="87"/>
        <v>è in grado</v>
      </c>
      <c r="Z397" s="50" t="str">
        <f t="shared" si="88"/>
        <v>non sottende</v>
      </c>
      <c r="AA397" s="106">
        <f t="shared" si="89"/>
        <v>4.6548081264108347</v>
      </c>
      <c r="AB397" s="50" t="str">
        <f t="shared" si="90"/>
        <v>A</v>
      </c>
      <c r="AC397" s="50" t="str">
        <f t="shared" si="83"/>
        <v>SI</v>
      </c>
      <c r="AD397" s="50" t="str">
        <f t="shared" si="91"/>
        <v>No</v>
      </c>
      <c r="AE397" s="50" t="s">
        <v>147</v>
      </c>
      <c r="AF397" s="50">
        <v>10.96</v>
      </c>
      <c r="AG397" s="50">
        <v>1018</v>
      </c>
      <c r="AH397" s="50">
        <v>664</v>
      </c>
      <c r="AI397" s="55" t="str">
        <f t="shared" si="103"/>
        <v>Manufatto limitante</v>
      </c>
      <c r="AJ397" s="53">
        <v>120.68</v>
      </c>
      <c r="AK397" s="53">
        <f>((MIN(AG398:AH398))-V397)/AJ397</f>
        <v>1.4923765329797811</v>
      </c>
      <c r="AL397" s="53">
        <f t="shared" si="99"/>
        <v>646.1</v>
      </c>
      <c r="AM397" s="50" t="s">
        <v>190</v>
      </c>
      <c r="AN397" s="56" t="s">
        <v>236</v>
      </c>
      <c r="AO397" s="57">
        <v>47269</v>
      </c>
      <c r="AP397" s="58" t="s">
        <v>2111</v>
      </c>
      <c r="AQ397" s="58" t="s">
        <v>255</v>
      </c>
      <c r="AR397" s="58" t="s">
        <v>225</v>
      </c>
      <c r="AS397" s="58" t="s">
        <v>92</v>
      </c>
      <c r="AT397" s="64"/>
      <c r="AU397" s="1"/>
      <c r="AV397" s="1"/>
      <c r="AW397" s="1"/>
      <c r="AX397" s="1"/>
      <c r="AY397" s="1"/>
      <c r="AZ397" s="1"/>
      <c r="BA397" s="1"/>
      <c r="BB397" s="1"/>
      <c r="BC397" s="1"/>
      <c r="BD397" s="1"/>
      <c r="BE397" s="1"/>
      <c r="BF397" s="1"/>
      <c r="BG397" s="1"/>
    </row>
    <row r="398" spans="1:59" ht="14.25" customHeight="1" x14ac:dyDescent="0.25">
      <c r="A398" s="1"/>
      <c r="B398" s="131"/>
      <c r="C398" s="50" t="s">
        <v>2130</v>
      </c>
      <c r="D398" s="50" t="s">
        <v>2131</v>
      </c>
      <c r="E398" s="50" t="str">
        <f t="shared" si="82"/>
        <v>PP0200520005001B</v>
      </c>
      <c r="F398" s="50"/>
      <c r="G398" s="50" t="s">
        <v>2105</v>
      </c>
      <c r="H398" s="50" t="s">
        <v>95</v>
      </c>
      <c r="I398" s="50" t="s">
        <v>2132</v>
      </c>
      <c r="J398" s="50" t="s">
        <v>2133</v>
      </c>
      <c r="K398" s="50" t="s">
        <v>2109</v>
      </c>
      <c r="L398" s="50" t="s">
        <v>2134</v>
      </c>
      <c r="M398" s="50"/>
      <c r="N398" s="52"/>
      <c r="O398" s="50" t="s">
        <v>159</v>
      </c>
      <c r="P398" s="50">
        <v>77</v>
      </c>
      <c r="Q398" s="53">
        <v>0</v>
      </c>
      <c r="R398" s="53">
        <f t="shared" si="84"/>
        <v>77</v>
      </c>
      <c r="S398" s="54">
        <v>0.18</v>
      </c>
      <c r="T398" s="54">
        <v>0</v>
      </c>
      <c r="U398" s="54">
        <f t="shared" si="85"/>
        <v>0.18</v>
      </c>
      <c r="V398" s="54">
        <v>8.9499999999999993</v>
      </c>
      <c r="W398" s="52">
        <f t="shared" si="93"/>
        <v>0.66840277777777779</v>
      </c>
      <c r="X398" s="54">
        <f t="shared" si="86"/>
        <v>49.722222222222221</v>
      </c>
      <c r="Y398" s="50" t="str">
        <f t="shared" si="87"/>
        <v>è in grado</v>
      </c>
      <c r="Z398" s="50" t="str">
        <f t="shared" si="88"/>
        <v>non sottende</v>
      </c>
      <c r="AA398" s="106">
        <f t="shared" si="89"/>
        <v>13.390129870129869</v>
      </c>
      <c r="AB398" s="50" t="str">
        <f t="shared" si="90"/>
        <v>A</v>
      </c>
      <c r="AC398" s="50" t="str">
        <f t="shared" si="83"/>
        <v>SI</v>
      </c>
      <c r="AD398" s="50" t="str">
        <f t="shared" si="91"/>
        <v>No</v>
      </c>
      <c r="AE398" s="50" t="s">
        <v>147</v>
      </c>
      <c r="AF398" s="55">
        <v>1.55</v>
      </c>
      <c r="AG398" s="55">
        <v>209</v>
      </c>
      <c r="AH398" s="55">
        <v>198</v>
      </c>
      <c r="AI398" s="55" t="str">
        <f t="shared" si="103"/>
        <v>Manufatto limitante</v>
      </c>
      <c r="AJ398" s="53">
        <v>237.8</v>
      </c>
      <c r="AK398" s="53" t="e">
        <f>((MIN(#REF!))-V398)/AJ398</f>
        <v>#REF!</v>
      </c>
      <c r="AL398" s="53">
        <f t="shared" si="99"/>
        <v>189.05</v>
      </c>
      <c r="AM398" s="50" t="s">
        <v>190</v>
      </c>
      <c r="AN398" s="56" t="s">
        <v>236</v>
      </c>
      <c r="AO398" s="57">
        <v>47269</v>
      </c>
      <c r="AP398" s="58" t="s">
        <v>2111</v>
      </c>
      <c r="AQ398" s="58" t="s">
        <v>238</v>
      </c>
      <c r="AR398" s="58" t="s">
        <v>544</v>
      </c>
      <c r="AS398" s="58"/>
      <c r="AT398" s="64" t="s">
        <v>2112</v>
      </c>
      <c r="AU398" s="1"/>
      <c r="AV398" s="1"/>
      <c r="AW398" s="1"/>
      <c r="AX398" s="1"/>
      <c r="AY398" s="1"/>
      <c r="AZ398" s="1"/>
      <c r="BA398" s="1"/>
      <c r="BB398" s="1"/>
      <c r="BC398" s="1"/>
      <c r="BD398" s="1"/>
      <c r="BE398" s="1"/>
      <c r="BF398" s="1"/>
      <c r="BG398" s="1"/>
    </row>
    <row r="399" spans="1:59" ht="14.25" customHeight="1" x14ac:dyDescent="0.25">
      <c r="A399" s="1"/>
      <c r="B399" s="50"/>
      <c r="C399" s="50" t="s">
        <v>2135</v>
      </c>
      <c r="D399" s="50"/>
      <c r="E399" s="50" t="str">
        <f t="shared" si="82"/>
        <v>001B</v>
      </c>
      <c r="F399" s="59" t="s">
        <v>2136</v>
      </c>
      <c r="G399" s="50" t="s">
        <v>2105</v>
      </c>
      <c r="H399" s="50" t="s">
        <v>2137</v>
      </c>
      <c r="I399" s="50" t="s">
        <v>2138</v>
      </c>
      <c r="J399" s="50" t="s">
        <v>2139</v>
      </c>
      <c r="K399" s="50" t="s">
        <v>2140</v>
      </c>
      <c r="L399" s="50" t="s">
        <v>2141</v>
      </c>
      <c r="M399" s="50"/>
      <c r="N399" s="52"/>
      <c r="O399" s="50" t="s">
        <v>118</v>
      </c>
      <c r="P399" s="50">
        <v>1890</v>
      </c>
      <c r="Q399" s="53">
        <v>25</v>
      </c>
      <c r="R399" s="53">
        <f t="shared" si="84"/>
        <v>1915</v>
      </c>
      <c r="S399" s="54">
        <v>4.45</v>
      </c>
      <c r="T399" s="54">
        <v>0.36</v>
      </c>
      <c r="U399" s="54">
        <f t="shared" si="85"/>
        <v>4.8100000000000005</v>
      </c>
      <c r="V399" s="54">
        <v>18.8</v>
      </c>
      <c r="W399" s="52">
        <f t="shared" si="93"/>
        <v>16.623263888888889</v>
      </c>
      <c r="X399" s="54">
        <f t="shared" si="86"/>
        <v>3.9085239085239083</v>
      </c>
      <c r="Y399" s="50" t="str">
        <f t="shared" si="87"/>
        <v>è in grado</v>
      </c>
      <c r="Z399" s="50" t="str">
        <f t="shared" si="88"/>
        <v>non sottende</v>
      </c>
      <c r="AA399" s="106">
        <f t="shared" si="89"/>
        <v>1.1309451697127937</v>
      </c>
      <c r="AB399" s="50" t="str">
        <f t="shared" si="90"/>
        <v>B</v>
      </c>
      <c r="AC399" s="50" t="str">
        <f t="shared" si="83"/>
        <v>SI</v>
      </c>
      <c r="AD399" s="50" t="str">
        <f t="shared" si="91"/>
        <v>No</v>
      </c>
      <c r="AE399" s="50" t="s">
        <v>343</v>
      </c>
      <c r="AF399" s="55">
        <v>64.540000000000006</v>
      </c>
      <c r="AG399" s="55">
        <v>4364</v>
      </c>
      <c r="AH399" s="55">
        <v>1664</v>
      </c>
      <c r="AI399" s="55" t="str">
        <f t="shared" si="103"/>
        <v>Manufatto limitante</v>
      </c>
      <c r="AJ399" s="53">
        <v>62.8</v>
      </c>
      <c r="AK399" s="53">
        <f t="shared" ref="AK399:AK432" si="104">((MIN(AG399:AH399))-V399)/AJ399</f>
        <v>26.197452229299365</v>
      </c>
      <c r="AL399" s="53">
        <f t="shared" si="99"/>
        <v>1645.2</v>
      </c>
      <c r="AM399" s="50" t="s">
        <v>190</v>
      </c>
      <c r="AN399" s="56" t="s">
        <v>236</v>
      </c>
      <c r="AO399" s="57">
        <v>45180</v>
      </c>
      <c r="AP399" s="58" t="s">
        <v>2142</v>
      </c>
      <c r="AQ399" s="58" t="s">
        <v>238</v>
      </c>
      <c r="AR399" s="58" t="s">
        <v>239</v>
      </c>
      <c r="AS399" s="58"/>
      <c r="AT399" s="64" t="s">
        <v>2143</v>
      </c>
      <c r="AU399" s="69"/>
      <c r="AV399" s="69"/>
      <c r="AW399" s="69"/>
      <c r="AX399" s="69"/>
      <c r="AY399" s="69"/>
      <c r="AZ399" s="69"/>
      <c r="BA399" s="69"/>
      <c r="BB399" s="69"/>
      <c r="BC399" s="69"/>
      <c r="BD399" s="69"/>
      <c r="BE399" s="69"/>
      <c r="BF399" s="1"/>
      <c r="BG399" s="1"/>
    </row>
    <row r="400" spans="1:59" ht="14.25" customHeight="1" x14ac:dyDescent="0.25">
      <c r="A400" s="1"/>
      <c r="B400" s="133"/>
      <c r="C400" s="130" t="s">
        <v>2144</v>
      </c>
      <c r="D400" s="50" t="s">
        <v>2145</v>
      </c>
      <c r="E400" s="50" t="str">
        <f t="shared" si="82"/>
        <v>PP0200520006001B</v>
      </c>
      <c r="F400" s="70" t="s">
        <v>2146</v>
      </c>
      <c r="G400" s="70" t="s">
        <v>2105</v>
      </c>
      <c r="H400" s="70" t="s">
        <v>95</v>
      </c>
      <c r="I400" s="70" t="s">
        <v>2147</v>
      </c>
      <c r="J400" s="50" t="s">
        <v>2148</v>
      </c>
      <c r="K400" s="70" t="s">
        <v>2109</v>
      </c>
      <c r="L400" s="70" t="s">
        <v>2123</v>
      </c>
      <c r="M400" s="70"/>
      <c r="N400" s="72"/>
      <c r="O400" s="70" t="s">
        <v>151</v>
      </c>
      <c r="P400" s="70">
        <v>264</v>
      </c>
      <c r="Q400" s="73">
        <v>0</v>
      </c>
      <c r="R400" s="73">
        <f t="shared" si="84"/>
        <v>264</v>
      </c>
      <c r="S400" s="74">
        <v>0.62</v>
      </c>
      <c r="T400" s="74">
        <v>0</v>
      </c>
      <c r="U400" s="74">
        <f t="shared" si="85"/>
        <v>0.62</v>
      </c>
      <c r="V400" s="74">
        <v>20.7</v>
      </c>
      <c r="W400" s="52">
        <f t="shared" si="93"/>
        <v>2.2916666666666665</v>
      </c>
      <c r="X400" s="74">
        <f t="shared" si="86"/>
        <v>33.387096774193544</v>
      </c>
      <c r="Y400" s="70" t="str">
        <f t="shared" si="87"/>
        <v>è in grado</v>
      </c>
      <c r="Z400" s="70" t="str">
        <f t="shared" si="88"/>
        <v>non sottende</v>
      </c>
      <c r="AA400" s="112">
        <f t="shared" si="89"/>
        <v>9.0327272727272732</v>
      </c>
      <c r="AB400" s="70" t="str">
        <f t="shared" si="90"/>
        <v>A</v>
      </c>
      <c r="AC400" s="50" t="str">
        <f t="shared" si="83"/>
        <v>SI</v>
      </c>
      <c r="AD400" s="70" t="str">
        <f t="shared" si="91"/>
        <v>Si</v>
      </c>
      <c r="AE400" s="70" t="s">
        <v>147</v>
      </c>
      <c r="AF400" s="71">
        <v>2.33</v>
      </c>
      <c r="AG400" s="71">
        <v>260</v>
      </c>
      <c r="AH400" s="71">
        <v>31</v>
      </c>
      <c r="AI400" s="55" t="str">
        <f t="shared" si="103"/>
        <v>Manufatto limitante</v>
      </c>
      <c r="AJ400" s="73">
        <v>10.28</v>
      </c>
      <c r="AK400" s="53">
        <f t="shared" si="104"/>
        <v>1.001945525291829</v>
      </c>
      <c r="AL400" s="53">
        <f t="shared" si="99"/>
        <v>10.3</v>
      </c>
      <c r="AM400" s="70" t="s">
        <v>147</v>
      </c>
      <c r="AN400" s="56" t="s">
        <v>222</v>
      </c>
      <c r="AO400" s="57">
        <v>47269</v>
      </c>
      <c r="AP400" s="58" t="s">
        <v>2111</v>
      </c>
      <c r="AQ400" s="58" t="s">
        <v>255</v>
      </c>
      <c r="AR400" s="58" t="s">
        <v>225</v>
      </c>
      <c r="AS400" s="58" t="s">
        <v>92</v>
      </c>
      <c r="AT400" s="64"/>
      <c r="AU400" s="1"/>
      <c r="AV400" s="1"/>
      <c r="AW400" s="1"/>
      <c r="AX400" s="1"/>
      <c r="AY400" s="1"/>
      <c r="AZ400" s="1"/>
      <c r="BA400" s="1"/>
      <c r="BB400" s="1"/>
      <c r="BC400" s="1"/>
      <c r="BD400" s="1"/>
      <c r="BE400" s="1"/>
      <c r="BF400" s="1"/>
      <c r="BG400" s="1"/>
    </row>
    <row r="401" spans="1:59" ht="14.25" customHeight="1" x14ac:dyDescent="0.25">
      <c r="A401" s="1"/>
      <c r="B401" s="131"/>
      <c r="C401" s="50" t="s">
        <v>2149</v>
      </c>
      <c r="D401" s="50" t="s">
        <v>2150</v>
      </c>
      <c r="E401" s="50" t="str">
        <f t="shared" si="82"/>
        <v>PP0200520011001B</v>
      </c>
      <c r="F401" s="50"/>
      <c r="G401" s="50" t="s">
        <v>2105</v>
      </c>
      <c r="H401" s="50" t="s">
        <v>2126</v>
      </c>
      <c r="I401" s="50" t="s">
        <v>2151</v>
      </c>
      <c r="J401" s="50" t="s">
        <v>2152</v>
      </c>
      <c r="K401" s="50" t="s">
        <v>2109</v>
      </c>
      <c r="L401" s="50" t="s">
        <v>2153</v>
      </c>
      <c r="M401" s="50"/>
      <c r="N401" s="52"/>
      <c r="O401" s="50" t="s">
        <v>159</v>
      </c>
      <c r="P401" s="50">
        <v>126</v>
      </c>
      <c r="Q401" s="53">
        <v>1</v>
      </c>
      <c r="R401" s="53">
        <f t="shared" si="84"/>
        <v>127</v>
      </c>
      <c r="S401" s="54">
        <v>0.3</v>
      </c>
      <c r="T401" s="54">
        <v>0.01</v>
      </c>
      <c r="U401" s="54">
        <f t="shared" si="85"/>
        <v>0.31</v>
      </c>
      <c r="V401" s="54">
        <v>19.399999999999999</v>
      </c>
      <c r="W401" s="52">
        <f t="shared" si="93"/>
        <v>1.1024305555555556</v>
      </c>
      <c r="X401" s="54">
        <f t="shared" si="86"/>
        <v>62.58064516129032</v>
      </c>
      <c r="Y401" s="50" t="str">
        <f t="shared" si="87"/>
        <v>è in grado</v>
      </c>
      <c r="Z401" s="50" t="str">
        <f t="shared" si="88"/>
        <v>non sottende</v>
      </c>
      <c r="AA401" s="106">
        <f t="shared" si="89"/>
        <v>17.597480314960627</v>
      </c>
      <c r="AB401" s="50" t="str">
        <f t="shared" si="90"/>
        <v>A</v>
      </c>
      <c r="AC401" s="50" t="str">
        <f t="shared" si="83"/>
        <v>SI</v>
      </c>
      <c r="AD401" s="50" t="str">
        <f t="shared" si="91"/>
        <v>No</v>
      </c>
      <c r="AE401" s="50" t="s">
        <v>147</v>
      </c>
      <c r="AF401" s="55">
        <v>1.86</v>
      </c>
      <c r="AG401" s="55">
        <v>250</v>
      </c>
      <c r="AH401" s="55">
        <v>81</v>
      </c>
      <c r="AI401" s="55" t="str">
        <f t="shared" si="103"/>
        <v>Manufatto limitante</v>
      </c>
      <c r="AJ401" s="53">
        <v>67.67</v>
      </c>
      <c r="AK401" s="53">
        <f t="shared" si="104"/>
        <v>0.91029998522240285</v>
      </c>
      <c r="AL401" s="53">
        <f t="shared" si="99"/>
        <v>61.6</v>
      </c>
      <c r="AM401" s="50" t="s">
        <v>190</v>
      </c>
      <c r="AN401" s="56" t="s">
        <v>222</v>
      </c>
      <c r="AO401" s="57">
        <v>47269</v>
      </c>
      <c r="AP401" s="58" t="s">
        <v>2111</v>
      </c>
      <c r="AQ401" s="58" t="s">
        <v>313</v>
      </c>
      <c r="AR401" s="58" t="s">
        <v>544</v>
      </c>
      <c r="AS401" s="58"/>
      <c r="AT401" s="64"/>
      <c r="AU401" s="1"/>
      <c r="AV401" s="1"/>
      <c r="AW401" s="1"/>
      <c r="AX401" s="1"/>
      <c r="AY401" s="1"/>
      <c r="AZ401" s="1"/>
      <c r="BA401" s="1"/>
      <c r="BB401" s="1"/>
      <c r="BC401" s="1"/>
      <c r="BD401" s="1"/>
      <c r="BE401" s="1"/>
      <c r="BF401" s="1"/>
      <c r="BG401" s="1"/>
    </row>
    <row r="402" spans="1:59" ht="14.25" customHeight="1" x14ac:dyDescent="0.25">
      <c r="A402" s="1"/>
      <c r="B402" s="131"/>
      <c r="C402" s="50" t="s">
        <v>2154</v>
      </c>
      <c r="D402" s="50" t="s">
        <v>2155</v>
      </c>
      <c r="E402" s="50" t="str">
        <f t="shared" si="82"/>
        <v>PP0200520001001B</v>
      </c>
      <c r="F402" s="50"/>
      <c r="G402" s="50" t="s">
        <v>2105</v>
      </c>
      <c r="H402" s="50" t="s">
        <v>2156</v>
      </c>
      <c r="I402" s="50" t="s">
        <v>2157</v>
      </c>
      <c r="J402" s="50" t="s">
        <v>2158</v>
      </c>
      <c r="K402" s="50" t="s">
        <v>2109</v>
      </c>
      <c r="L402" s="50" t="s">
        <v>2153</v>
      </c>
      <c r="M402" s="50"/>
      <c r="N402" s="52"/>
      <c r="O402" s="50" t="s">
        <v>159</v>
      </c>
      <c r="P402" s="50">
        <v>874</v>
      </c>
      <c r="Q402" s="53">
        <v>0</v>
      </c>
      <c r="R402" s="53">
        <f t="shared" si="84"/>
        <v>874</v>
      </c>
      <c r="S402" s="54">
        <v>2.06</v>
      </c>
      <c r="T402" s="54">
        <v>0</v>
      </c>
      <c r="U402" s="54">
        <f t="shared" si="85"/>
        <v>2.06</v>
      </c>
      <c r="V402" s="54">
        <v>8.8000000000000007</v>
      </c>
      <c r="W402" s="52">
        <f t="shared" si="93"/>
        <v>7.5868055555555554</v>
      </c>
      <c r="X402" s="54">
        <f t="shared" si="86"/>
        <v>4.2718446601941746</v>
      </c>
      <c r="Y402" s="50" t="str">
        <f t="shared" si="87"/>
        <v>è in grado</v>
      </c>
      <c r="Z402" s="50" t="str">
        <f t="shared" si="88"/>
        <v>non sottende</v>
      </c>
      <c r="AA402" s="106">
        <f t="shared" si="89"/>
        <v>1.1599084668192221</v>
      </c>
      <c r="AB402" s="50" t="str">
        <f t="shared" si="90"/>
        <v>B</v>
      </c>
      <c r="AC402" s="50" t="str">
        <f t="shared" si="83"/>
        <v>SI</v>
      </c>
      <c r="AD402" s="50" t="str">
        <f t="shared" si="91"/>
        <v>No</v>
      </c>
      <c r="AE402" s="50" t="s">
        <v>605</v>
      </c>
      <c r="AF402" s="55">
        <v>11.37</v>
      </c>
      <c r="AG402" s="55">
        <v>1208</v>
      </c>
      <c r="AH402" s="55">
        <v>244</v>
      </c>
      <c r="AI402" s="55" t="str">
        <f t="shared" si="103"/>
        <v>Manufatto limitante</v>
      </c>
      <c r="AJ402" s="53">
        <v>44.59</v>
      </c>
      <c r="AK402" s="53">
        <f t="shared" si="104"/>
        <v>5.2747252747252737</v>
      </c>
      <c r="AL402" s="53">
        <f t="shared" si="99"/>
        <v>235.2</v>
      </c>
      <c r="AM402" s="50" t="s">
        <v>190</v>
      </c>
      <c r="AN402" s="56" t="s">
        <v>236</v>
      </c>
      <c r="AO402" s="57">
        <v>47269</v>
      </c>
      <c r="AP402" s="58" t="s">
        <v>2111</v>
      </c>
      <c r="AQ402" s="58" t="s">
        <v>313</v>
      </c>
      <c r="AR402" s="58" t="s">
        <v>544</v>
      </c>
      <c r="AS402" s="58"/>
      <c r="AT402" s="64"/>
      <c r="AU402" s="1"/>
      <c r="AV402" s="1"/>
      <c r="AW402" s="1"/>
      <c r="AX402" s="1"/>
      <c r="AY402" s="1"/>
      <c r="AZ402" s="1"/>
      <c r="BA402" s="1"/>
      <c r="BB402" s="1"/>
      <c r="BC402" s="1"/>
      <c r="BD402" s="1"/>
      <c r="BE402" s="1"/>
      <c r="BF402" s="1"/>
      <c r="BG402" s="1"/>
    </row>
    <row r="403" spans="1:59" ht="14.25" customHeight="1" x14ac:dyDescent="0.25">
      <c r="A403" s="1"/>
      <c r="B403" s="131"/>
      <c r="C403" s="50" t="s">
        <v>2159</v>
      </c>
      <c r="D403" s="50" t="s">
        <v>2160</v>
      </c>
      <c r="E403" s="50" t="str">
        <f t="shared" si="82"/>
        <v>PP0200520007001B</v>
      </c>
      <c r="F403" s="50"/>
      <c r="G403" s="50" t="s">
        <v>2105</v>
      </c>
      <c r="H403" s="50" t="s">
        <v>95</v>
      </c>
      <c r="I403" s="50" t="s">
        <v>2161</v>
      </c>
      <c r="J403" s="50" t="s">
        <v>2162</v>
      </c>
      <c r="K403" s="50" t="s">
        <v>2109</v>
      </c>
      <c r="L403" s="50" t="s">
        <v>2123</v>
      </c>
      <c r="M403" s="50"/>
      <c r="N403" s="52"/>
      <c r="O403" s="50" t="s">
        <v>151</v>
      </c>
      <c r="P403" s="50">
        <v>3170</v>
      </c>
      <c r="Q403" s="53">
        <v>1</v>
      </c>
      <c r="R403" s="53">
        <f t="shared" si="84"/>
        <v>3171</v>
      </c>
      <c r="S403" s="54">
        <v>7.46</v>
      </c>
      <c r="T403" s="54">
        <v>0.01</v>
      </c>
      <c r="U403" s="54">
        <f t="shared" si="85"/>
        <v>7.47</v>
      </c>
      <c r="V403" s="54">
        <v>32.22</v>
      </c>
      <c r="W403" s="52">
        <f t="shared" si="93"/>
        <v>27.526041666666668</v>
      </c>
      <c r="X403" s="54">
        <f t="shared" si="86"/>
        <v>4.3132530120481931</v>
      </c>
      <c r="Y403" s="50" t="str">
        <f t="shared" si="87"/>
        <v>è in grado</v>
      </c>
      <c r="Z403" s="50" t="str">
        <f t="shared" si="88"/>
        <v>non sottende</v>
      </c>
      <c r="AA403" s="106">
        <f t="shared" si="89"/>
        <v>1.1705279091769156</v>
      </c>
      <c r="AB403" s="50" t="str">
        <f t="shared" si="90"/>
        <v>B</v>
      </c>
      <c r="AC403" s="50" t="str">
        <f t="shared" si="83"/>
        <v>SI</v>
      </c>
      <c r="AD403" s="50" t="str">
        <f t="shared" si="91"/>
        <v>Si</v>
      </c>
      <c r="AE403" s="50" t="s">
        <v>1773</v>
      </c>
      <c r="AF403" s="55">
        <v>55.39</v>
      </c>
      <c r="AG403" s="55">
        <v>3997</v>
      </c>
      <c r="AH403" s="55">
        <v>1336</v>
      </c>
      <c r="AI403" s="55" t="str">
        <f t="shared" si="103"/>
        <v>Manufatto limitante</v>
      </c>
      <c r="AJ403" s="53">
        <v>45.87</v>
      </c>
      <c r="AK403" s="53">
        <f t="shared" si="104"/>
        <v>28.423370394593416</v>
      </c>
      <c r="AL403" s="53">
        <f t="shared" si="99"/>
        <v>1303.78</v>
      </c>
      <c r="AM403" s="50" t="s">
        <v>190</v>
      </c>
      <c r="AN403" s="56" t="s">
        <v>236</v>
      </c>
      <c r="AO403" s="57">
        <v>47269</v>
      </c>
      <c r="AP403" s="58" t="s">
        <v>2111</v>
      </c>
      <c r="AQ403" s="58" t="s">
        <v>255</v>
      </c>
      <c r="AR403" s="58" t="s">
        <v>225</v>
      </c>
      <c r="AS403" s="58" t="s">
        <v>92</v>
      </c>
      <c r="AT403" s="64"/>
      <c r="AU403" s="1"/>
      <c r="AV403" s="1"/>
      <c r="AW403" s="1"/>
      <c r="AX403" s="1"/>
      <c r="AY403" s="1"/>
      <c r="AZ403" s="1"/>
      <c r="BA403" s="1"/>
      <c r="BB403" s="1"/>
      <c r="BC403" s="1"/>
      <c r="BD403" s="1"/>
      <c r="BE403" s="1"/>
      <c r="BF403" s="1"/>
      <c r="BG403" s="1"/>
    </row>
    <row r="404" spans="1:59" ht="14.25" customHeight="1" x14ac:dyDescent="0.25">
      <c r="A404" s="1"/>
      <c r="B404" s="131"/>
      <c r="C404" s="50" t="s">
        <v>2163</v>
      </c>
      <c r="D404" s="50" t="s">
        <v>2164</v>
      </c>
      <c r="E404" s="50" t="str">
        <f t="shared" si="82"/>
        <v>PP0200520003001B</v>
      </c>
      <c r="F404" s="50"/>
      <c r="G404" s="50" t="s">
        <v>2105</v>
      </c>
      <c r="H404" s="50" t="s">
        <v>95</v>
      </c>
      <c r="I404" s="50" t="s">
        <v>2165</v>
      </c>
      <c r="J404" s="50" t="s">
        <v>2166</v>
      </c>
      <c r="K404" s="50" t="s">
        <v>2109</v>
      </c>
      <c r="L404" s="50" t="s">
        <v>2167</v>
      </c>
      <c r="M404" s="50"/>
      <c r="N404" s="52"/>
      <c r="O404" s="50" t="s">
        <v>159</v>
      </c>
      <c r="P404" s="50">
        <v>145</v>
      </c>
      <c r="Q404" s="53">
        <v>0</v>
      </c>
      <c r="R404" s="53">
        <f t="shared" si="84"/>
        <v>145</v>
      </c>
      <c r="S404" s="54">
        <v>0.34</v>
      </c>
      <c r="T404" s="54">
        <v>0</v>
      </c>
      <c r="U404" s="54">
        <f t="shared" si="85"/>
        <v>0.34</v>
      </c>
      <c r="V404" s="54">
        <v>12.15</v>
      </c>
      <c r="W404" s="52">
        <f t="shared" si="93"/>
        <v>1.2586805555555556</v>
      </c>
      <c r="X404" s="54">
        <f t="shared" si="86"/>
        <v>35.735294117647058</v>
      </c>
      <c r="Y404" s="50" t="str">
        <f t="shared" si="87"/>
        <v>è in grado</v>
      </c>
      <c r="Z404" s="50" t="str">
        <f t="shared" si="88"/>
        <v>non sottende</v>
      </c>
      <c r="AA404" s="106">
        <f t="shared" si="89"/>
        <v>9.6529655172413786</v>
      </c>
      <c r="AB404" s="50" t="str">
        <f t="shared" si="90"/>
        <v>A</v>
      </c>
      <c r="AC404" s="50" t="str">
        <f t="shared" si="83"/>
        <v>SI</v>
      </c>
      <c r="AD404" s="50" t="str">
        <f t="shared" si="91"/>
        <v>No</v>
      </c>
      <c r="AE404" s="50" t="s">
        <v>147</v>
      </c>
      <c r="AF404" s="55">
        <v>4.62</v>
      </c>
      <c r="AG404" s="55">
        <v>521</v>
      </c>
      <c r="AH404" s="55">
        <v>105</v>
      </c>
      <c r="AI404" s="55" t="str">
        <f t="shared" si="103"/>
        <v>Manufatto limitante</v>
      </c>
      <c r="AJ404" s="53">
        <v>45.31</v>
      </c>
      <c r="AK404" s="53">
        <f t="shared" si="104"/>
        <v>2.0492165084970204</v>
      </c>
      <c r="AL404" s="53">
        <f t="shared" si="99"/>
        <v>92.85</v>
      </c>
      <c r="AM404" s="50" t="s">
        <v>190</v>
      </c>
      <c r="AN404" s="56" t="s">
        <v>222</v>
      </c>
      <c r="AO404" s="57">
        <v>47269</v>
      </c>
      <c r="AP404" s="58" t="s">
        <v>2111</v>
      </c>
      <c r="AQ404" s="58" t="s">
        <v>238</v>
      </c>
      <c r="AR404" s="58" t="s">
        <v>239</v>
      </c>
      <c r="AS404" s="58"/>
      <c r="AT404" s="64" t="s">
        <v>2168</v>
      </c>
      <c r="AU404" s="1"/>
      <c r="AV404" s="1"/>
      <c r="AW404" s="1"/>
      <c r="AX404" s="1"/>
      <c r="AY404" s="1"/>
      <c r="AZ404" s="1"/>
      <c r="BA404" s="1"/>
      <c r="BB404" s="1"/>
      <c r="BC404" s="1"/>
      <c r="BD404" s="1"/>
      <c r="BE404" s="1"/>
      <c r="BF404" s="1"/>
      <c r="BG404" s="1"/>
    </row>
    <row r="405" spans="1:59" ht="14.25" customHeight="1" x14ac:dyDescent="0.25">
      <c r="A405" s="1"/>
      <c r="B405" s="131"/>
      <c r="C405" s="50" t="s">
        <v>2169</v>
      </c>
      <c r="D405" s="50" t="s">
        <v>2170</v>
      </c>
      <c r="E405" s="50" t="str">
        <f t="shared" si="82"/>
        <v>PP0200500001001B</v>
      </c>
      <c r="F405" s="50"/>
      <c r="G405" s="50" t="s">
        <v>2171</v>
      </c>
      <c r="H405" s="50" t="s">
        <v>95</v>
      </c>
      <c r="I405" s="50" t="s">
        <v>2172</v>
      </c>
      <c r="J405" s="50" t="s">
        <v>2173</v>
      </c>
      <c r="K405" s="50" t="s">
        <v>2174</v>
      </c>
      <c r="L405" s="50" t="s">
        <v>2175</v>
      </c>
      <c r="M405" s="50"/>
      <c r="N405" s="52"/>
      <c r="O405" s="50" t="s">
        <v>151</v>
      </c>
      <c r="P405" s="50">
        <v>821</v>
      </c>
      <c r="Q405" s="53">
        <v>0</v>
      </c>
      <c r="R405" s="53">
        <f t="shared" si="84"/>
        <v>821</v>
      </c>
      <c r="S405" s="54">
        <v>1.93</v>
      </c>
      <c r="T405" s="54">
        <v>0</v>
      </c>
      <c r="U405" s="54">
        <f t="shared" si="85"/>
        <v>1.93</v>
      </c>
      <c r="V405" s="54">
        <v>59.62</v>
      </c>
      <c r="W405" s="52">
        <f t="shared" si="93"/>
        <v>7.1267361111111107</v>
      </c>
      <c r="X405" s="54">
        <f t="shared" si="86"/>
        <v>30.891191709844559</v>
      </c>
      <c r="Y405" s="50" t="str">
        <f t="shared" si="87"/>
        <v>è in grado</v>
      </c>
      <c r="Z405" s="50" t="str">
        <f t="shared" si="88"/>
        <v>non sottende</v>
      </c>
      <c r="AA405" s="106">
        <f t="shared" si="89"/>
        <v>8.3656808769792939</v>
      </c>
      <c r="AB405" s="50" t="str">
        <f t="shared" si="90"/>
        <v>A</v>
      </c>
      <c r="AC405" s="50" t="str">
        <f t="shared" si="83"/>
        <v>SI</v>
      </c>
      <c r="AD405" s="50" t="str">
        <f t="shared" si="91"/>
        <v>Si</v>
      </c>
      <c r="AE405" s="50" t="s">
        <v>147</v>
      </c>
      <c r="AF405" s="55">
        <v>18.809999999999999</v>
      </c>
      <c r="AG405" s="55">
        <v>1619</v>
      </c>
      <c r="AH405" s="55">
        <v>1411</v>
      </c>
      <c r="AI405" s="55" t="str">
        <f t="shared" si="103"/>
        <v>Manufatto limitante</v>
      </c>
      <c r="AJ405" s="53">
        <v>148.53</v>
      </c>
      <c r="AK405" s="53">
        <f t="shared" si="104"/>
        <v>9.0983639668753788</v>
      </c>
      <c r="AL405" s="53">
        <f t="shared" si="99"/>
        <v>1351.38</v>
      </c>
      <c r="AM405" s="50" t="s">
        <v>190</v>
      </c>
      <c r="AN405" s="56" t="s">
        <v>222</v>
      </c>
      <c r="AO405" s="57">
        <v>45866</v>
      </c>
      <c r="AP405" s="58" t="s">
        <v>2176</v>
      </c>
      <c r="AQ405" s="58" t="s">
        <v>255</v>
      </c>
      <c r="AR405" s="58" t="s">
        <v>225</v>
      </c>
      <c r="AS405" s="58" t="s">
        <v>92</v>
      </c>
      <c r="AT405" s="64"/>
      <c r="AU405" s="69"/>
      <c r="AV405" s="69"/>
      <c r="AW405" s="69"/>
      <c r="AX405" s="69"/>
      <c r="AY405" s="69"/>
      <c r="AZ405" s="69"/>
      <c r="BA405" s="69"/>
      <c r="BB405" s="69"/>
      <c r="BC405" s="69"/>
      <c r="BD405" s="69"/>
      <c r="BE405" s="69"/>
      <c r="BF405" s="1"/>
      <c r="BG405" s="1"/>
    </row>
    <row r="406" spans="1:59" ht="14.25" customHeight="1" x14ac:dyDescent="0.25">
      <c r="A406" s="1"/>
      <c r="B406" s="131"/>
      <c r="C406" s="70" t="s">
        <v>2177</v>
      </c>
      <c r="D406" s="50" t="s">
        <v>2178</v>
      </c>
      <c r="E406" s="50" t="str">
        <f t="shared" si="82"/>
        <v>PP0200500002001B</v>
      </c>
      <c r="F406" s="70"/>
      <c r="G406" s="70" t="s">
        <v>2171</v>
      </c>
      <c r="H406" s="70" t="s">
        <v>95</v>
      </c>
      <c r="I406" s="70" t="s">
        <v>2179</v>
      </c>
      <c r="J406" s="50" t="s">
        <v>2180</v>
      </c>
      <c r="K406" s="70" t="s">
        <v>2174</v>
      </c>
      <c r="L406" s="70" t="s">
        <v>2181</v>
      </c>
      <c r="M406" s="70"/>
      <c r="N406" s="72"/>
      <c r="O406" s="50" t="s">
        <v>151</v>
      </c>
      <c r="P406" s="70">
        <v>71</v>
      </c>
      <c r="Q406" s="73">
        <v>0</v>
      </c>
      <c r="R406" s="73">
        <f t="shared" si="84"/>
        <v>71</v>
      </c>
      <c r="S406" s="74">
        <v>0.17</v>
      </c>
      <c r="T406" s="74">
        <v>0</v>
      </c>
      <c r="U406" s="74">
        <f t="shared" si="85"/>
        <v>0.17</v>
      </c>
      <c r="V406" s="74">
        <v>32.020000000000003</v>
      </c>
      <c r="W406" s="52">
        <f t="shared" si="93"/>
        <v>0.61631944444444442</v>
      </c>
      <c r="X406" s="74">
        <f t="shared" si="86"/>
        <v>188.35294117647058</v>
      </c>
      <c r="Y406" s="70" t="str">
        <f t="shared" si="87"/>
        <v>è in grado</v>
      </c>
      <c r="Z406" s="70" t="str">
        <f t="shared" si="88"/>
        <v>non sottende</v>
      </c>
      <c r="AA406" s="112">
        <f t="shared" si="89"/>
        <v>51.953577464788737</v>
      </c>
      <c r="AB406" s="70" t="str">
        <f t="shared" si="90"/>
        <v>A</v>
      </c>
      <c r="AC406" s="50" t="str">
        <f t="shared" si="83"/>
        <v>SI</v>
      </c>
      <c r="AD406" s="70" t="str">
        <f t="shared" si="91"/>
        <v>Si</v>
      </c>
      <c r="AE406" s="50" t="s">
        <v>147</v>
      </c>
      <c r="AF406" s="71">
        <v>6.87</v>
      </c>
      <c r="AG406" s="71">
        <v>698</v>
      </c>
      <c r="AH406" s="71">
        <v>408</v>
      </c>
      <c r="AI406" s="55" t="str">
        <f t="shared" si="103"/>
        <v>Manufatto limitante</v>
      </c>
      <c r="AJ406" s="73">
        <v>128.44</v>
      </c>
      <c r="AK406" s="53">
        <f t="shared" si="104"/>
        <v>2.9272812208034882</v>
      </c>
      <c r="AL406" s="53">
        <f t="shared" si="99"/>
        <v>375.98</v>
      </c>
      <c r="AM406" s="70" t="s">
        <v>190</v>
      </c>
      <c r="AN406" s="56" t="s">
        <v>222</v>
      </c>
      <c r="AO406" s="62">
        <v>45866</v>
      </c>
      <c r="AP406" s="107" t="s">
        <v>2176</v>
      </c>
      <c r="AQ406" s="58" t="s">
        <v>255</v>
      </c>
      <c r="AR406" s="58" t="s">
        <v>225</v>
      </c>
      <c r="AS406" s="58" t="s">
        <v>92</v>
      </c>
      <c r="AT406" s="64"/>
      <c r="AU406" s="1"/>
      <c r="AV406" s="1"/>
      <c r="AW406" s="1"/>
      <c r="AX406" s="1"/>
      <c r="AY406" s="1"/>
      <c r="AZ406" s="1"/>
      <c r="BA406" s="1"/>
      <c r="BB406" s="1"/>
      <c r="BC406" s="1"/>
      <c r="BD406" s="1"/>
      <c r="BE406" s="1"/>
      <c r="BF406" s="1"/>
      <c r="BG406" s="1"/>
    </row>
    <row r="407" spans="1:59" ht="14.25" customHeight="1" x14ac:dyDescent="0.25">
      <c r="A407" s="1"/>
      <c r="B407" s="131"/>
      <c r="C407" s="50" t="s">
        <v>2182</v>
      </c>
      <c r="D407" s="50"/>
      <c r="E407" s="50" t="str">
        <f t="shared" si="82"/>
        <v>001B</v>
      </c>
      <c r="F407" s="50"/>
      <c r="G407" s="50" t="s">
        <v>2171</v>
      </c>
      <c r="H407" s="50" t="s">
        <v>2183</v>
      </c>
      <c r="I407" s="50" t="s">
        <v>1296</v>
      </c>
      <c r="J407" s="50" t="s">
        <v>2184</v>
      </c>
      <c r="K407" s="50" t="s">
        <v>2185</v>
      </c>
      <c r="L407" s="50" t="s">
        <v>2186</v>
      </c>
      <c r="M407" s="50"/>
      <c r="N407" s="52"/>
      <c r="O407" s="50" t="s">
        <v>159</v>
      </c>
      <c r="P407" s="50">
        <v>386</v>
      </c>
      <c r="Q407" s="53">
        <v>0</v>
      </c>
      <c r="R407" s="53">
        <f t="shared" si="84"/>
        <v>386</v>
      </c>
      <c r="S407" s="54">
        <v>0.91</v>
      </c>
      <c r="T407" s="54">
        <v>0</v>
      </c>
      <c r="U407" s="54">
        <f t="shared" si="85"/>
        <v>0.91</v>
      </c>
      <c r="V407" s="54">
        <v>5.0999999999999996</v>
      </c>
      <c r="W407" s="52">
        <f t="shared" si="93"/>
        <v>3.3506944444444446</v>
      </c>
      <c r="X407" s="54">
        <f t="shared" si="86"/>
        <v>5.604395604395604</v>
      </c>
      <c r="Y407" s="50" t="str">
        <f t="shared" si="87"/>
        <v>è in grado</v>
      </c>
      <c r="Z407" s="50" t="str">
        <f t="shared" si="88"/>
        <v>non sottende</v>
      </c>
      <c r="AA407" s="106">
        <f t="shared" si="89"/>
        <v>1.5220725388601035</v>
      </c>
      <c r="AB407" s="50" t="str">
        <f t="shared" si="90"/>
        <v>B</v>
      </c>
      <c r="AC407" s="50" t="str">
        <f t="shared" si="83"/>
        <v>SI</v>
      </c>
      <c r="AD407" s="50" t="str">
        <f t="shared" si="91"/>
        <v>No</v>
      </c>
      <c r="AE407" s="50" t="s">
        <v>304</v>
      </c>
      <c r="AF407" s="55">
        <v>4.5199999999999996</v>
      </c>
      <c r="AG407" s="55">
        <v>414</v>
      </c>
      <c r="AH407" s="55">
        <v>90</v>
      </c>
      <c r="AI407" s="55" t="str">
        <f t="shared" si="103"/>
        <v>Manufatto limitante</v>
      </c>
      <c r="AJ407" s="53">
        <v>40.409999999999997</v>
      </c>
      <c r="AK407" s="53">
        <f t="shared" si="104"/>
        <v>2.1009651076466223</v>
      </c>
      <c r="AL407" s="53">
        <f t="shared" si="99"/>
        <v>84.9</v>
      </c>
      <c r="AM407" s="50" t="s">
        <v>190</v>
      </c>
      <c r="AN407" s="56" t="s">
        <v>236</v>
      </c>
      <c r="AO407" s="66"/>
      <c r="AP407" s="58" t="s">
        <v>2187</v>
      </c>
      <c r="AQ407" s="58" t="s">
        <v>255</v>
      </c>
      <c r="AR407" s="58" t="s">
        <v>626</v>
      </c>
      <c r="AS407" s="58"/>
      <c r="AT407" s="50"/>
      <c r="AU407" s="1"/>
      <c r="AV407" s="1"/>
      <c r="AW407" s="1"/>
      <c r="AX407" s="1"/>
      <c r="AY407" s="1"/>
      <c r="AZ407" s="1"/>
      <c r="BA407" s="1"/>
      <c r="BB407" s="1"/>
      <c r="BC407" s="1"/>
      <c r="BD407" s="1"/>
      <c r="BE407" s="1"/>
      <c r="BF407" s="1"/>
      <c r="BG407" s="1"/>
    </row>
    <row r="408" spans="1:59" ht="14.25" customHeight="1" x14ac:dyDescent="0.25">
      <c r="A408" s="1"/>
      <c r="B408" s="131"/>
      <c r="C408" s="50" t="s">
        <v>2188</v>
      </c>
      <c r="D408" s="50" t="s">
        <v>2189</v>
      </c>
      <c r="E408" s="50" t="str">
        <f t="shared" si="82"/>
        <v>PP0200500004001B</v>
      </c>
      <c r="F408" s="50" t="s">
        <v>2190</v>
      </c>
      <c r="G408" s="50" t="s">
        <v>2171</v>
      </c>
      <c r="H408" s="50" t="s">
        <v>95</v>
      </c>
      <c r="I408" s="50" t="s">
        <v>2191</v>
      </c>
      <c r="J408" s="50" t="s">
        <v>2192</v>
      </c>
      <c r="K408" s="50" t="s">
        <v>2174</v>
      </c>
      <c r="L408" s="50" t="s">
        <v>2193</v>
      </c>
      <c r="M408" s="50"/>
      <c r="N408" s="52"/>
      <c r="O408" s="50" t="s">
        <v>159</v>
      </c>
      <c r="P408" s="50">
        <v>2080</v>
      </c>
      <c r="Q408" s="53">
        <v>62</v>
      </c>
      <c r="R408" s="53">
        <f t="shared" si="84"/>
        <v>2142</v>
      </c>
      <c r="S408" s="54">
        <v>4.8899999999999997</v>
      </c>
      <c r="T408" s="54">
        <v>3.67</v>
      </c>
      <c r="U408" s="54">
        <f t="shared" si="85"/>
        <v>8.5599999999999987</v>
      </c>
      <c r="V408" s="54">
        <v>92.37</v>
      </c>
      <c r="W408" s="52">
        <f t="shared" si="93"/>
        <v>22.009999999999998</v>
      </c>
      <c r="X408" s="54">
        <f t="shared" si="86"/>
        <v>10.790887850467293</v>
      </c>
      <c r="Y408" s="50" t="str">
        <f t="shared" si="87"/>
        <v>è in grado</v>
      </c>
      <c r="Z408" s="50" t="str">
        <f t="shared" si="88"/>
        <v>non sottende</v>
      </c>
      <c r="AA408" s="106">
        <f t="shared" si="89"/>
        <v>4.1967287596547029</v>
      </c>
      <c r="AB408" s="50" t="str">
        <f t="shared" si="90"/>
        <v>A</v>
      </c>
      <c r="AC408" s="50" t="str">
        <f t="shared" si="83"/>
        <v>SI</v>
      </c>
      <c r="AD408" s="50" t="str">
        <f t="shared" si="91"/>
        <v>Si</v>
      </c>
      <c r="AE408" s="50" t="s">
        <v>605</v>
      </c>
      <c r="AF408" s="55">
        <v>47.77</v>
      </c>
      <c r="AG408" s="55">
        <v>4641</v>
      </c>
      <c r="AH408" s="55">
        <v>3376</v>
      </c>
      <c r="AI408" s="55" t="str">
        <f t="shared" si="103"/>
        <v>Manufatto limitante</v>
      </c>
      <c r="AJ408" s="53">
        <v>117.48</v>
      </c>
      <c r="AK408" s="53">
        <f t="shared" si="104"/>
        <v>27.950544773578482</v>
      </c>
      <c r="AL408" s="53">
        <f t="shared" si="99"/>
        <v>3283.63</v>
      </c>
      <c r="AM408" s="50" t="s">
        <v>190</v>
      </c>
      <c r="AN408" s="56" t="s">
        <v>222</v>
      </c>
      <c r="AO408" s="57">
        <v>45866</v>
      </c>
      <c r="AP408" s="58" t="s">
        <v>2176</v>
      </c>
      <c r="AQ408" s="58" t="s">
        <v>445</v>
      </c>
      <c r="AR408" s="58" t="s">
        <v>239</v>
      </c>
      <c r="AS408" s="58"/>
      <c r="AT408" s="64" t="s">
        <v>2194</v>
      </c>
      <c r="AU408" s="1"/>
      <c r="AV408" s="1"/>
      <c r="AW408" s="1"/>
      <c r="AX408" s="1"/>
      <c r="AY408" s="1"/>
      <c r="AZ408" s="1"/>
      <c r="BA408" s="1"/>
      <c r="BB408" s="1"/>
      <c r="BC408" s="1"/>
      <c r="BD408" s="1"/>
      <c r="BE408" s="1"/>
      <c r="BF408" s="1"/>
      <c r="BG408" s="1"/>
    </row>
    <row r="409" spans="1:59" ht="14.25" customHeight="1" x14ac:dyDescent="0.25">
      <c r="A409" s="1"/>
      <c r="B409" s="50"/>
      <c r="C409" s="50" t="s">
        <v>2195</v>
      </c>
      <c r="D409" s="50" t="s">
        <v>2196</v>
      </c>
      <c r="E409" s="50" t="str">
        <f t="shared" si="82"/>
        <v>PP0200530005001B</v>
      </c>
      <c r="F409" s="50"/>
      <c r="G409" s="50" t="s">
        <v>2197</v>
      </c>
      <c r="H409" s="50" t="s">
        <v>2198</v>
      </c>
      <c r="I409" s="50" t="s">
        <v>2199</v>
      </c>
      <c r="J409" s="50" t="s">
        <v>2200</v>
      </c>
      <c r="K409" s="50" t="s">
        <v>2201</v>
      </c>
      <c r="L409" s="50" t="s">
        <v>2202</v>
      </c>
      <c r="M409" s="50"/>
      <c r="N409" s="52"/>
      <c r="O409" s="50" t="s">
        <v>159</v>
      </c>
      <c r="P409" s="50">
        <v>184</v>
      </c>
      <c r="Q409" s="53">
        <v>0</v>
      </c>
      <c r="R409" s="53">
        <f t="shared" si="84"/>
        <v>184</v>
      </c>
      <c r="S409" s="54">
        <v>0.43</v>
      </c>
      <c r="T409" s="54">
        <v>0</v>
      </c>
      <c r="U409" s="54">
        <f t="shared" si="85"/>
        <v>0.43</v>
      </c>
      <c r="V409" s="54">
        <v>4</v>
      </c>
      <c r="W409" s="52">
        <f t="shared" si="93"/>
        <v>1.5972222222222223</v>
      </c>
      <c r="X409" s="54">
        <f t="shared" si="86"/>
        <v>9.3023255813953494</v>
      </c>
      <c r="Y409" s="50" t="str">
        <f t="shared" si="87"/>
        <v>è in grado</v>
      </c>
      <c r="Z409" s="50" t="str">
        <f t="shared" si="88"/>
        <v>non sottende</v>
      </c>
      <c r="AA409" s="106">
        <f t="shared" si="89"/>
        <v>2.5043478260869563</v>
      </c>
      <c r="AB409" s="50" t="str">
        <f t="shared" si="90"/>
        <v>A</v>
      </c>
      <c r="AC409" s="50" t="str">
        <f t="shared" si="83"/>
        <v>SI</v>
      </c>
      <c r="AD409" s="50" t="str">
        <f t="shared" si="91"/>
        <v>No</v>
      </c>
      <c r="AE409" s="50" t="s">
        <v>147</v>
      </c>
      <c r="AF409" s="55">
        <v>7.22</v>
      </c>
      <c r="AG409" s="55">
        <v>909</v>
      </c>
      <c r="AH409" s="55">
        <v>352</v>
      </c>
      <c r="AI409" s="55" t="str">
        <f t="shared" si="103"/>
        <v>Manufatto limitante</v>
      </c>
      <c r="AJ409" s="53">
        <v>95.11</v>
      </c>
      <c r="AK409" s="53">
        <f t="shared" si="104"/>
        <v>3.6589212490800125</v>
      </c>
      <c r="AL409" s="53">
        <f t="shared" si="99"/>
        <v>348</v>
      </c>
      <c r="AM409" s="50" t="s">
        <v>190</v>
      </c>
      <c r="AN409" s="56" t="s">
        <v>236</v>
      </c>
      <c r="AO409" s="66"/>
      <c r="AP409" s="58" t="s">
        <v>2203</v>
      </c>
      <c r="AQ409" s="58" t="s">
        <v>238</v>
      </c>
      <c r="AR409" s="75">
        <v>52475</v>
      </c>
      <c r="AS409" s="58" t="s">
        <v>2204</v>
      </c>
      <c r="AT409" s="50"/>
      <c r="AU409" s="1"/>
      <c r="AV409" s="1"/>
      <c r="AW409" s="1"/>
      <c r="AX409" s="1"/>
      <c r="AY409" s="1"/>
      <c r="AZ409" s="1"/>
      <c r="BA409" s="1"/>
      <c r="BB409" s="1"/>
      <c r="BC409" s="1"/>
      <c r="BD409" s="1"/>
      <c r="BE409" s="1"/>
      <c r="BF409" s="1"/>
      <c r="BG409" s="1"/>
    </row>
    <row r="410" spans="1:59" ht="14.25" customHeight="1" x14ac:dyDescent="0.25">
      <c r="A410" s="1"/>
      <c r="B410" s="50"/>
      <c r="C410" s="7" t="s">
        <v>2205</v>
      </c>
      <c r="D410" s="50" t="s">
        <v>2206</v>
      </c>
      <c r="E410" s="50" t="str">
        <f t="shared" si="82"/>
        <v>PP0200530002001B</v>
      </c>
      <c r="F410" s="50" t="s">
        <v>2207</v>
      </c>
      <c r="G410" s="50" t="s">
        <v>2197</v>
      </c>
      <c r="H410" s="50" t="s">
        <v>95</v>
      </c>
      <c r="I410" s="50" t="s">
        <v>2208</v>
      </c>
      <c r="J410" s="50" t="s">
        <v>2209</v>
      </c>
      <c r="K410" s="50" t="s">
        <v>2201</v>
      </c>
      <c r="L410" s="50" t="s">
        <v>2210</v>
      </c>
      <c r="M410" s="50"/>
      <c r="N410" s="52"/>
      <c r="O410" s="50" t="s">
        <v>151</v>
      </c>
      <c r="P410" s="50">
        <v>83</v>
      </c>
      <c r="Q410" s="53">
        <v>0</v>
      </c>
      <c r="R410" s="53">
        <f t="shared" si="84"/>
        <v>83</v>
      </c>
      <c r="S410" s="54">
        <v>0.2</v>
      </c>
      <c r="T410" s="54">
        <v>0</v>
      </c>
      <c r="U410" s="54">
        <f t="shared" si="85"/>
        <v>0.2</v>
      </c>
      <c r="V410" s="54">
        <v>20.309999999999999</v>
      </c>
      <c r="W410" s="52">
        <f t="shared" si="93"/>
        <v>0.72048611111111116</v>
      </c>
      <c r="X410" s="54">
        <f t="shared" si="86"/>
        <v>101.54999999999998</v>
      </c>
      <c r="Y410" s="50" t="str">
        <f t="shared" si="87"/>
        <v>è in grado</v>
      </c>
      <c r="Z410" s="50" t="str">
        <f t="shared" si="88"/>
        <v>non sottende</v>
      </c>
      <c r="AA410" s="106">
        <f t="shared" si="89"/>
        <v>28.189301204819273</v>
      </c>
      <c r="AB410" s="50" t="str">
        <f t="shared" si="90"/>
        <v>A</v>
      </c>
      <c r="AC410" s="50" t="str">
        <f t="shared" si="83"/>
        <v>SI</v>
      </c>
      <c r="AD410" s="50" t="str">
        <f t="shared" si="91"/>
        <v>Si</v>
      </c>
      <c r="AE410" s="50" t="s">
        <v>147</v>
      </c>
      <c r="AF410" s="55">
        <v>2.99</v>
      </c>
      <c r="AG410" s="55">
        <v>354</v>
      </c>
      <c r="AH410" s="55">
        <v>1258</v>
      </c>
      <c r="AI410" s="55" t="str">
        <f t="shared" si="103"/>
        <v xml:space="preserve"> </v>
      </c>
      <c r="AJ410" s="53">
        <v>234.5</v>
      </c>
      <c r="AK410" s="53">
        <f t="shared" si="104"/>
        <v>1.4229850746268657</v>
      </c>
      <c r="AL410" s="53">
        <f t="shared" si="99"/>
        <v>333.69</v>
      </c>
      <c r="AM410" s="50" t="s">
        <v>190</v>
      </c>
      <c r="AN410" s="56" t="s">
        <v>222</v>
      </c>
      <c r="AO410" s="66"/>
      <c r="AP410" s="58" t="s">
        <v>2203</v>
      </c>
      <c r="AQ410" s="58" t="s">
        <v>238</v>
      </c>
      <c r="AR410" s="75">
        <v>52475</v>
      </c>
      <c r="AS410" s="58" t="s">
        <v>2204</v>
      </c>
      <c r="AT410" s="50"/>
      <c r="AU410" s="1"/>
      <c r="AV410" s="1"/>
      <c r="AW410" s="1"/>
      <c r="AX410" s="1"/>
      <c r="AY410" s="1"/>
      <c r="AZ410" s="1"/>
      <c r="BA410" s="1"/>
      <c r="BB410" s="1"/>
      <c r="BC410" s="1"/>
      <c r="BD410" s="1"/>
      <c r="BE410" s="1"/>
      <c r="BF410" s="1"/>
      <c r="BG410" s="1"/>
    </row>
    <row r="411" spans="1:59" ht="14.25" customHeight="1" x14ac:dyDescent="0.25">
      <c r="A411" s="1"/>
      <c r="B411" s="50"/>
      <c r="C411" s="50" t="s">
        <v>2211</v>
      </c>
      <c r="D411" s="50" t="s">
        <v>2212</v>
      </c>
      <c r="E411" s="50" t="str">
        <f t="shared" si="82"/>
        <v>PP0200530004001B</v>
      </c>
      <c r="F411" s="50"/>
      <c r="G411" s="50" t="s">
        <v>2197</v>
      </c>
      <c r="H411" s="50" t="s">
        <v>2213</v>
      </c>
      <c r="I411" s="50" t="s">
        <v>2214</v>
      </c>
      <c r="J411" s="50" t="s">
        <v>2215</v>
      </c>
      <c r="K411" s="50" t="s">
        <v>2216</v>
      </c>
      <c r="L411" s="50" t="s">
        <v>2217</v>
      </c>
      <c r="M411" s="50"/>
      <c r="N411" s="52"/>
      <c r="O411" s="50" t="s">
        <v>118</v>
      </c>
      <c r="P411" s="50">
        <v>1152</v>
      </c>
      <c r="Q411" s="53">
        <v>0</v>
      </c>
      <c r="R411" s="53">
        <f t="shared" si="84"/>
        <v>1152</v>
      </c>
      <c r="S411" s="54">
        <v>2.69</v>
      </c>
      <c r="T411" s="54">
        <v>0</v>
      </c>
      <c r="U411" s="54">
        <f t="shared" si="85"/>
        <v>2.69</v>
      </c>
      <c r="V411" s="54">
        <v>10.01</v>
      </c>
      <c r="W411" s="52">
        <f t="shared" si="93"/>
        <v>10</v>
      </c>
      <c r="X411" s="54">
        <f t="shared" si="86"/>
        <v>3.7211895910780668</v>
      </c>
      <c r="Y411" s="50" t="str">
        <f t="shared" si="87"/>
        <v>è in grado</v>
      </c>
      <c r="Z411" s="50" t="str">
        <f t="shared" si="88"/>
        <v>non sottende</v>
      </c>
      <c r="AA411" s="106">
        <f t="shared" si="89"/>
        <v>1.0009999999999999</v>
      </c>
      <c r="AB411" s="50" t="str">
        <f t="shared" si="90"/>
        <v>B</v>
      </c>
      <c r="AC411" s="50" t="str">
        <f t="shared" si="83"/>
        <v>SI</v>
      </c>
      <c r="AD411" s="50" t="str">
        <f t="shared" si="91"/>
        <v>No</v>
      </c>
      <c r="AE411" s="50" t="s">
        <v>343</v>
      </c>
      <c r="AF411" s="55">
        <v>31.78</v>
      </c>
      <c r="AG411" s="55">
        <v>2699</v>
      </c>
      <c r="AH411" s="55">
        <v>169</v>
      </c>
      <c r="AI411" s="55" t="str">
        <f t="shared" si="103"/>
        <v>Manufatto limitante</v>
      </c>
      <c r="AJ411" s="53">
        <v>9.6999999999999993</v>
      </c>
      <c r="AK411" s="53">
        <f t="shared" si="104"/>
        <v>16.390721649484536</v>
      </c>
      <c r="AL411" s="53">
        <f t="shared" si="99"/>
        <v>158.99</v>
      </c>
      <c r="AM411" s="50" t="s">
        <v>147</v>
      </c>
      <c r="AN411" s="56" t="s">
        <v>236</v>
      </c>
      <c r="AO411" s="57">
        <v>46861</v>
      </c>
      <c r="AP411" s="58" t="s">
        <v>2218</v>
      </c>
      <c r="AQ411" s="58" t="s">
        <v>255</v>
      </c>
      <c r="AR411" s="58" t="s">
        <v>225</v>
      </c>
      <c r="AS411" s="64" t="s">
        <v>92</v>
      </c>
      <c r="AT411" s="64"/>
      <c r="AU411" s="1"/>
      <c r="AV411" s="1"/>
      <c r="AW411" s="1"/>
      <c r="AX411" s="1"/>
      <c r="AY411" s="1"/>
      <c r="AZ411" s="1"/>
      <c r="BA411" s="1"/>
      <c r="BB411" s="1"/>
      <c r="BC411" s="1"/>
      <c r="BD411" s="1"/>
      <c r="BE411" s="1"/>
      <c r="BF411" s="1"/>
      <c r="BG411" s="1"/>
    </row>
    <row r="412" spans="1:59" ht="14.25" customHeight="1" x14ac:dyDescent="0.25">
      <c r="A412" s="1"/>
      <c r="B412" s="50"/>
      <c r="C412" s="50" t="s">
        <v>2219</v>
      </c>
      <c r="D412" s="50" t="s">
        <v>2220</v>
      </c>
      <c r="E412" s="50" t="str">
        <f t="shared" si="82"/>
        <v>PP0200530001001B</v>
      </c>
      <c r="F412" s="50" t="s">
        <v>2221</v>
      </c>
      <c r="G412" s="50" t="s">
        <v>2197</v>
      </c>
      <c r="H412" s="50" t="s">
        <v>2222</v>
      </c>
      <c r="I412" s="50" t="s">
        <v>2223</v>
      </c>
      <c r="J412" s="50" t="s">
        <v>2224</v>
      </c>
      <c r="K412" s="50" t="s">
        <v>2225</v>
      </c>
      <c r="L412" s="50" t="s">
        <v>2226</v>
      </c>
      <c r="M412" s="50"/>
      <c r="N412" s="52"/>
      <c r="O412" s="50" t="s">
        <v>151</v>
      </c>
      <c r="P412" s="50">
        <v>60</v>
      </c>
      <c r="Q412" s="53">
        <v>0</v>
      </c>
      <c r="R412" s="53">
        <f t="shared" si="84"/>
        <v>60</v>
      </c>
      <c r="S412" s="54">
        <v>0.14000000000000001</v>
      </c>
      <c r="T412" s="54">
        <v>0</v>
      </c>
      <c r="U412" s="54">
        <f t="shared" si="85"/>
        <v>0.14000000000000001</v>
      </c>
      <c r="V412" s="54">
        <v>20.05</v>
      </c>
      <c r="W412" s="52">
        <f t="shared" si="93"/>
        <v>0.52083333333333337</v>
      </c>
      <c r="X412" s="54">
        <f t="shared" si="86"/>
        <v>143.21428571428569</v>
      </c>
      <c r="Y412" s="50" t="str">
        <f t="shared" si="87"/>
        <v>è in grado</v>
      </c>
      <c r="Z412" s="50" t="str">
        <f t="shared" si="88"/>
        <v>non sottende</v>
      </c>
      <c r="AA412" s="106">
        <f t="shared" si="89"/>
        <v>38.495999999999995</v>
      </c>
      <c r="AB412" s="50" t="str">
        <f t="shared" si="90"/>
        <v>A</v>
      </c>
      <c r="AC412" s="50" t="str">
        <f t="shared" si="83"/>
        <v>SI</v>
      </c>
      <c r="AD412" s="50" t="str">
        <f t="shared" si="91"/>
        <v>Si</v>
      </c>
      <c r="AE412" s="50" t="s">
        <v>147</v>
      </c>
      <c r="AF412" s="55">
        <v>4.7300000000000004</v>
      </c>
      <c r="AG412" s="55">
        <v>453</v>
      </c>
      <c r="AH412" s="55">
        <v>530</v>
      </c>
      <c r="AI412" s="55" t="str">
        <f t="shared" si="103"/>
        <v xml:space="preserve"> </v>
      </c>
      <c r="AJ412" s="53">
        <v>216.33</v>
      </c>
      <c r="AK412" s="53">
        <f t="shared" si="104"/>
        <v>2.0013405445384365</v>
      </c>
      <c r="AL412" s="53">
        <f t="shared" si="99"/>
        <v>432.95</v>
      </c>
      <c r="AM412" s="50" t="s">
        <v>190</v>
      </c>
      <c r="AN412" s="56" t="s">
        <v>236</v>
      </c>
      <c r="AO412" s="57">
        <v>46956</v>
      </c>
      <c r="AP412" s="58" t="s">
        <v>2227</v>
      </c>
      <c r="AQ412" s="58" t="s">
        <v>238</v>
      </c>
      <c r="AR412" s="75">
        <v>49188</v>
      </c>
      <c r="AS412" s="58" t="s">
        <v>2228</v>
      </c>
      <c r="AT412" s="64"/>
      <c r="AU412" s="1"/>
      <c r="AV412" s="1"/>
      <c r="AW412" s="1"/>
      <c r="AX412" s="1"/>
      <c r="AY412" s="1"/>
      <c r="AZ412" s="1"/>
      <c r="BA412" s="1"/>
      <c r="BB412" s="1"/>
      <c r="BC412" s="1"/>
      <c r="BD412" s="1"/>
      <c r="BE412" s="1"/>
      <c r="BF412" s="1"/>
      <c r="BG412" s="1"/>
    </row>
    <row r="413" spans="1:59" ht="14.25" customHeight="1" x14ac:dyDescent="0.25">
      <c r="A413" s="1"/>
      <c r="B413" s="50"/>
      <c r="C413" s="50" t="s">
        <v>2229</v>
      </c>
      <c r="D413" s="50" t="s">
        <v>2230</v>
      </c>
      <c r="E413" s="50" t="str">
        <f t="shared" si="82"/>
        <v>PP0200530006001B</v>
      </c>
      <c r="F413" s="50"/>
      <c r="G413" s="50" t="s">
        <v>2197</v>
      </c>
      <c r="H413" s="50" t="s">
        <v>2231</v>
      </c>
      <c r="I413" s="50" t="s">
        <v>2232</v>
      </c>
      <c r="J413" s="50" t="s">
        <v>2233</v>
      </c>
      <c r="K413" s="50" t="s">
        <v>2234</v>
      </c>
      <c r="L413" s="50" t="s">
        <v>2235</v>
      </c>
      <c r="M413" s="50"/>
      <c r="N413" s="52"/>
      <c r="O413" s="50" t="s">
        <v>118</v>
      </c>
      <c r="P413" s="147">
        <v>2153</v>
      </c>
      <c r="Q413" s="53">
        <v>14</v>
      </c>
      <c r="R413" s="53">
        <f t="shared" si="84"/>
        <v>2167</v>
      </c>
      <c r="S413" s="54">
        <v>5.0599999999999996</v>
      </c>
      <c r="T413" s="54">
        <v>0.14000000000000001</v>
      </c>
      <c r="U413" s="54">
        <f t="shared" si="85"/>
        <v>5.1999999999999993</v>
      </c>
      <c r="V413" s="54">
        <v>22.4</v>
      </c>
      <c r="W413" s="52">
        <f t="shared" si="93"/>
        <v>18.810763888888889</v>
      </c>
      <c r="X413" s="54">
        <f t="shared" si="86"/>
        <v>4.3076923076923084</v>
      </c>
      <c r="Y413" s="50" t="str">
        <f t="shared" si="87"/>
        <v>è in grado</v>
      </c>
      <c r="Z413" s="50" t="str">
        <f t="shared" si="88"/>
        <v>non sottende</v>
      </c>
      <c r="AA413" s="106">
        <f t="shared" si="89"/>
        <v>1.1908075680664512</v>
      </c>
      <c r="AB413" s="50" t="str">
        <f t="shared" si="90"/>
        <v>B</v>
      </c>
      <c r="AC413" s="50" t="str">
        <f t="shared" si="83"/>
        <v>SI</v>
      </c>
      <c r="AD413" s="50" t="str">
        <f t="shared" si="91"/>
        <v>Si</v>
      </c>
      <c r="AE413" s="50" t="s">
        <v>343</v>
      </c>
      <c r="AF413" s="55">
        <v>100.88</v>
      </c>
      <c r="AG413" s="55">
        <v>5701</v>
      </c>
      <c r="AH413" s="55">
        <v>8210</v>
      </c>
      <c r="AI413" s="55" t="str">
        <f t="shared" si="103"/>
        <v xml:space="preserve"> </v>
      </c>
      <c r="AJ413" s="53">
        <v>118.79</v>
      </c>
      <c r="AK413" s="53">
        <f t="shared" si="104"/>
        <v>47.80368717905548</v>
      </c>
      <c r="AL413" s="53">
        <f t="shared" si="99"/>
        <v>5678.6</v>
      </c>
      <c r="AM413" s="50" t="s">
        <v>190</v>
      </c>
      <c r="AN413" s="56" t="s">
        <v>236</v>
      </c>
      <c r="AO413" s="67">
        <v>46340</v>
      </c>
      <c r="AP413" s="58" t="s">
        <v>2236</v>
      </c>
      <c r="AQ413" s="58" t="s">
        <v>238</v>
      </c>
      <c r="AR413" s="58">
        <f>2026+19</f>
        <v>2045</v>
      </c>
      <c r="AS413" s="58" t="s">
        <v>2237</v>
      </c>
      <c r="AT413" s="64"/>
      <c r="AU413" s="1"/>
      <c r="AV413" s="1"/>
      <c r="AW413" s="1"/>
      <c r="AX413" s="1"/>
      <c r="AY413" s="1"/>
      <c r="AZ413" s="1"/>
      <c r="BA413" s="1"/>
      <c r="BB413" s="1"/>
      <c r="BC413" s="1"/>
      <c r="BD413" s="1"/>
      <c r="BE413" s="1"/>
      <c r="BF413" s="1"/>
      <c r="BG413" s="1"/>
    </row>
    <row r="414" spans="1:59" ht="14.25" customHeight="1" x14ac:dyDescent="0.25">
      <c r="A414" s="1"/>
      <c r="B414" s="68"/>
      <c r="C414" s="50" t="s">
        <v>2238</v>
      </c>
      <c r="D414" s="50" t="s">
        <v>2239</v>
      </c>
      <c r="E414" s="50" t="str">
        <f t="shared" si="82"/>
        <v>PP0200530003001B</v>
      </c>
      <c r="F414" s="50"/>
      <c r="G414" s="50" t="s">
        <v>2197</v>
      </c>
      <c r="H414" s="50" t="s">
        <v>95</v>
      </c>
      <c r="I414" s="50" t="s">
        <v>2240</v>
      </c>
      <c r="J414" s="50" t="s">
        <v>2241</v>
      </c>
      <c r="K414" s="50" t="s">
        <v>2201</v>
      </c>
      <c r="L414" s="50" t="s">
        <v>2242</v>
      </c>
      <c r="M414" s="50" t="s">
        <v>286</v>
      </c>
      <c r="N414" s="52"/>
      <c r="O414" s="50" t="s">
        <v>118</v>
      </c>
      <c r="P414" s="50">
        <v>4476</v>
      </c>
      <c r="Q414" s="53">
        <v>12</v>
      </c>
      <c r="R414" s="53">
        <f t="shared" si="84"/>
        <v>4488</v>
      </c>
      <c r="S414" s="54">
        <v>10.53</v>
      </c>
      <c r="T414" s="54">
        <v>0.21</v>
      </c>
      <c r="U414" s="54">
        <f t="shared" si="85"/>
        <v>10.74</v>
      </c>
      <c r="V414" s="54">
        <v>40</v>
      </c>
      <c r="W414" s="52">
        <f t="shared" si="93"/>
        <v>38.958333333333336</v>
      </c>
      <c r="X414" s="54">
        <f t="shared" si="86"/>
        <v>3.7243947858472999</v>
      </c>
      <c r="Y414" s="50" t="str">
        <f t="shared" si="87"/>
        <v>è in grado</v>
      </c>
      <c r="Z414" s="50" t="str">
        <f t="shared" si="88"/>
        <v>non sottende</v>
      </c>
      <c r="AA414" s="106">
        <f t="shared" si="89"/>
        <v>1.0267379679144384</v>
      </c>
      <c r="AB414" s="50" t="str">
        <f t="shared" si="90"/>
        <v>B</v>
      </c>
      <c r="AC414" s="50" t="str">
        <f t="shared" si="83"/>
        <v>SI</v>
      </c>
      <c r="AD414" s="50" t="str">
        <f t="shared" si="91"/>
        <v>Si</v>
      </c>
      <c r="AE414" s="50" t="s">
        <v>343</v>
      </c>
      <c r="AF414" s="55">
        <v>50.37</v>
      </c>
      <c r="AG414" s="55">
        <v>4205</v>
      </c>
      <c r="AH414" s="55">
        <v>1574</v>
      </c>
      <c r="AI414" s="55" t="str">
        <f t="shared" si="103"/>
        <v>Manufatto limitante</v>
      </c>
      <c r="AJ414" s="53">
        <v>55.44</v>
      </c>
      <c r="AK414" s="53">
        <f t="shared" si="104"/>
        <v>27.669552669552672</v>
      </c>
      <c r="AL414" s="53">
        <f t="shared" si="99"/>
        <v>1534</v>
      </c>
      <c r="AM414" s="50" t="s">
        <v>190</v>
      </c>
      <c r="AN414" s="56" t="s">
        <v>236</v>
      </c>
      <c r="AO414" s="66"/>
      <c r="AP414" s="58" t="s">
        <v>2203</v>
      </c>
      <c r="AQ414" s="58" t="s">
        <v>238</v>
      </c>
      <c r="AR414" s="75">
        <v>52475</v>
      </c>
      <c r="AS414" s="58" t="s">
        <v>2204</v>
      </c>
      <c r="AT414" s="50"/>
      <c r="AU414" s="1"/>
      <c r="AV414" s="1"/>
      <c r="AW414" s="1"/>
      <c r="AX414" s="1"/>
      <c r="AY414" s="1"/>
      <c r="AZ414" s="1"/>
      <c r="BA414" s="1"/>
      <c r="BB414" s="1"/>
      <c r="BC414" s="1"/>
      <c r="BD414" s="1"/>
      <c r="BE414" s="1"/>
      <c r="BF414" s="1"/>
      <c r="BG414" s="1"/>
    </row>
    <row r="415" spans="1:59" ht="14.25" customHeight="1" x14ac:dyDescent="0.25">
      <c r="A415" s="1"/>
      <c r="B415" s="59"/>
      <c r="C415" s="7" t="s">
        <v>2243</v>
      </c>
      <c r="D415" s="50"/>
      <c r="E415" s="50" t="str">
        <f t="shared" si="82"/>
        <v>001B</v>
      </c>
      <c r="F415" s="50" t="s">
        <v>2244</v>
      </c>
      <c r="G415" s="50" t="s">
        <v>2245</v>
      </c>
      <c r="H415" s="50" t="s">
        <v>95</v>
      </c>
      <c r="I415" s="50" t="s">
        <v>2246</v>
      </c>
      <c r="J415" s="50" t="s">
        <v>2247</v>
      </c>
      <c r="K415" s="50" t="s">
        <v>2248</v>
      </c>
      <c r="L415" s="50" t="s">
        <v>2249</v>
      </c>
      <c r="M415" s="50"/>
      <c r="N415" s="52"/>
      <c r="O415" s="50" t="s">
        <v>159</v>
      </c>
      <c r="P415" s="50">
        <v>1012</v>
      </c>
      <c r="Q415" s="53">
        <v>47.9</v>
      </c>
      <c r="R415" s="53">
        <f t="shared" si="84"/>
        <v>1059.9000000000001</v>
      </c>
      <c r="S415" s="54">
        <v>2.38</v>
      </c>
      <c r="T415" s="54">
        <v>4.3600000000000003</v>
      </c>
      <c r="U415" s="54">
        <f t="shared" si="85"/>
        <v>6.74</v>
      </c>
      <c r="V415" s="54">
        <v>50</v>
      </c>
      <c r="W415" s="52">
        <f t="shared" si="93"/>
        <v>15.86</v>
      </c>
      <c r="X415" s="54">
        <f t="shared" si="86"/>
        <v>7.4183976261127595</v>
      </c>
      <c r="Y415" s="50" t="str">
        <f t="shared" si="87"/>
        <v>è in grado</v>
      </c>
      <c r="Z415" s="50" t="str">
        <f t="shared" si="88"/>
        <v>non sottende</v>
      </c>
      <c r="AA415" s="106">
        <f t="shared" si="89"/>
        <v>3.1525851197982346</v>
      </c>
      <c r="AB415" s="50" t="str">
        <f t="shared" si="90"/>
        <v>A</v>
      </c>
      <c r="AC415" s="50" t="str">
        <f t="shared" si="83"/>
        <v>SI</v>
      </c>
      <c r="AD415" s="50" t="str">
        <f t="shared" si="91"/>
        <v>Si</v>
      </c>
      <c r="AE415" s="50" t="s">
        <v>147</v>
      </c>
      <c r="AF415" s="55">
        <v>16.39</v>
      </c>
      <c r="AG415" s="55">
        <v>1653</v>
      </c>
      <c r="AH415" s="55">
        <v>4324</v>
      </c>
      <c r="AI415" s="55" t="str">
        <f t="shared" si="103"/>
        <v xml:space="preserve"> </v>
      </c>
      <c r="AJ415" s="53">
        <v>172.27</v>
      </c>
      <c r="AK415" s="53">
        <f t="shared" si="104"/>
        <v>9.3051605038602183</v>
      </c>
      <c r="AL415" s="53">
        <f t="shared" si="99"/>
        <v>1603</v>
      </c>
      <c r="AM415" s="50" t="s">
        <v>190</v>
      </c>
      <c r="AN415" s="56" t="s">
        <v>222</v>
      </c>
      <c r="AO415" s="66"/>
      <c r="AP415" s="58" t="s">
        <v>723</v>
      </c>
      <c r="AQ415" s="58" t="s">
        <v>445</v>
      </c>
      <c r="AR415" s="58" t="s">
        <v>544</v>
      </c>
      <c r="AS415" s="58"/>
      <c r="AT415" s="64"/>
      <c r="AU415" s="1"/>
      <c r="AV415" s="1"/>
      <c r="AW415" s="1"/>
      <c r="AX415" s="1"/>
      <c r="AY415" s="1"/>
      <c r="AZ415" s="1"/>
      <c r="BA415" s="1"/>
      <c r="BB415" s="1"/>
      <c r="BC415" s="1"/>
      <c r="BD415" s="1"/>
      <c r="BE415" s="1"/>
      <c r="BF415" s="1"/>
      <c r="BG415" s="1"/>
    </row>
    <row r="416" spans="1:59" ht="14.25" customHeight="1" x14ac:dyDescent="0.25">
      <c r="A416" s="1"/>
      <c r="B416" s="68"/>
      <c r="C416" s="148" t="s">
        <v>2250</v>
      </c>
      <c r="D416" s="148"/>
      <c r="E416" s="148" t="str">
        <f t="shared" si="82"/>
        <v>001B</v>
      </c>
      <c r="F416" s="148" t="s">
        <v>2251</v>
      </c>
      <c r="G416" s="148" t="s">
        <v>2245</v>
      </c>
      <c r="H416" s="148" t="s">
        <v>2252</v>
      </c>
      <c r="I416" s="148"/>
      <c r="J416" s="148" t="s">
        <v>2253</v>
      </c>
      <c r="K416" s="148" t="s">
        <v>2252</v>
      </c>
      <c r="L416" s="148"/>
      <c r="M416" s="148"/>
      <c r="N416" s="52"/>
      <c r="O416" s="148"/>
      <c r="P416" s="148"/>
      <c r="Q416" s="149"/>
      <c r="R416" s="148"/>
      <c r="S416" s="150"/>
      <c r="T416" s="150"/>
      <c r="U416" s="150"/>
      <c r="V416" s="150"/>
      <c r="W416" s="52">
        <f t="shared" si="93"/>
        <v>0</v>
      </c>
      <c r="X416" s="150"/>
      <c r="Y416" s="148"/>
      <c r="Z416" s="148"/>
      <c r="AA416" s="151"/>
      <c r="AB416" s="148"/>
      <c r="AC416" s="50" t="str">
        <f t="shared" si="83"/>
        <v>NO</v>
      </c>
      <c r="AD416" s="148"/>
      <c r="AE416" s="148"/>
      <c r="AF416" s="148"/>
      <c r="AG416" s="148"/>
      <c r="AH416" s="148"/>
      <c r="AI416" s="148" t="str">
        <f t="shared" si="103"/>
        <v xml:space="preserve"> </v>
      </c>
      <c r="AJ416" s="149"/>
      <c r="AK416" s="149" t="e">
        <f t="shared" si="104"/>
        <v>#DIV/0!</v>
      </c>
      <c r="AL416" s="53">
        <f t="shared" si="99"/>
        <v>0</v>
      </c>
      <c r="AM416" s="148"/>
      <c r="AN416" s="56" t="s">
        <v>532</v>
      </c>
      <c r="AO416" s="152"/>
      <c r="AP416" s="153" t="s">
        <v>723</v>
      </c>
      <c r="AQ416" s="153"/>
      <c r="AR416" s="153"/>
      <c r="AS416" s="153"/>
      <c r="AT416" s="148"/>
      <c r="AU416" s="154"/>
      <c r="AV416" s="154"/>
      <c r="AW416" s="154"/>
      <c r="AX416" s="154"/>
      <c r="AY416" s="154"/>
      <c r="AZ416" s="154"/>
      <c r="BA416" s="154"/>
      <c r="BB416" s="154"/>
      <c r="BC416" s="154"/>
      <c r="BD416" s="154"/>
      <c r="BE416" s="154"/>
      <c r="BF416" s="1"/>
      <c r="BG416" s="1"/>
    </row>
    <row r="417" spans="1:59" ht="14.25" customHeight="1" x14ac:dyDescent="0.25">
      <c r="A417" s="1"/>
      <c r="B417" s="68"/>
      <c r="C417" s="7" t="s">
        <v>2254</v>
      </c>
      <c r="D417" s="50"/>
      <c r="E417" s="50" t="str">
        <f t="shared" si="82"/>
        <v>001B</v>
      </c>
      <c r="F417" s="50" t="s">
        <v>2255</v>
      </c>
      <c r="G417" s="50" t="s">
        <v>2245</v>
      </c>
      <c r="H417" s="50" t="s">
        <v>95</v>
      </c>
      <c r="I417" s="50" t="s">
        <v>2256</v>
      </c>
      <c r="J417" s="50" t="s">
        <v>2257</v>
      </c>
      <c r="K417" s="50" t="s">
        <v>2248</v>
      </c>
      <c r="L417" s="50" t="s">
        <v>2258</v>
      </c>
      <c r="M417" s="50"/>
      <c r="N417" s="52"/>
      <c r="O417" s="50" t="s">
        <v>151</v>
      </c>
      <c r="P417" s="50">
        <v>42</v>
      </c>
      <c r="Q417" s="53">
        <v>0</v>
      </c>
      <c r="R417" s="53">
        <f t="shared" ref="R417:R418" si="105">P417+Q417</f>
        <v>42</v>
      </c>
      <c r="S417" s="54">
        <v>0.1</v>
      </c>
      <c r="T417" s="54">
        <v>0</v>
      </c>
      <c r="U417" s="54">
        <f t="shared" ref="U417:U418" si="106">T417+S417</f>
        <v>0.1</v>
      </c>
      <c r="V417" s="54">
        <v>5.57</v>
      </c>
      <c r="W417" s="52">
        <f t="shared" si="93"/>
        <v>0.36458333333333331</v>
      </c>
      <c r="X417" s="54">
        <f t="shared" ref="X417:X418" si="107">V417/U417</f>
        <v>55.7</v>
      </c>
      <c r="Y417" s="50" t="str">
        <f t="shared" ref="Y417:Y418" si="108">IF(V417&gt;W417, "è in grado", "non è in grado")</f>
        <v>è in grado</v>
      </c>
      <c r="Z417" s="50" t="str">
        <f t="shared" ref="Z417:Z418" si="109">IF(R417&gt;10000, "sottende", "non sottende")</f>
        <v>non sottende</v>
      </c>
      <c r="AA417" s="106">
        <f t="shared" ref="AA417:AA418" si="110">V417/W417</f>
        <v>15.277714285714287</v>
      </c>
      <c r="AB417" s="50" t="str">
        <f t="shared" ref="AB417:AB418" si="111">IF(R417&gt;10000, "B", IF(AA417&gt;=2, "A", "B"))</f>
        <v>A</v>
      </c>
      <c r="AC417" s="50" t="str">
        <f t="shared" si="83"/>
        <v>NO</v>
      </c>
      <c r="AD417" s="50" t="str">
        <f t="shared" ref="AD417:AD418" si="112">IF(V417&gt;20, "Si", "No")</f>
        <v>No</v>
      </c>
      <c r="AE417" s="50" t="s">
        <v>147</v>
      </c>
      <c r="AF417" s="55">
        <v>0</v>
      </c>
      <c r="AG417" s="55">
        <v>41</v>
      </c>
      <c r="AH417" s="55">
        <v>219</v>
      </c>
      <c r="AI417" s="55" t="str">
        <f t="shared" si="103"/>
        <v xml:space="preserve"> </v>
      </c>
      <c r="AJ417" s="53">
        <v>27.11</v>
      </c>
      <c r="AK417" s="53">
        <f t="shared" si="104"/>
        <v>1.3068978236812985</v>
      </c>
      <c r="AL417" s="53">
        <f t="shared" si="99"/>
        <v>35.43</v>
      </c>
      <c r="AM417" s="50" t="s">
        <v>147</v>
      </c>
      <c r="AN417" s="56" t="s">
        <v>222</v>
      </c>
      <c r="AO417" s="66"/>
      <c r="AP417" s="58" t="s">
        <v>723</v>
      </c>
      <c r="AQ417" s="58" t="s">
        <v>255</v>
      </c>
      <c r="AR417" s="58" t="s">
        <v>626</v>
      </c>
      <c r="AS417" s="58"/>
      <c r="AT417" s="64"/>
      <c r="AU417" s="69"/>
      <c r="AV417" s="69"/>
      <c r="AW417" s="69"/>
      <c r="AX417" s="69"/>
      <c r="AY417" s="69"/>
      <c r="AZ417" s="69"/>
      <c r="BA417" s="69"/>
      <c r="BB417" s="69"/>
      <c r="BC417" s="69"/>
      <c r="BD417" s="69"/>
      <c r="BE417" s="69"/>
      <c r="BF417" s="1"/>
      <c r="BG417" s="1"/>
    </row>
    <row r="418" spans="1:59" ht="14.25" customHeight="1" x14ac:dyDescent="0.25">
      <c r="A418" s="1"/>
      <c r="B418" s="155"/>
      <c r="C418" s="70" t="s">
        <v>2259</v>
      </c>
      <c r="D418" s="50"/>
      <c r="E418" s="50" t="str">
        <f t="shared" si="82"/>
        <v>001B</v>
      </c>
      <c r="F418" s="70" t="s">
        <v>2260</v>
      </c>
      <c r="G418" s="70" t="s">
        <v>2245</v>
      </c>
      <c r="H418" s="70" t="s">
        <v>95</v>
      </c>
      <c r="I418" s="70" t="s">
        <v>2256</v>
      </c>
      <c r="J418" s="50" t="s">
        <v>2261</v>
      </c>
      <c r="K418" s="70" t="s">
        <v>2248</v>
      </c>
      <c r="L418" s="70" t="s">
        <v>2258</v>
      </c>
      <c r="M418" s="70"/>
      <c r="N418" s="72"/>
      <c r="O418" s="70" t="s">
        <v>151</v>
      </c>
      <c r="P418" s="70">
        <v>42</v>
      </c>
      <c r="Q418" s="73">
        <v>0</v>
      </c>
      <c r="R418" s="73">
        <f t="shared" si="105"/>
        <v>42</v>
      </c>
      <c r="S418" s="74">
        <v>0.1</v>
      </c>
      <c r="T418" s="74">
        <v>0</v>
      </c>
      <c r="U418" s="74">
        <f t="shared" si="106"/>
        <v>0.1</v>
      </c>
      <c r="V418" s="74">
        <v>41.36</v>
      </c>
      <c r="W418" s="52">
        <f t="shared" si="93"/>
        <v>0.36458333333333331</v>
      </c>
      <c r="X418" s="74">
        <f t="shared" si="107"/>
        <v>413.59999999999997</v>
      </c>
      <c r="Y418" s="70" t="str">
        <f t="shared" si="108"/>
        <v>è in grado</v>
      </c>
      <c r="Z418" s="70" t="str">
        <f t="shared" si="109"/>
        <v>non sottende</v>
      </c>
      <c r="AA418" s="112">
        <f t="shared" si="110"/>
        <v>113.44457142857144</v>
      </c>
      <c r="AB418" s="70" t="str">
        <f t="shared" si="111"/>
        <v>A</v>
      </c>
      <c r="AC418" s="50" t="str">
        <f t="shared" si="83"/>
        <v>SI</v>
      </c>
      <c r="AD418" s="70" t="str">
        <f t="shared" si="112"/>
        <v>Si</v>
      </c>
      <c r="AE418" s="70" t="s">
        <v>147</v>
      </c>
      <c r="AF418" s="71">
        <v>2.08</v>
      </c>
      <c r="AG418" s="71">
        <v>346</v>
      </c>
      <c r="AH418" s="71">
        <v>1101</v>
      </c>
      <c r="AI418" s="55" t="str">
        <f t="shared" si="103"/>
        <v xml:space="preserve"> </v>
      </c>
      <c r="AJ418" s="73">
        <v>231.04</v>
      </c>
      <c r="AK418" s="53">
        <f t="shared" si="104"/>
        <v>1.3185595567867037</v>
      </c>
      <c r="AL418" s="53">
        <f t="shared" si="99"/>
        <v>304.64</v>
      </c>
      <c r="AM418" s="70" t="s">
        <v>190</v>
      </c>
      <c r="AN418" s="56" t="s">
        <v>222</v>
      </c>
      <c r="AO418" s="143"/>
      <c r="AP418" s="58" t="s">
        <v>723</v>
      </c>
      <c r="AQ418" s="58" t="s">
        <v>255</v>
      </c>
      <c r="AR418" s="58" t="s">
        <v>626</v>
      </c>
      <c r="AS418" s="58"/>
      <c r="AT418" s="64"/>
      <c r="AU418" s="1"/>
      <c r="AV418" s="1"/>
      <c r="AW418" s="1"/>
      <c r="AX418" s="1"/>
      <c r="AY418" s="1"/>
      <c r="AZ418" s="1"/>
      <c r="BA418" s="1"/>
      <c r="BB418" s="1"/>
      <c r="BC418" s="1"/>
      <c r="BD418" s="1"/>
      <c r="BE418" s="1"/>
      <c r="BF418" s="1"/>
      <c r="BG418" s="1"/>
    </row>
    <row r="419" spans="1:59" ht="14.25" customHeight="1" x14ac:dyDescent="0.25">
      <c r="A419" s="1"/>
      <c r="B419" s="59"/>
      <c r="C419" s="148" t="s">
        <v>2262</v>
      </c>
      <c r="D419" s="148"/>
      <c r="E419" s="148" t="str">
        <f t="shared" si="82"/>
        <v>001B</v>
      </c>
      <c r="F419" s="148" t="s">
        <v>2263</v>
      </c>
      <c r="G419" s="148" t="s">
        <v>2245</v>
      </c>
      <c r="H419" s="148" t="s">
        <v>2252</v>
      </c>
      <c r="I419" s="148"/>
      <c r="J419" s="148" t="s">
        <v>2264</v>
      </c>
      <c r="K419" s="148" t="s">
        <v>2252</v>
      </c>
      <c r="L419" s="148"/>
      <c r="M419" s="148"/>
      <c r="N419" s="52"/>
      <c r="O419" s="148"/>
      <c r="P419" s="148"/>
      <c r="Q419" s="149"/>
      <c r="R419" s="148"/>
      <c r="S419" s="150"/>
      <c r="T419" s="150"/>
      <c r="U419" s="150"/>
      <c r="V419" s="150"/>
      <c r="W419" s="52">
        <f t="shared" si="93"/>
        <v>0</v>
      </c>
      <c r="X419" s="150"/>
      <c r="Y419" s="148"/>
      <c r="Z419" s="148"/>
      <c r="AA419" s="151"/>
      <c r="AB419" s="148"/>
      <c r="AC419" s="50" t="str">
        <f t="shared" si="83"/>
        <v>NO</v>
      </c>
      <c r="AD419" s="148"/>
      <c r="AE419" s="148"/>
      <c r="AF419" s="148"/>
      <c r="AG419" s="148"/>
      <c r="AH419" s="148"/>
      <c r="AI419" s="148" t="str">
        <f t="shared" si="103"/>
        <v xml:space="preserve"> </v>
      </c>
      <c r="AJ419" s="149"/>
      <c r="AK419" s="149" t="e">
        <f t="shared" si="104"/>
        <v>#DIV/0!</v>
      </c>
      <c r="AL419" s="53">
        <f t="shared" si="99"/>
        <v>0</v>
      </c>
      <c r="AM419" s="148"/>
      <c r="AN419" s="56" t="s">
        <v>532</v>
      </c>
      <c r="AO419" s="152"/>
      <c r="AP419" s="153" t="s">
        <v>723</v>
      </c>
      <c r="AQ419" s="153"/>
      <c r="AR419" s="153"/>
      <c r="AS419" s="153"/>
      <c r="AT419" s="148"/>
      <c r="AU419" s="154"/>
      <c r="AV419" s="154"/>
      <c r="AW419" s="154"/>
      <c r="AX419" s="154"/>
      <c r="AY419" s="154"/>
      <c r="AZ419" s="154"/>
      <c r="BA419" s="154"/>
      <c r="BB419" s="154"/>
      <c r="BC419" s="154"/>
      <c r="BD419" s="154"/>
      <c r="BE419" s="154"/>
      <c r="BF419" s="1"/>
      <c r="BG419" s="1"/>
    </row>
    <row r="420" spans="1:59" ht="14.25" customHeight="1" x14ac:dyDescent="0.25">
      <c r="A420" s="1"/>
      <c r="B420" s="68"/>
      <c r="C420" s="50" t="s">
        <v>2265</v>
      </c>
      <c r="D420" s="50"/>
      <c r="E420" s="50" t="str">
        <f t="shared" si="82"/>
        <v>001B</v>
      </c>
      <c r="F420" s="50" t="s">
        <v>2266</v>
      </c>
      <c r="G420" s="50" t="s">
        <v>2245</v>
      </c>
      <c r="H420" s="50" t="s">
        <v>95</v>
      </c>
      <c r="I420" s="50" t="s">
        <v>2267</v>
      </c>
      <c r="J420" s="50" t="s">
        <v>2268</v>
      </c>
      <c r="K420" s="50" t="s">
        <v>2248</v>
      </c>
      <c r="L420" s="50" t="s">
        <v>2258</v>
      </c>
      <c r="M420" s="50"/>
      <c r="N420" s="52"/>
      <c r="O420" s="50" t="s">
        <v>159</v>
      </c>
      <c r="P420" s="50">
        <v>18</v>
      </c>
      <c r="Q420" s="53">
        <v>0</v>
      </c>
      <c r="R420" s="53">
        <f t="shared" ref="R420:R432" si="113">P420+Q420</f>
        <v>18</v>
      </c>
      <c r="S420" s="54">
        <v>0.04</v>
      </c>
      <c r="T420" s="54">
        <v>0</v>
      </c>
      <c r="U420" s="54">
        <f t="shared" ref="U420:U468" si="114">T420+S420</f>
        <v>0.04</v>
      </c>
      <c r="V420" s="54">
        <v>5</v>
      </c>
      <c r="W420" s="52">
        <f t="shared" si="93"/>
        <v>0.15625</v>
      </c>
      <c r="X420" s="54">
        <f t="shared" ref="X420:X426" si="115">V420/U420</f>
        <v>125</v>
      </c>
      <c r="Y420" s="50" t="str">
        <f t="shared" ref="Y420:Y468" si="116">IF(V420&gt;W420, "è in grado", "non è in grado")</f>
        <v>è in grado</v>
      </c>
      <c r="Z420" s="50" t="str">
        <f t="shared" ref="Z420:Z468" si="117">IF(R420&gt;10000, "sottende", "non sottende")</f>
        <v>non sottende</v>
      </c>
      <c r="AA420" s="106">
        <f t="shared" ref="AA420:AA468" si="118">V420/W420</f>
        <v>32</v>
      </c>
      <c r="AB420" s="50" t="str">
        <f t="shared" ref="AB420:AB468" si="119">IF(R420&gt;10000, "B", IF(AA420&gt;=2, "A", "B"))</f>
        <v>A</v>
      </c>
      <c r="AC420" s="50" t="str">
        <f t="shared" si="83"/>
        <v>SI</v>
      </c>
      <c r="AD420" s="50" t="str">
        <f t="shared" ref="AD420:AD468" si="120">IF(V420&gt;20, "Si", "No")</f>
        <v>No</v>
      </c>
      <c r="AE420" s="70" t="s">
        <v>147</v>
      </c>
      <c r="AF420" s="55">
        <v>0.8</v>
      </c>
      <c r="AG420" s="55">
        <v>88</v>
      </c>
      <c r="AH420" s="55">
        <v>1812</v>
      </c>
      <c r="AI420" s="55" t="str">
        <f t="shared" si="103"/>
        <v xml:space="preserve"> </v>
      </c>
      <c r="AJ420" s="53">
        <v>263.49</v>
      </c>
      <c r="AK420" s="53">
        <f t="shared" si="104"/>
        <v>0.31500246688678885</v>
      </c>
      <c r="AL420" s="53">
        <f t="shared" si="99"/>
        <v>83</v>
      </c>
      <c r="AM420" s="70" t="s">
        <v>190</v>
      </c>
      <c r="AN420" s="56" t="s">
        <v>222</v>
      </c>
      <c r="AO420" s="66"/>
      <c r="AP420" s="58" t="s">
        <v>723</v>
      </c>
      <c r="AQ420" s="58" t="s">
        <v>255</v>
      </c>
      <c r="AR420" s="58" t="s">
        <v>626</v>
      </c>
      <c r="AS420" s="58"/>
      <c r="AT420" s="64"/>
      <c r="AU420" s="1"/>
      <c r="AV420" s="1"/>
      <c r="AW420" s="1"/>
      <c r="AX420" s="1"/>
      <c r="AY420" s="1"/>
      <c r="AZ420" s="1"/>
      <c r="BA420" s="1"/>
      <c r="BB420" s="1"/>
      <c r="BC420" s="1"/>
      <c r="BD420" s="1"/>
      <c r="BE420" s="1"/>
      <c r="BF420" s="1"/>
      <c r="BG420" s="1"/>
    </row>
    <row r="421" spans="1:59" ht="14.25" customHeight="1" x14ac:dyDescent="0.25">
      <c r="A421" s="1"/>
      <c r="B421" s="59"/>
      <c r="C421" s="50" t="s">
        <v>2269</v>
      </c>
      <c r="D421" s="50" t="s">
        <v>2270</v>
      </c>
      <c r="E421" s="50" t="str">
        <f t="shared" si="82"/>
        <v>PP0200540004001B</v>
      </c>
      <c r="F421" s="50"/>
      <c r="G421" s="50" t="s">
        <v>2245</v>
      </c>
      <c r="H421" s="50" t="s">
        <v>2271</v>
      </c>
      <c r="I421" s="50" t="s">
        <v>2272</v>
      </c>
      <c r="J421" s="50" t="s">
        <v>2273</v>
      </c>
      <c r="K421" s="50" t="s">
        <v>2274</v>
      </c>
      <c r="L421" s="50" t="s">
        <v>2249</v>
      </c>
      <c r="M421" s="50"/>
      <c r="N421" s="52"/>
      <c r="O421" s="50" t="s">
        <v>151</v>
      </c>
      <c r="P421" s="50">
        <v>441</v>
      </c>
      <c r="Q421" s="53">
        <v>0</v>
      </c>
      <c r="R421" s="53">
        <f t="shared" si="113"/>
        <v>441</v>
      </c>
      <c r="S421" s="54">
        <v>1.04</v>
      </c>
      <c r="T421" s="54">
        <v>0</v>
      </c>
      <c r="U421" s="54">
        <f t="shared" si="114"/>
        <v>1.04</v>
      </c>
      <c r="V421" s="54">
        <v>197.46</v>
      </c>
      <c r="W421" s="52">
        <f t="shared" si="93"/>
        <v>3.828125</v>
      </c>
      <c r="X421" s="54">
        <f t="shared" si="115"/>
        <v>189.86538461538461</v>
      </c>
      <c r="Y421" s="50" t="str">
        <f t="shared" si="116"/>
        <v>è in grado</v>
      </c>
      <c r="Z421" s="50" t="str">
        <f t="shared" si="117"/>
        <v>non sottende</v>
      </c>
      <c r="AA421" s="106">
        <f t="shared" si="118"/>
        <v>51.581387755102043</v>
      </c>
      <c r="AB421" s="50" t="str">
        <f t="shared" si="119"/>
        <v>A</v>
      </c>
      <c r="AC421" s="50" t="str">
        <f t="shared" si="83"/>
        <v>SI</v>
      </c>
      <c r="AD421" s="50" t="str">
        <f t="shared" si="120"/>
        <v>Si</v>
      </c>
      <c r="AE421" s="50" t="s">
        <v>147</v>
      </c>
      <c r="AF421" s="55">
        <v>16.7</v>
      </c>
      <c r="AG421" s="55">
        <v>1628</v>
      </c>
      <c r="AH421" s="55">
        <v>1835</v>
      </c>
      <c r="AI421" s="55" t="str">
        <f t="shared" si="103"/>
        <v xml:space="preserve"> </v>
      </c>
      <c r="AJ421" s="53">
        <v>186.46</v>
      </c>
      <c r="AK421" s="53">
        <f t="shared" si="104"/>
        <v>7.6721012549608494</v>
      </c>
      <c r="AL421" s="53">
        <f t="shared" si="99"/>
        <v>1430.54</v>
      </c>
      <c r="AM421" s="50" t="s">
        <v>190</v>
      </c>
      <c r="AN421" s="56" t="s">
        <v>222</v>
      </c>
      <c r="AO421" s="57">
        <v>45536</v>
      </c>
      <c r="AP421" s="58" t="s">
        <v>2275</v>
      </c>
      <c r="AQ421" s="58" t="s">
        <v>445</v>
      </c>
      <c r="AR421" s="58" t="s">
        <v>239</v>
      </c>
      <c r="AS421" s="64"/>
      <c r="AT421" s="64" t="s">
        <v>2276</v>
      </c>
      <c r="AU421" s="1"/>
      <c r="AV421" s="1"/>
      <c r="AW421" s="1"/>
      <c r="AX421" s="1"/>
      <c r="AY421" s="1"/>
      <c r="AZ421" s="1"/>
      <c r="BA421" s="1"/>
      <c r="BB421" s="1"/>
      <c r="BC421" s="1"/>
      <c r="BD421" s="1"/>
      <c r="BE421" s="1"/>
      <c r="BF421" s="1"/>
      <c r="BG421" s="1"/>
    </row>
    <row r="422" spans="1:59" ht="14.25" customHeight="1" x14ac:dyDescent="0.25">
      <c r="A422" s="1"/>
      <c r="B422" s="59"/>
      <c r="C422" s="50" t="s">
        <v>2277</v>
      </c>
      <c r="D422" s="50" t="s">
        <v>2278</v>
      </c>
      <c r="E422" s="50" t="str">
        <f t="shared" si="82"/>
        <v>PP0200540002001B</v>
      </c>
      <c r="F422" s="50"/>
      <c r="G422" s="50" t="s">
        <v>2245</v>
      </c>
      <c r="H422" s="50" t="s">
        <v>95</v>
      </c>
      <c r="I422" s="50" t="s">
        <v>2279</v>
      </c>
      <c r="J422" s="50" t="s">
        <v>2280</v>
      </c>
      <c r="K422" s="50" t="s">
        <v>2248</v>
      </c>
      <c r="L422" s="50" t="s">
        <v>2258</v>
      </c>
      <c r="M422" s="50"/>
      <c r="N422" s="52"/>
      <c r="O422" s="50" t="s">
        <v>151</v>
      </c>
      <c r="P422" s="50">
        <v>238</v>
      </c>
      <c r="Q422" s="53">
        <v>0</v>
      </c>
      <c r="R422" s="73">
        <f t="shared" si="113"/>
        <v>238</v>
      </c>
      <c r="S422" s="54">
        <v>0.56000000000000005</v>
      </c>
      <c r="T422" s="54">
        <v>0</v>
      </c>
      <c r="U422" s="74">
        <f t="shared" si="114"/>
        <v>0.56000000000000005</v>
      </c>
      <c r="V422" s="54">
        <v>70.47</v>
      </c>
      <c r="W422" s="52">
        <f t="shared" si="93"/>
        <v>2.0659722222222223</v>
      </c>
      <c r="X422" s="74">
        <f t="shared" si="115"/>
        <v>125.83928571428569</v>
      </c>
      <c r="Y422" s="70" t="str">
        <f t="shared" si="116"/>
        <v>è in grado</v>
      </c>
      <c r="Z422" s="70" t="str">
        <f t="shared" si="117"/>
        <v>non sottende</v>
      </c>
      <c r="AA422" s="112">
        <f t="shared" si="118"/>
        <v>34.109848739495796</v>
      </c>
      <c r="AB422" s="70" t="str">
        <f t="shared" si="119"/>
        <v>A</v>
      </c>
      <c r="AC422" s="50" t="str">
        <f t="shared" si="83"/>
        <v>SI</v>
      </c>
      <c r="AD422" s="70" t="str">
        <f t="shared" si="120"/>
        <v>Si</v>
      </c>
      <c r="AE422" s="70" t="s">
        <v>147</v>
      </c>
      <c r="AF422" s="55">
        <v>9</v>
      </c>
      <c r="AG422" s="55">
        <v>1028</v>
      </c>
      <c r="AH422" s="55">
        <v>456</v>
      </c>
      <c r="AI422" s="55" t="str">
        <f t="shared" si="103"/>
        <v>Manufatto limitante</v>
      </c>
      <c r="AJ422" s="53">
        <v>82.5</v>
      </c>
      <c r="AK422" s="53">
        <f t="shared" si="104"/>
        <v>4.6730909090909085</v>
      </c>
      <c r="AL422" s="53">
        <f t="shared" si="99"/>
        <v>385.53</v>
      </c>
      <c r="AM422" s="70" t="s">
        <v>190</v>
      </c>
      <c r="AN422" s="56" t="s">
        <v>222</v>
      </c>
      <c r="AO422" s="57">
        <v>45536</v>
      </c>
      <c r="AP422" s="58" t="s">
        <v>2281</v>
      </c>
      <c r="AQ422" s="58" t="s">
        <v>255</v>
      </c>
      <c r="AR422" s="58" t="s">
        <v>626</v>
      </c>
      <c r="AS422" s="64"/>
      <c r="AT422" s="64"/>
      <c r="AU422" s="1"/>
      <c r="AV422" s="1"/>
      <c r="AW422" s="1"/>
      <c r="AX422" s="1"/>
      <c r="AY422" s="1"/>
      <c r="AZ422" s="1"/>
      <c r="BA422" s="1"/>
      <c r="BB422" s="1"/>
      <c r="BC422" s="1"/>
      <c r="BD422" s="1"/>
      <c r="BE422" s="1"/>
      <c r="BF422" s="1"/>
      <c r="BG422" s="1"/>
    </row>
    <row r="423" spans="1:59" ht="14.25" customHeight="1" x14ac:dyDescent="0.25">
      <c r="A423" s="1"/>
      <c r="B423" s="68"/>
      <c r="C423" s="50" t="s">
        <v>2282</v>
      </c>
      <c r="D423" s="128"/>
      <c r="E423" s="50" t="str">
        <f t="shared" si="82"/>
        <v>001B</v>
      </c>
      <c r="F423" s="50"/>
      <c r="G423" s="50" t="s">
        <v>2245</v>
      </c>
      <c r="H423" s="50" t="s">
        <v>95</v>
      </c>
      <c r="I423" s="50" t="s">
        <v>2283</v>
      </c>
      <c r="J423" s="50" t="s">
        <v>2284</v>
      </c>
      <c r="K423" s="50" t="s">
        <v>2248</v>
      </c>
      <c r="L423" s="50" t="s">
        <v>2258</v>
      </c>
      <c r="M423" s="50"/>
      <c r="N423" s="52"/>
      <c r="O423" s="50" t="s">
        <v>151</v>
      </c>
      <c r="P423" s="50">
        <v>249</v>
      </c>
      <c r="Q423" s="53">
        <v>0</v>
      </c>
      <c r="R423" s="73">
        <f t="shared" si="113"/>
        <v>249</v>
      </c>
      <c r="S423" s="54">
        <v>0.59</v>
      </c>
      <c r="T423" s="54">
        <v>0</v>
      </c>
      <c r="U423" s="74">
        <f t="shared" si="114"/>
        <v>0.59</v>
      </c>
      <c r="V423" s="54">
        <v>412.4</v>
      </c>
      <c r="W423" s="52">
        <f t="shared" si="93"/>
        <v>2.1614583333333335</v>
      </c>
      <c r="X423" s="74">
        <f t="shared" si="115"/>
        <v>698.98305084745766</v>
      </c>
      <c r="Y423" s="70" t="str">
        <f t="shared" si="116"/>
        <v>è in grado</v>
      </c>
      <c r="Z423" s="70" t="str">
        <f t="shared" si="117"/>
        <v>non sottende</v>
      </c>
      <c r="AA423" s="112">
        <f t="shared" si="118"/>
        <v>190.79710843373491</v>
      </c>
      <c r="AB423" s="70" t="str">
        <f t="shared" si="119"/>
        <v>A</v>
      </c>
      <c r="AC423" s="50" t="str">
        <f t="shared" si="83"/>
        <v>SI</v>
      </c>
      <c r="AD423" s="70" t="str">
        <f t="shared" si="120"/>
        <v>Si</v>
      </c>
      <c r="AE423" s="50" t="s">
        <v>147</v>
      </c>
      <c r="AF423" s="55">
        <v>13.57</v>
      </c>
      <c r="AG423" s="55">
        <v>945</v>
      </c>
      <c r="AH423" s="55">
        <v>959</v>
      </c>
      <c r="AI423" s="55" t="str">
        <f t="shared" si="103"/>
        <v xml:space="preserve"> </v>
      </c>
      <c r="AJ423" s="53">
        <v>89.62</v>
      </c>
      <c r="AK423" s="53">
        <f t="shared" si="104"/>
        <v>5.9428698951126977</v>
      </c>
      <c r="AL423" s="53">
        <f t="shared" si="99"/>
        <v>532.6</v>
      </c>
      <c r="AM423" s="70" t="s">
        <v>190</v>
      </c>
      <c r="AN423" s="56" t="s">
        <v>222</v>
      </c>
      <c r="AO423" s="66"/>
      <c r="AP423" s="58" t="s">
        <v>723</v>
      </c>
      <c r="AQ423" s="58" t="s">
        <v>255</v>
      </c>
      <c r="AR423" s="58" t="s">
        <v>626</v>
      </c>
      <c r="AS423" s="58"/>
      <c r="AT423" s="64"/>
      <c r="AU423" s="69"/>
      <c r="AV423" s="69"/>
      <c r="AW423" s="69"/>
      <c r="AX423" s="69"/>
      <c r="AY423" s="69"/>
      <c r="AZ423" s="69"/>
      <c r="BA423" s="69"/>
      <c r="BB423" s="69"/>
      <c r="BC423" s="69"/>
      <c r="BD423" s="69"/>
      <c r="BE423" s="69"/>
      <c r="BF423" s="1"/>
      <c r="BG423" s="1"/>
    </row>
    <row r="424" spans="1:59" ht="14.25" customHeight="1" x14ac:dyDescent="0.25">
      <c r="A424" s="1"/>
      <c r="B424" s="59"/>
      <c r="C424" s="156" t="s">
        <v>2285</v>
      </c>
      <c r="D424" s="50" t="s">
        <v>2286</v>
      </c>
      <c r="E424" s="50" t="str">
        <f t="shared" si="82"/>
        <v>PP0200540003001B</v>
      </c>
      <c r="F424" s="157"/>
      <c r="G424" s="70" t="s">
        <v>2245</v>
      </c>
      <c r="H424" s="70" t="s">
        <v>95</v>
      </c>
      <c r="I424" s="70" t="s">
        <v>2287</v>
      </c>
      <c r="J424" s="50" t="s">
        <v>2288</v>
      </c>
      <c r="K424" s="70" t="s">
        <v>2248</v>
      </c>
      <c r="L424" s="70" t="s">
        <v>2258</v>
      </c>
      <c r="M424" s="70"/>
      <c r="N424" s="72"/>
      <c r="O424" s="50" t="s">
        <v>151</v>
      </c>
      <c r="P424" s="70">
        <v>356</v>
      </c>
      <c r="Q424" s="73">
        <v>0</v>
      </c>
      <c r="R424" s="73">
        <f t="shared" si="113"/>
        <v>356</v>
      </c>
      <c r="S424" s="74">
        <v>0.84</v>
      </c>
      <c r="T424" s="74">
        <v>0</v>
      </c>
      <c r="U424" s="74">
        <f t="shared" si="114"/>
        <v>0.84</v>
      </c>
      <c r="V424" s="74">
        <v>24.5</v>
      </c>
      <c r="W424" s="52">
        <f t="shared" si="93"/>
        <v>3.0902777777777777</v>
      </c>
      <c r="X424" s="74">
        <f t="shared" si="115"/>
        <v>29.166666666666668</v>
      </c>
      <c r="Y424" s="70" t="str">
        <f t="shared" si="116"/>
        <v>è in grado</v>
      </c>
      <c r="Z424" s="70" t="str">
        <f t="shared" si="117"/>
        <v>non sottende</v>
      </c>
      <c r="AA424" s="112">
        <f t="shared" si="118"/>
        <v>7.92808988764045</v>
      </c>
      <c r="AB424" s="70" t="str">
        <f t="shared" si="119"/>
        <v>A</v>
      </c>
      <c r="AC424" s="50" t="str">
        <f t="shared" si="83"/>
        <v>SI</v>
      </c>
      <c r="AD424" s="70" t="str">
        <f t="shared" si="120"/>
        <v>Si</v>
      </c>
      <c r="AE424" s="70" t="s">
        <v>147</v>
      </c>
      <c r="AF424" s="71">
        <v>3.86</v>
      </c>
      <c r="AG424" s="71">
        <v>939</v>
      </c>
      <c r="AH424" s="71">
        <v>502</v>
      </c>
      <c r="AI424" s="55" t="str">
        <f t="shared" si="103"/>
        <v>Manufatto limitante</v>
      </c>
      <c r="AJ424" s="73">
        <v>235.66</v>
      </c>
      <c r="AK424" s="53">
        <f t="shared" si="104"/>
        <v>2.026224221335823</v>
      </c>
      <c r="AL424" s="53">
        <f t="shared" si="99"/>
        <v>477.5</v>
      </c>
      <c r="AM424" s="70" t="s">
        <v>190</v>
      </c>
      <c r="AN424" s="56" t="s">
        <v>222</v>
      </c>
      <c r="AO424" s="129">
        <v>45536</v>
      </c>
      <c r="AP424" s="107" t="s">
        <v>2289</v>
      </c>
      <c r="AQ424" s="58" t="s">
        <v>255</v>
      </c>
      <c r="AR424" s="58" t="s">
        <v>626</v>
      </c>
      <c r="AS424" s="58"/>
      <c r="AT424" s="64"/>
      <c r="AU424" s="1"/>
      <c r="AV424" s="1"/>
      <c r="AW424" s="1"/>
      <c r="AX424" s="1"/>
      <c r="AY424" s="1"/>
      <c r="AZ424" s="1"/>
      <c r="BA424" s="1"/>
      <c r="BB424" s="1"/>
      <c r="BC424" s="1"/>
      <c r="BD424" s="1"/>
      <c r="BE424" s="1"/>
      <c r="BF424" s="1"/>
      <c r="BG424" s="1"/>
    </row>
    <row r="425" spans="1:59" ht="14.25" customHeight="1" x14ac:dyDescent="0.25">
      <c r="A425" s="1"/>
      <c r="B425" s="68"/>
      <c r="C425" s="158" t="s">
        <v>2290</v>
      </c>
      <c r="D425" s="50"/>
      <c r="E425" s="50" t="str">
        <f t="shared" si="82"/>
        <v>001B</v>
      </c>
      <c r="F425" s="110" t="s">
        <v>2291</v>
      </c>
      <c r="G425" s="50" t="s">
        <v>2245</v>
      </c>
      <c r="H425" s="70" t="s">
        <v>2292</v>
      </c>
      <c r="I425" s="50" t="s">
        <v>2293</v>
      </c>
      <c r="J425" s="50" t="s">
        <v>2294</v>
      </c>
      <c r="K425" s="70" t="s">
        <v>2248</v>
      </c>
      <c r="L425" s="50" t="s">
        <v>2249</v>
      </c>
      <c r="M425" s="50"/>
      <c r="N425" s="52"/>
      <c r="O425" s="50" t="s">
        <v>151</v>
      </c>
      <c r="P425" s="50">
        <v>25</v>
      </c>
      <c r="Q425" s="53">
        <v>0</v>
      </c>
      <c r="R425" s="73">
        <f t="shared" si="113"/>
        <v>25</v>
      </c>
      <c r="S425" s="54">
        <v>0.06</v>
      </c>
      <c r="T425" s="54">
        <v>0</v>
      </c>
      <c r="U425" s="74">
        <f t="shared" si="114"/>
        <v>0.06</v>
      </c>
      <c r="V425" s="54">
        <v>10.15</v>
      </c>
      <c r="W425" s="52">
        <f t="shared" si="93"/>
        <v>0.2170138888888889</v>
      </c>
      <c r="X425" s="74">
        <f t="shared" si="115"/>
        <v>169.16666666666669</v>
      </c>
      <c r="Y425" s="70" t="str">
        <f t="shared" si="116"/>
        <v>è in grado</v>
      </c>
      <c r="Z425" s="70" t="str">
        <f t="shared" si="117"/>
        <v>non sottende</v>
      </c>
      <c r="AA425" s="112">
        <f t="shared" si="118"/>
        <v>46.7712</v>
      </c>
      <c r="AB425" s="70" t="str">
        <f t="shared" si="119"/>
        <v>A</v>
      </c>
      <c r="AC425" s="50" t="str">
        <f t="shared" si="83"/>
        <v>NO</v>
      </c>
      <c r="AD425" s="70" t="str">
        <f t="shared" si="120"/>
        <v>No</v>
      </c>
      <c r="AE425" s="50" t="s">
        <v>147</v>
      </c>
      <c r="AF425" s="55">
        <v>1.1299999999999999</v>
      </c>
      <c r="AG425" s="55">
        <v>143</v>
      </c>
      <c r="AH425" s="55">
        <v>395</v>
      </c>
      <c r="AI425" s="55" t="str">
        <f t="shared" si="103"/>
        <v xml:space="preserve"> </v>
      </c>
      <c r="AJ425" s="53">
        <v>255.77</v>
      </c>
      <c r="AK425" s="53">
        <f t="shared" si="104"/>
        <v>0.51941197169331821</v>
      </c>
      <c r="AL425" s="53">
        <f t="shared" si="99"/>
        <v>132.85</v>
      </c>
      <c r="AM425" s="70" t="s">
        <v>190</v>
      </c>
      <c r="AN425" s="56" t="s">
        <v>222</v>
      </c>
      <c r="AO425" s="66"/>
      <c r="AP425" s="58" t="s">
        <v>723</v>
      </c>
      <c r="AQ425" s="58" t="s">
        <v>445</v>
      </c>
      <c r="AR425" s="58" t="s">
        <v>544</v>
      </c>
      <c r="AS425" s="58"/>
      <c r="AT425" s="64"/>
      <c r="AU425" s="1"/>
      <c r="AV425" s="1"/>
      <c r="AW425" s="1"/>
      <c r="AX425" s="1"/>
      <c r="AY425" s="1"/>
      <c r="AZ425" s="1"/>
      <c r="BA425" s="1"/>
      <c r="BB425" s="1"/>
      <c r="BC425" s="1"/>
      <c r="BD425" s="1"/>
      <c r="BE425" s="1"/>
      <c r="BF425" s="1"/>
      <c r="BG425" s="1"/>
    </row>
    <row r="426" spans="1:59" ht="14.25" customHeight="1" x14ac:dyDescent="0.25">
      <c r="A426" s="1"/>
      <c r="B426" s="68"/>
      <c r="C426" s="108" t="s">
        <v>2295</v>
      </c>
      <c r="D426" s="50"/>
      <c r="E426" s="50" t="str">
        <f t="shared" si="82"/>
        <v>001B</v>
      </c>
      <c r="F426" s="110" t="s">
        <v>2296</v>
      </c>
      <c r="G426" s="50" t="s">
        <v>2245</v>
      </c>
      <c r="H426" s="50" t="s">
        <v>2292</v>
      </c>
      <c r="I426" s="50" t="s">
        <v>2297</v>
      </c>
      <c r="J426" s="50" t="s">
        <v>2298</v>
      </c>
      <c r="K426" s="70" t="s">
        <v>2248</v>
      </c>
      <c r="L426" s="50" t="s">
        <v>2258</v>
      </c>
      <c r="M426" s="50"/>
      <c r="N426" s="52"/>
      <c r="O426" s="50" t="s">
        <v>151</v>
      </c>
      <c r="P426" s="50">
        <v>131</v>
      </c>
      <c r="Q426" s="53">
        <v>0</v>
      </c>
      <c r="R426" s="53">
        <f t="shared" si="113"/>
        <v>131</v>
      </c>
      <c r="S426" s="54">
        <v>0.31</v>
      </c>
      <c r="T426" s="54">
        <v>0</v>
      </c>
      <c r="U426" s="54">
        <f t="shared" si="114"/>
        <v>0.31</v>
      </c>
      <c r="V426" s="54">
        <v>110.49</v>
      </c>
      <c r="W426" s="52">
        <f t="shared" si="93"/>
        <v>1.1371527777777777</v>
      </c>
      <c r="X426" s="54">
        <f t="shared" si="115"/>
        <v>356.41935483870964</v>
      </c>
      <c r="Y426" s="50" t="str">
        <f t="shared" si="116"/>
        <v>è in grado</v>
      </c>
      <c r="Z426" s="50" t="str">
        <f t="shared" si="117"/>
        <v>non sottende</v>
      </c>
      <c r="AA426" s="106">
        <f t="shared" si="118"/>
        <v>97.163725190839699</v>
      </c>
      <c r="AB426" s="50" t="str">
        <f t="shared" si="119"/>
        <v>A</v>
      </c>
      <c r="AC426" s="50" t="str">
        <f t="shared" si="83"/>
        <v>SI</v>
      </c>
      <c r="AD426" s="50" t="str">
        <f t="shared" si="120"/>
        <v>Si</v>
      </c>
      <c r="AE426" s="50" t="s">
        <v>147</v>
      </c>
      <c r="AF426" s="55">
        <v>7</v>
      </c>
      <c r="AG426" s="55">
        <v>597</v>
      </c>
      <c r="AH426" s="55">
        <v>877</v>
      </c>
      <c r="AI426" s="55" t="str">
        <f t="shared" si="103"/>
        <v xml:space="preserve"> </v>
      </c>
      <c r="AJ426" s="53">
        <v>165.29</v>
      </c>
      <c r="AK426" s="53">
        <f t="shared" si="104"/>
        <v>2.9433722548248533</v>
      </c>
      <c r="AL426" s="53">
        <f t="shared" si="99"/>
        <v>486.51</v>
      </c>
      <c r="AM426" s="50" t="s">
        <v>190</v>
      </c>
      <c r="AN426" s="56" t="s">
        <v>222</v>
      </c>
      <c r="AO426" s="66"/>
      <c r="AP426" s="58" t="s">
        <v>723</v>
      </c>
      <c r="AQ426" s="58" t="s">
        <v>255</v>
      </c>
      <c r="AR426" s="58" t="s">
        <v>626</v>
      </c>
      <c r="AS426" s="58"/>
      <c r="AT426" s="64"/>
      <c r="AU426" s="1"/>
      <c r="AV426" s="1"/>
      <c r="AW426" s="1"/>
      <c r="AX426" s="1"/>
      <c r="AY426" s="1"/>
      <c r="AZ426" s="1"/>
      <c r="BA426" s="1"/>
      <c r="BB426" s="1"/>
      <c r="BC426" s="1"/>
      <c r="BD426" s="1"/>
      <c r="BE426" s="1"/>
      <c r="BF426" s="1"/>
      <c r="BG426" s="1"/>
    </row>
    <row r="427" spans="1:59" ht="14.25" customHeight="1" x14ac:dyDescent="0.25">
      <c r="A427" s="1"/>
      <c r="B427" s="59"/>
      <c r="C427" s="108" t="s">
        <v>2299</v>
      </c>
      <c r="D427" s="50" t="s">
        <v>2300</v>
      </c>
      <c r="E427" s="50" t="str">
        <f t="shared" si="82"/>
        <v>PP0200600003001B</v>
      </c>
      <c r="F427" s="110" t="s">
        <v>2301</v>
      </c>
      <c r="G427" s="50" t="s">
        <v>185</v>
      </c>
      <c r="H427" s="50" t="s">
        <v>95</v>
      </c>
      <c r="I427" s="50" t="s">
        <v>2302</v>
      </c>
      <c r="J427" s="50" t="s">
        <v>2303</v>
      </c>
      <c r="K427" s="70" t="s">
        <v>188</v>
      </c>
      <c r="L427" s="50" t="s">
        <v>2304</v>
      </c>
      <c r="M427" s="50"/>
      <c r="N427" s="52"/>
      <c r="O427" s="50" t="s">
        <v>151</v>
      </c>
      <c r="P427" s="50">
        <v>36</v>
      </c>
      <c r="Q427" s="53">
        <v>0</v>
      </c>
      <c r="R427" s="53">
        <f t="shared" si="113"/>
        <v>36</v>
      </c>
      <c r="S427" s="54">
        <v>0.08</v>
      </c>
      <c r="T427" s="54">
        <v>0</v>
      </c>
      <c r="U427" s="54">
        <f t="shared" si="114"/>
        <v>0.08</v>
      </c>
      <c r="V427" s="54">
        <v>20.309999999999999</v>
      </c>
      <c r="W427" s="52">
        <f t="shared" si="93"/>
        <v>0.3125</v>
      </c>
      <c r="X427" s="54">
        <v>239.84</v>
      </c>
      <c r="Y427" s="50" t="str">
        <f t="shared" si="116"/>
        <v>è in grado</v>
      </c>
      <c r="Z427" s="50" t="str">
        <f t="shared" si="117"/>
        <v>non sottende</v>
      </c>
      <c r="AA427" s="106">
        <f t="shared" si="118"/>
        <v>64.99199999999999</v>
      </c>
      <c r="AB427" s="50" t="str">
        <f t="shared" si="119"/>
        <v>A</v>
      </c>
      <c r="AC427" s="50" t="str">
        <f t="shared" si="83"/>
        <v>SI</v>
      </c>
      <c r="AD427" s="50" t="str">
        <f t="shared" si="120"/>
        <v>Si</v>
      </c>
      <c r="AE427" s="50" t="s">
        <v>147</v>
      </c>
      <c r="AF427" s="55">
        <v>3.13</v>
      </c>
      <c r="AG427" s="55">
        <v>310</v>
      </c>
      <c r="AH427" s="55">
        <v>1532</v>
      </c>
      <c r="AI427" s="55" t="str">
        <f t="shared" si="103"/>
        <v xml:space="preserve"> </v>
      </c>
      <c r="AJ427" s="53">
        <v>226.2</v>
      </c>
      <c r="AK427" s="53">
        <f t="shared" si="104"/>
        <v>1.2806808134394341</v>
      </c>
      <c r="AL427" s="53">
        <f t="shared" si="99"/>
        <v>289.69</v>
      </c>
      <c r="AM427" s="50" t="s">
        <v>190</v>
      </c>
      <c r="AN427" s="56" t="s">
        <v>222</v>
      </c>
      <c r="AO427" s="62">
        <v>46166</v>
      </c>
      <c r="AP427" s="64" t="s">
        <v>191</v>
      </c>
      <c r="AQ427" s="58" t="s">
        <v>1113</v>
      </c>
      <c r="AR427" s="58">
        <v>2041</v>
      </c>
      <c r="AS427" s="58" t="s">
        <v>2305</v>
      </c>
      <c r="AT427" s="64"/>
      <c r="AU427" s="1"/>
      <c r="AV427" s="1"/>
      <c r="AW427" s="1"/>
      <c r="AX427" s="1"/>
      <c r="AY427" s="1"/>
      <c r="AZ427" s="1"/>
      <c r="BA427" s="1"/>
      <c r="BB427" s="1"/>
      <c r="BC427" s="1"/>
      <c r="BD427" s="1"/>
      <c r="BE427" s="1"/>
      <c r="BF427" s="1"/>
      <c r="BG427" s="1"/>
    </row>
    <row r="428" spans="1:59" ht="14.25" customHeight="1" x14ac:dyDescent="0.25">
      <c r="A428" s="1"/>
      <c r="B428" s="50"/>
      <c r="C428" s="108" t="s">
        <v>2306</v>
      </c>
      <c r="D428" s="50" t="s">
        <v>2307</v>
      </c>
      <c r="E428" s="50" t="str">
        <f t="shared" si="82"/>
        <v>PP0200600002001B</v>
      </c>
      <c r="F428" s="110"/>
      <c r="G428" s="50" t="s">
        <v>185</v>
      </c>
      <c r="H428" s="50" t="s">
        <v>95</v>
      </c>
      <c r="I428" s="50" t="s">
        <v>2308</v>
      </c>
      <c r="J428" s="50" t="s">
        <v>2309</v>
      </c>
      <c r="K428" s="70" t="s">
        <v>188</v>
      </c>
      <c r="L428" s="50" t="s">
        <v>2310</v>
      </c>
      <c r="M428" s="50"/>
      <c r="N428" s="52"/>
      <c r="O428" s="50" t="s">
        <v>159</v>
      </c>
      <c r="P428" s="50">
        <v>87</v>
      </c>
      <c r="Q428" s="53">
        <v>17</v>
      </c>
      <c r="R428" s="53">
        <f t="shared" si="113"/>
        <v>104</v>
      </c>
      <c r="S428" s="54">
        <v>0.2</v>
      </c>
      <c r="T428" s="54">
        <v>2.31</v>
      </c>
      <c r="U428" s="54">
        <f t="shared" si="114"/>
        <v>2.5100000000000002</v>
      </c>
      <c r="V428" s="54">
        <v>11</v>
      </c>
      <c r="W428" s="52">
        <f t="shared" si="93"/>
        <v>5.2200000000000006</v>
      </c>
      <c r="X428" s="54">
        <f>+V428/U428</f>
        <v>4.382470119521912</v>
      </c>
      <c r="Y428" s="50" t="str">
        <f t="shared" si="116"/>
        <v>è in grado</v>
      </c>
      <c r="Z428" s="50" t="str">
        <f t="shared" si="117"/>
        <v>non sottende</v>
      </c>
      <c r="AA428" s="106">
        <f t="shared" si="118"/>
        <v>2.1072796934865896</v>
      </c>
      <c r="AB428" s="50" t="str">
        <f t="shared" si="119"/>
        <v>A</v>
      </c>
      <c r="AC428" s="50" t="str">
        <f t="shared" si="83"/>
        <v>SI</v>
      </c>
      <c r="AD428" s="50" t="str">
        <f t="shared" si="120"/>
        <v>No</v>
      </c>
      <c r="AE428" s="50" t="s">
        <v>147</v>
      </c>
      <c r="AF428" s="55">
        <v>4.8</v>
      </c>
      <c r="AG428" s="55">
        <v>455</v>
      </c>
      <c r="AH428" s="55">
        <v>273</v>
      </c>
      <c r="AI428" s="55" t="str">
        <f t="shared" si="103"/>
        <v>Manufatto limitante</v>
      </c>
      <c r="AJ428" s="53">
        <v>118.7</v>
      </c>
      <c r="AK428" s="53">
        <f t="shared" si="104"/>
        <v>2.2072451558550967</v>
      </c>
      <c r="AL428" s="53">
        <f t="shared" si="99"/>
        <v>262</v>
      </c>
      <c r="AM428" s="50" t="s">
        <v>190</v>
      </c>
      <c r="AN428" s="56" t="s">
        <v>222</v>
      </c>
      <c r="AO428" s="62">
        <v>46166</v>
      </c>
      <c r="AP428" s="64" t="s">
        <v>191</v>
      </c>
      <c r="AQ428" s="58" t="s">
        <v>1113</v>
      </c>
      <c r="AR428" s="58">
        <v>2041</v>
      </c>
      <c r="AS428" s="58" t="s">
        <v>2311</v>
      </c>
      <c r="AT428" s="64"/>
      <c r="AU428" s="1"/>
      <c r="AV428" s="1"/>
      <c r="AW428" s="1"/>
      <c r="AX428" s="1"/>
      <c r="AY428" s="1"/>
      <c r="AZ428" s="1"/>
      <c r="BA428" s="1"/>
      <c r="BB428" s="1"/>
      <c r="BC428" s="1"/>
      <c r="BD428" s="1"/>
      <c r="BE428" s="1"/>
      <c r="BF428" s="1"/>
      <c r="BG428" s="1"/>
    </row>
    <row r="429" spans="1:59" ht="13.5" customHeight="1" x14ac:dyDescent="0.25">
      <c r="A429" s="1"/>
      <c r="B429" s="50"/>
      <c r="C429" s="108" t="s">
        <v>2312</v>
      </c>
      <c r="D429" s="50" t="s">
        <v>2313</v>
      </c>
      <c r="E429" s="50" t="str">
        <f t="shared" si="82"/>
        <v>PP0200600006001B</v>
      </c>
      <c r="F429" s="110"/>
      <c r="G429" s="50" t="s">
        <v>185</v>
      </c>
      <c r="H429" s="50" t="s">
        <v>95</v>
      </c>
      <c r="I429" s="50" t="s">
        <v>2314</v>
      </c>
      <c r="J429" s="50" t="s">
        <v>2315</v>
      </c>
      <c r="K429" s="70" t="s">
        <v>188</v>
      </c>
      <c r="L429" s="50" t="s">
        <v>2316</v>
      </c>
      <c r="M429" s="50"/>
      <c r="N429" s="52"/>
      <c r="O429" s="50" t="s">
        <v>151</v>
      </c>
      <c r="P429" s="50">
        <v>23</v>
      </c>
      <c r="Q429" s="53">
        <v>0</v>
      </c>
      <c r="R429" s="53">
        <f t="shared" si="113"/>
        <v>23</v>
      </c>
      <c r="S429" s="54">
        <v>0.05</v>
      </c>
      <c r="T429" s="54">
        <v>0</v>
      </c>
      <c r="U429" s="54">
        <f t="shared" si="114"/>
        <v>0.05</v>
      </c>
      <c r="V429" s="54">
        <v>22.7</v>
      </c>
      <c r="W429" s="52">
        <f t="shared" si="93"/>
        <v>0.19965277777777779</v>
      </c>
      <c r="X429" s="54">
        <f t="shared" ref="X429:X468" si="121">V429/U429</f>
        <v>453.99999999999994</v>
      </c>
      <c r="Y429" s="50" t="str">
        <f t="shared" si="116"/>
        <v>è in grado</v>
      </c>
      <c r="Z429" s="50" t="str">
        <f t="shared" si="117"/>
        <v>non sottende</v>
      </c>
      <c r="AA429" s="106">
        <f t="shared" si="118"/>
        <v>113.69739130434782</v>
      </c>
      <c r="AB429" s="50" t="str">
        <f t="shared" si="119"/>
        <v>A</v>
      </c>
      <c r="AC429" s="50" t="str">
        <f t="shared" si="83"/>
        <v>SI</v>
      </c>
      <c r="AD429" s="50" t="str">
        <f t="shared" si="120"/>
        <v>Si</v>
      </c>
      <c r="AE429" s="50" t="s">
        <v>147</v>
      </c>
      <c r="AF429" s="55">
        <v>0.82</v>
      </c>
      <c r="AG429" s="55">
        <v>119</v>
      </c>
      <c r="AH429" s="55">
        <v>685</v>
      </c>
      <c r="AI429" s="55" t="str">
        <f t="shared" si="103"/>
        <v xml:space="preserve"> </v>
      </c>
      <c r="AJ429" s="53">
        <v>224.7</v>
      </c>
      <c r="AK429" s="53">
        <f t="shared" si="104"/>
        <v>0.4285714285714286</v>
      </c>
      <c r="AL429" s="53">
        <f t="shared" si="99"/>
        <v>96.3</v>
      </c>
      <c r="AM429" s="50" t="s">
        <v>190</v>
      </c>
      <c r="AN429" s="56" t="s">
        <v>222</v>
      </c>
      <c r="AO429" s="62">
        <v>46166</v>
      </c>
      <c r="AP429" s="64" t="s">
        <v>191</v>
      </c>
      <c r="AQ429" s="58" t="s">
        <v>1113</v>
      </c>
      <c r="AR429" s="58">
        <v>2041</v>
      </c>
      <c r="AS429" s="58" t="s">
        <v>2317</v>
      </c>
      <c r="AT429" s="64"/>
      <c r="AU429" s="1"/>
      <c r="AV429" s="1"/>
      <c r="AW429" s="1"/>
      <c r="AX429" s="1"/>
      <c r="AY429" s="1"/>
      <c r="AZ429" s="1"/>
      <c r="BA429" s="1"/>
      <c r="BB429" s="1"/>
      <c r="BC429" s="1"/>
      <c r="BD429" s="1"/>
      <c r="BE429" s="1"/>
      <c r="BF429" s="1"/>
      <c r="BG429" s="1"/>
    </row>
    <row r="430" spans="1:59" ht="13.5" customHeight="1" x14ac:dyDescent="0.25">
      <c r="A430" s="1"/>
      <c r="B430" s="50"/>
      <c r="C430" s="7" t="s">
        <v>2318</v>
      </c>
      <c r="D430" s="70" t="s">
        <v>2319</v>
      </c>
      <c r="E430" s="50" t="str">
        <f t="shared" si="82"/>
        <v>PP0200600001001B</v>
      </c>
      <c r="F430" s="50"/>
      <c r="G430" s="50" t="s">
        <v>185</v>
      </c>
      <c r="H430" s="50" t="s">
        <v>95</v>
      </c>
      <c r="I430" s="50" t="s">
        <v>2320</v>
      </c>
      <c r="J430" s="50" t="s">
        <v>2321</v>
      </c>
      <c r="K430" s="50" t="s">
        <v>188</v>
      </c>
      <c r="L430" s="50" t="s">
        <v>2322</v>
      </c>
      <c r="M430" s="110" t="s">
        <v>286</v>
      </c>
      <c r="N430" s="52"/>
      <c r="O430" s="50" t="s">
        <v>118</v>
      </c>
      <c r="P430" s="50">
        <v>1033</v>
      </c>
      <c r="Q430" s="53">
        <v>17</v>
      </c>
      <c r="R430" s="53">
        <f t="shared" si="113"/>
        <v>1050</v>
      </c>
      <c r="S430" s="54">
        <v>2.4300000000000002</v>
      </c>
      <c r="T430" s="54">
        <v>2.31</v>
      </c>
      <c r="U430" s="54">
        <f t="shared" si="114"/>
        <v>4.74</v>
      </c>
      <c r="V430" s="54">
        <v>20</v>
      </c>
      <c r="W430" s="52">
        <f t="shared" si="93"/>
        <v>11.91</v>
      </c>
      <c r="X430" s="54">
        <f t="shared" si="121"/>
        <v>4.2194092827004219</v>
      </c>
      <c r="Y430" s="50" t="str">
        <f t="shared" si="116"/>
        <v>è in grado</v>
      </c>
      <c r="Z430" s="50" t="str">
        <f t="shared" si="117"/>
        <v>non sottende</v>
      </c>
      <c r="AA430" s="106">
        <f t="shared" si="118"/>
        <v>1.6792611251049538</v>
      </c>
      <c r="AB430" s="50" t="str">
        <f t="shared" si="119"/>
        <v>B</v>
      </c>
      <c r="AC430" s="50" t="str">
        <f t="shared" si="83"/>
        <v>SI</v>
      </c>
      <c r="AD430" s="50" t="str">
        <f t="shared" si="120"/>
        <v>No</v>
      </c>
      <c r="AE430" s="50" t="s">
        <v>343</v>
      </c>
      <c r="AF430" s="55">
        <v>38.6</v>
      </c>
      <c r="AG430" s="55">
        <v>2674</v>
      </c>
      <c r="AH430" s="55">
        <v>1721</v>
      </c>
      <c r="AI430" s="55" t="str">
        <f t="shared" si="103"/>
        <v>Manufatto limitante</v>
      </c>
      <c r="AJ430" s="53">
        <v>111.7</v>
      </c>
      <c r="AK430" s="53">
        <f t="shared" si="104"/>
        <v>15.22829006266786</v>
      </c>
      <c r="AL430" s="53">
        <f t="shared" si="99"/>
        <v>1701</v>
      </c>
      <c r="AM430" s="70" t="s">
        <v>190</v>
      </c>
      <c r="AN430" s="56" t="s">
        <v>236</v>
      </c>
      <c r="AO430" s="62">
        <v>46166</v>
      </c>
      <c r="AP430" s="64" t="s">
        <v>191</v>
      </c>
      <c r="AQ430" s="58" t="s">
        <v>1113</v>
      </c>
      <c r="AR430" s="58">
        <v>2041</v>
      </c>
      <c r="AS430" s="58" t="s">
        <v>2323</v>
      </c>
      <c r="AT430" s="64"/>
      <c r="AU430" s="1"/>
      <c r="AV430" s="1"/>
      <c r="AW430" s="1"/>
      <c r="AX430" s="1"/>
      <c r="AY430" s="1"/>
      <c r="AZ430" s="1"/>
      <c r="BA430" s="1"/>
      <c r="BB430" s="1"/>
      <c r="BC430" s="1"/>
      <c r="BD430" s="1"/>
      <c r="BE430" s="1"/>
      <c r="BF430" s="1"/>
      <c r="BG430" s="1"/>
    </row>
    <row r="431" spans="1:59" ht="13.5" customHeight="1" x14ac:dyDescent="0.25">
      <c r="A431" s="1"/>
      <c r="B431" s="59"/>
      <c r="C431" s="50" t="s">
        <v>2324</v>
      </c>
      <c r="D431" s="50" t="s">
        <v>2325</v>
      </c>
      <c r="E431" s="50" t="str">
        <f t="shared" si="82"/>
        <v>PP0200600005001B</v>
      </c>
      <c r="F431" s="50"/>
      <c r="G431" s="50" t="s">
        <v>185</v>
      </c>
      <c r="H431" s="50" t="s">
        <v>95</v>
      </c>
      <c r="I431" s="50" t="s">
        <v>2326</v>
      </c>
      <c r="J431" s="50" t="s">
        <v>2327</v>
      </c>
      <c r="K431" s="50" t="s">
        <v>188</v>
      </c>
      <c r="L431" s="50" t="s">
        <v>2328</v>
      </c>
      <c r="M431" s="110"/>
      <c r="N431" s="52"/>
      <c r="O431" s="50" t="s">
        <v>151</v>
      </c>
      <c r="P431" s="50">
        <v>11</v>
      </c>
      <c r="Q431" s="53">
        <v>0</v>
      </c>
      <c r="R431" s="53">
        <f t="shared" si="113"/>
        <v>11</v>
      </c>
      <c r="S431" s="54">
        <v>0.03</v>
      </c>
      <c r="T431" s="54">
        <v>0</v>
      </c>
      <c r="U431" s="54">
        <f t="shared" si="114"/>
        <v>0.03</v>
      </c>
      <c r="V431" s="54">
        <v>21.41</v>
      </c>
      <c r="W431" s="52">
        <f t="shared" si="93"/>
        <v>9.5486111111111105E-2</v>
      </c>
      <c r="X431" s="54">
        <f t="shared" si="121"/>
        <v>713.66666666666674</v>
      </c>
      <c r="Y431" s="50" t="str">
        <f t="shared" si="116"/>
        <v>è in grado</v>
      </c>
      <c r="Z431" s="50" t="str">
        <f t="shared" si="117"/>
        <v>non sottende</v>
      </c>
      <c r="AA431" s="106">
        <f t="shared" si="118"/>
        <v>224.22109090909092</v>
      </c>
      <c r="AB431" s="50" t="str">
        <f t="shared" si="119"/>
        <v>A</v>
      </c>
      <c r="AC431" s="50" t="str">
        <f t="shared" si="83"/>
        <v>SI</v>
      </c>
      <c r="AD431" s="50" t="str">
        <f t="shared" si="120"/>
        <v>Si</v>
      </c>
      <c r="AE431" s="50" t="s">
        <v>147</v>
      </c>
      <c r="AF431" s="55">
        <v>0.94</v>
      </c>
      <c r="AG431" s="55">
        <v>111</v>
      </c>
      <c r="AH431" s="55">
        <v>1413</v>
      </c>
      <c r="AI431" s="55" t="str">
        <f t="shared" si="103"/>
        <v xml:space="preserve"> </v>
      </c>
      <c r="AJ431" s="53">
        <v>232.6</v>
      </c>
      <c r="AK431" s="53">
        <f t="shared" si="104"/>
        <v>0.38516766981943251</v>
      </c>
      <c r="AL431" s="53">
        <f t="shared" si="99"/>
        <v>89.59</v>
      </c>
      <c r="AM431" s="50" t="s">
        <v>190</v>
      </c>
      <c r="AN431" s="56" t="s">
        <v>222</v>
      </c>
      <c r="AO431" s="62">
        <v>46166</v>
      </c>
      <c r="AP431" s="64" t="s">
        <v>191</v>
      </c>
      <c r="AQ431" s="58" t="s">
        <v>1113</v>
      </c>
      <c r="AR431" s="58">
        <v>2041</v>
      </c>
      <c r="AS431" s="58" t="s">
        <v>2329</v>
      </c>
      <c r="AT431" s="64"/>
      <c r="AU431" s="1"/>
      <c r="AV431" s="1"/>
      <c r="AW431" s="1"/>
      <c r="AX431" s="1"/>
      <c r="AY431" s="1"/>
      <c r="AZ431" s="1"/>
      <c r="BA431" s="1"/>
      <c r="BB431" s="1"/>
      <c r="BC431" s="1"/>
      <c r="BD431" s="1"/>
      <c r="BE431" s="1"/>
      <c r="BF431" s="1"/>
      <c r="BG431" s="1"/>
    </row>
    <row r="432" spans="1:59" ht="15.75" customHeight="1" x14ac:dyDescent="0.25">
      <c r="A432" s="1"/>
      <c r="B432" s="59"/>
      <c r="C432" s="50" t="s">
        <v>2330</v>
      </c>
      <c r="D432" s="50" t="s">
        <v>2331</v>
      </c>
      <c r="E432" s="50" t="str">
        <f t="shared" si="82"/>
        <v>PP0200620001001B</v>
      </c>
      <c r="F432" s="50"/>
      <c r="G432" s="50" t="s">
        <v>2332</v>
      </c>
      <c r="H432" s="50" t="s">
        <v>2333</v>
      </c>
      <c r="I432" s="50" t="s">
        <v>2334</v>
      </c>
      <c r="J432" s="50" t="s">
        <v>2335</v>
      </c>
      <c r="K432" s="50" t="s">
        <v>2336</v>
      </c>
      <c r="L432" s="50" t="s">
        <v>2337</v>
      </c>
      <c r="M432" s="110"/>
      <c r="N432" s="52"/>
      <c r="O432" s="50" t="s">
        <v>118</v>
      </c>
      <c r="P432" s="50">
        <v>1274</v>
      </c>
      <c r="Q432" s="53">
        <v>0</v>
      </c>
      <c r="R432" s="53">
        <f t="shared" si="113"/>
        <v>1274</v>
      </c>
      <c r="S432" s="54">
        <v>3</v>
      </c>
      <c r="T432" s="54">
        <v>0</v>
      </c>
      <c r="U432" s="54">
        <f t="shared" si="114"/>
        <v>3</v>
      </c>
      <c r="V432" s="54">
        <v>12</v>
      </c>
      <c r="W432" s="52">
        <f t="shared" si="93"/>
        <v>11.059027777777779</v>
      </c>
      <c r="X432" s="54">
        <f t="shared" si="121"/>
        <v>4</v>
      </c>
      <c r="Y432" s="50" t="str">
        <f t="shared" si="116"/>
        <v>è in grado</v>
      </c>
      <c r="Z432" s="50" t="str">
        <f t="shared" si="117"/>
        <v>non sottende</v>
      </c>
      <c r="AA432" s="106">
        <f t="shared" si="118"/>
        <v>1.0850863422291992</v>
      </c>
      <c r="AB432" s="50" t="str">
        <f t="shared" si="119"/>
        <v>B</v>
      </c>
      <c r="AC432" s="50" t="str">
        <f t="shared" si="83"/>
        <v>SI</v>
      </c>
      <c r="AD432" s="50" t="str">
        <f t="shared" si="120"/>
        <v>No</v>
      </c>
      <c r="AE432" s="50" t="s">
        <v>343</v>
      </c>
      <c r="AF432" s="55">
        <v>59.79</v>
      </c>
      <c r="AG432" s="55">
        <v>2729</v>
      </c>
      <c r="AH432" s="55">
        <v>2509</v>
      </c>
      <c r="AI432" s="55" t="str">
        <f t="shared" si="103"/>
        <v>Manufatto limitante</v>
      </c>
      <c r="AJ432" s="53">
        <v>109.7</v>
      </c>
      <c r="AK432" s="53">
        <f t="shared" si="104"/>
        <v>22.762078395624428</v>
      </c>
      <c r="AL432" s="53">
        <f t="shared" si="99"/>
        <v>2497</v>
      </c>
      <c r="AM432" s="50" t="s">
        <v>190</v>
      </c>
      <c r="AN432" s="56" t="s">
        <v>222</v>
      </c>
      <c r="AO432" s="57">
        <v>46832</v>
      </c>
      <c r="AP432" s="58" t="s">
        <v>2338</v>
      </c>
      <c r="AQ432" s="58" t="s">
        <v>255</v>
      </c>
      <c r="AR432" s="58" t="s">
        <v>225</v>
      </c>
      <c r="AS432" s="58" t="s">
        <v>225</v>
      </c>
      <c r="AT432" s="64" t="s">
        <v>2339</v>
      </c>
      <c r="AU432" s="1"/>
      <c r="AV432" s="1"/>
      <c r="AW432" s="1"/>
      <c r="AX432" s="1"/>
      <c r="AY432" s="1"/>
      <c r="AZ432" s="1"/>
      <c r="BA432" s="1"/>
      <c r="BB432" s="1"/>
      <c r="BC432" s="1"/>
      <c r="BD432" s="1"/>
      <c r="BE432" s="1"/>
      <c r="BF432" s="1"/>
      <c r="BG432" s="1"/>
    </row>
    <row r="433" spans="1:59" ht="14.25" customHeight="1" x14ac:dyDescent="0.25">
      <c r="A433" s="1"/>
      <c r="B433" s="59"/>
      <c r="C433" s="50" t="s">
        <v>2340</v>
      </c>
      <c r="D433" s="50" t="s">
        <v>2341</v>
      </c>
      <c r="E433" s="50" t="str">
        <f t="shared" si="82"/>
        <v>PP0200620004001B</v>
      </c>
      <c r="F433" s="50" t="s">
        <v>2342</v>
      </c>
      <c r="G433" s="50" t="s">
        <v>2332</v>
      </c>
      <c r="H433" s="50" t="s">
        <v>95</v>
      </c>
      <c r="I433" s="50" t="s">
        <v>2343</v>
      </c>
      <c r="J433" s="50" t="s">
        <v>2344</v>
      </c>
      <c r="K433" s="50" t="s">
        <v>2336</v>
      </c>
      <c r="L433" s="50" t="s">
        <v>2337</v>
      </c>
      <c r="M433" s="50"/>
      <c r="N433" s="52"/>
      <c r="O433" s="50" t="s">
        <v>159</v>
      </c>
      <c r="P433" s="50">
        <v>99</v>
      </c>
      <c r="Q433" s="53">
        <v>0</v>
      </c>
      <c r="R433" s="50">
        <v>99</v>
      </c>
      <c r="S433" s="54">
        <v>0.23</v>
      </c>
      <c r="T433" s="54">
        <v>0</v>
      </c>
      <c r="U433" s="54">
        <f t="shared" si="114"/>
        <v>0.23</v>
      </c>
      <c r="V433" s="54">
        <v>11</v>
      </c>
      <c r="W433" s="52">
        <f t="shared" si="93"/>
        <v>0.859375</v>
      </c>
      <c r="X433" s="54">
        <f t="shared" si="121"/>
        <v>47.826086956521735</v>
      </c>
      <c r="Y433" s="50" t="str">
        <f t="shared" si="116"/>
        <v>è in grado</v>
      </c>
      <c r="Z433" s="50" t="str">
        <f t="shared" si="117"/>
        <v>non sottende</v>
      </c>
      <c r="AA433" s="54">
        <f t="shared" si="118"/>
        <v>12.8</v>
      </c>
      <c r="AB433" s="50" t="str">
        <f t="shared" si="119"/>
        <v>A</v>
      </c>
      <c r="AC433" s="50" t="str">
        <f t="shared" si="83"/>
        <v>SI</v>
      </c>
      <c r="AD433" s="50" t="str">
        <f t="shared" si="120"/>
        <v>No</v>
      </c>
      <c r="AE433" s="50" t="s">
        <v>147</v>
      </c>
      <c r="AF433" s="55">
        <v>4.5999999999999996</v>
      </c>
      <c r="AG433" s="55">
        <v>456</v>
      </c>
      <c r="AH433" s="55">
        <v>322</v>
      </c>
      <c r="AI433" s="55" t="str">
        <f t="shared" si="103"/>
        <v>Manufatto limitante</v>
      </c>
      <c r="AJ433" s="53">
        <v>145</v>
      </c>
      <c r="AK433" s="53">
        <v>2.1</v>
      </c>
      <c r="AL433" s="53">
        <f t="shared" si="99"/>
        <v>311</v>
      </c>
      <c r="AM433" s="50" t="s">
        <v>190</v>
      </c>
      <c r="AN433" s="56" t="s">
        <v>222</v>
      </c>
      <c r="AO433" s="57">
        <v>46832</v>
      </c>
      <c r="AP433" s="58" t="s">
        <v>2338</v>
      </c>
      <c r="AQ433" s="58" t="s">
        <v>255</v>
      </c>
      <c r="AR433" s="58" t="s">
        <v>225</v>
      </c>
      <c r="AS433" s="58" t="s">
        <v>225</v>
      </c>
      <c r="AT433" s="64" t="s">
        <v>2339</v>
      </c>
      <c r="AU433" s="1"/>
      <c r="AV433" s="1"/>
      <c r="AW433" s="1"/>
      <c r="AX433" s="1"/>
      <c r="AY433" s="1"/>
      <c r="AZ433" s="1"/>
      <c r="BA433" s="1"/>
      <c r="BB433" s="1"/>
      <c r="BC433" s="1"/>
      <c r="BD433" s="1"/>
      <c r="BE433" s="1"/>
      <c r="BF433" s="1"/>
      <c r="BG433" s="1"/>
    </row>
    <row r="434" spans="1:59" ht="14.25" customHeight="1" x14ac:dyDescent="0.25">
      <c r="A434" s="1"/>
      <c r="B434" s="59"/>
      <c r="C434" s="50" t="s">
        <v>2345</v>
      </c>
      <c r="D434" s="50" t="s">
        <v>2346</v>
      </c>
      <c r="E434" s="50" t="str">
        <f t="shared" si="82"/>
        <v>PP0200620002001B</v>
      </c>
      <c r="F434" s="50"/>
      <c r="G434" s="50" t="s">
        <v>2332</v>
      </c>
      <c r="H434" s="50" t="s">
        <v>95</v>
      </c>
      <c r="I434" s="50" t="s">
        <v>2347</v>
      </c>
      <c r="J434" s="50" t="s">
        <v>2348</v>
      </c>
      <c r="K434" s="50" t="s">
        <v>2336</v>
      </c>
      <c r="L434" s="50" t="s">
        <v>2337</v>
      </c>
      <c r="M434" s="50"/>
      <c r="N434" s="52"/>
      <c r="O434" s="50" t="s">
        <v>159</v>
      </c>
      <c r="P434" s="50">
        <v>66</v>
      </c>
      <c r="Q434" s="53">
        <v>0</v>
      </c>
      <c r="R434" s="53">
        <f t="shared" ref="R434:R468" si="122">P434+Q434</f>
        <v>66</v>
      </c>
      <c r="S434" s="54">
        <v>0.16</v>
      </c>
      <c r="T434" s="54">
        <v>0</v>
      </c>
      <c r="U434" s="54">
        <f t="shared" si="114"/>
        <v>0.16</v>
      </c>
      <c r="V434" s="54">
        <v>15</v>
      </c>
      <c r="W434" s="52">
        <f t="shared" si="93"/>
        <v>0.57291666666666663</v>
      </c>
      <c r="X434" s="54">
        <f t="shared" si="121"/>
        <v>93.75</v>
      </c>
      <c r="Y434" s="50" t="str">
        <f t="shared" si="116"/>
        <v>è in grado</v>
      </c>
      <c r="Z434" s="50" t="str">
        <f t="shared" si="117"/>
        <v>non sottende</v>
      </c>
      <c r="AA434" s="106">
        <f t="shared" si="118"/>
        <v>26.181818181818183</v>
      </c>
      <c r="AB434" s="50" t="str">
        <f t="shared" si="119"/>
        <v>A</v>
      </c>
      <c r="AC434" s="50" t="str">
        <f t="shared" si="83"/>
        <v>SI</v>
      </c>
      <c r="AD434" s="50" t="str">
        <f t="shared" si="120"/>
        <v>No</v>
      </c>
      <c r="AE434" s="50" t="s">
        <v>147</v>
      </c>
      <c r="AF434" s="55">
        <v>4.59</v>
      </c>
      <c r="AG434" s="55">
        <v>457</v>
      </c>
      <c r="AH434" s="55">
        <v>1601</v>
      </c>
      <c r="AI434" s="55" t="str">
        <f t="shared" si="103"/>
        <v xml:space="preserve"> </v>
      </c>
      <c r="AJ434" s="53">
        <v>209.8</v>
      </c>
      <c r="AK434" s="53">
        <f t="shared" ref="AK434:AK435" si="123">((MIN(AG434:AH434))-V434)/AJ434</f>
        <v>2.1067683508102952</v>
      </c>
      <c r="AL434" s="53">
        <f t="shared" si="99"/>
        <v>442</v>
      </c>
      <c r="AM434" s="50" t="s">
        <v>190</v>
      </c>
      <c r="AN434" s="56" t="s">
        <v>222</v>
      </c>
      <c r="AO434" s="57">
        <v>46832</v>
      </c>
      <c r="AP434" s="58" t="s">
        <v>2338</v>
      </c>
      <c r="AQ434" s="58" t="s">
        <v>255</v>
      </c>
      <c r="AR434" s="58" t="s">
        <v>225</v>
      </c>
      <c r="AS434" s="58" t="s">
        <v>225</v>
      </c>
      <c r="AT434" s="64" t="s">
        <v>2339</v>
      </c>
      <c r="AU434" s="1"/>
      <c r="AV434" s="1"/>
      <c r="AW434" s="1"/>
      <c r="AX434" s="1"/>
      <c r="AY434" s="1"/>
      <c r="AZ434" s="1"/>
      <c r="BA434" s="1"/>
      <c r="BB434" s="1"/>
      <c r="BC434" s="1"/>
      <c r="BD434" s="1"/>
      <c r="BE434" s="1"/>
      <c r="BF434" s="1"/>
      <c r="BG434" s="1"/>
    </row>
    <row r="435" spans="1:59" ht="14.25" customHeight="1" x14ac:dyDescent="0.25">
      <c r="A435" s="1"/>
      <c r="B435" s="59"/>
      <c r="C435" s="50" t="s">
        <v>2349</v>
      </c>
      <c r="D435" s="50" t="s">
        <v>2350</v>
      </c>
      <c r="E435" s="50" t="str">
        <f t="shared" si="82"/>
        <v>PP0200620003001B</v>
      </c>
      <c r="F435" s="50"/>
      <c r="G435" s="50" t="s">
        <v>2332</v>
      </c>
      <c r="H435" s="50" t="s">
        <v>95</v>
      </c>
      <c r="I435" s="50" t="s">
        <v>2351</v>
      </c>
      <c r="J435" s="50" t="s">
        <v>2352</v>
      </c>
      <c r="K435" s="50" t="s">
        <v>2336</v>
      </c>
      <c r="L435" s="50" t="s">
        <v>2337</v>
      </c>
      <c r="M435" s="50"/>
      <c r="N435" s="52"/>
      <c r="O435" s="50" t="s">
        <v>159</v>
      </c>
      <c r="P435" s="50">
        <v>119</v>
      </c>
      <c r="Q435" s="53">
        <v>0</v>
      </c>
      <c r="R435" s="53">
        <f t="shared" si="122"/>
        <v>119</v>
      </c>
      <c r="S435" s="54">
        <v>0.28000000000000003</v>
      </c>
      <c r="T435" s="54">
        <v>0</v>
      </c>
      <c r="U435" s="54">
        <f t="shared" si="114"/>
        <v>0.28000000000000003</v>
      </c>
      <c r="V435" s="54">
        <v>11</v>
      </c>
      <c r="W435" s="52">
        <f t="shared" si="93"/>
        <v>1.0329861111111112</v>
      </c>
      <c r="X435" s="54">
        <f t="shared" si="121"/>
        <v>39.285714285714285</v>
      </c>
      <c r="Y435" s="50" t="str">
        <f t="shared" si="116"/>
        <v>è in grado</v>
      </c>
      <c r="Z435" s="50" t="str">
        <f t="shared" si="117"/>
        <v>non sottende</v>
      </c>
      <c r="AA435" s="54">
        <f t="shared" si="118"/>
        <v>10.648739495798319</v>
      </c>
      <c r="AB435" s="50" t="str">
        <f t="shared" si="119"/>
        <v>A</v>
      </c>
      <c r="AC435" s="50" t="str">
        <f t="shared" si="83"/>
        <v>SI</v>
      </c>
      <c r="AD435" s="50" t="str">
        <f t="shared" si="120"/>
        <v>No</v>
      </c>
      <c r="AE435" s="50" t="s">
        <v>147</v>
      </c>
      <c r="AF435" s="55">
        <v>10.81</v>
      </c>
      <c r="AG435" s="55">
        <v>914</v>
      </c>
      <c r="AH435" s="55">
        <v>1509</v>
      </c>
      <c r="AI435" s="55" t="str">
        <f t="shared" si="103"/>
        <v xml:space="preserve"> </v>
      </c>
      <c r="AJ435" s="53">
        <v>169.3</v>
      </c>
      <c r="AK435" s="53">
        <f t="shared" si="123"/>
        <v>5.3337271116361489</v>
      </c>
      <c r="AL435" s="53">
        <f t="shared" si="99"/>
        <v>903</v>
      </c>
      <c r="AM435" s="70" t="s">
        <v>190</v>
      </c>
      <c r="AN435" s="56" t="s">
        <v>222</v>
      </c>
      <c r="AO435" s="57">
        <v>46832</v>
      </c>
      <c r="AP435" s="58" t="s">
        <v>2338</v>
      </c>
      <c r="AQ435" s="58" t="s">
        <v>255</v>
      </c>
      <c r="AR435" s="58" t="s">
        <v>225</v>
      </c>
      <c r="AS435" s="58" t="s">
        <v>225</v>
      </c>
      <c r="AT435" s="64" t="s">
        <v>2339</v>
      </c>
      <c r="AU435" s="1"/>
      <c r="AV435" s="1"/>
      <c r="AW435" s="1"/>
      <c r="AX435" s="1"/>
      <c r="AY435" s="1"/>
      <c r="AZ435" s="1"/>
      <c r="BA435" s="1"/>
      <c r="BB435" s="1"/>
      <c r="BC435" s="1"/>
      <c r="BD435" s="1"/>
      <c r="BE435" s="1"/>
      <c r="BF435" s="1"/>
      <c r="BG435" s="1"/>
    </row>
    <row r="436" spans="1:59" ht="14.25" customHeight="1" x14ac:dyDescent="0.25">
      <c r="A436" s="1"/>
      <c r="B436" s="59"/>
      <c r="C436" s="50" t="s">
        <v>2353</v>
      </c>
      <c r="D436" s="50" t="s">
        <v>2354</v>
      </c>
      <c r="E436" s="50" t="str">
        <f t="shared" si="82"/>
        <v>PP0200550004001B</v>
      </c>
      <c r="F436" s="50"/>
      <c r="G436" s="50" t="s">
        <v>2355</v>
      </c>
      <c r="H436" s="50" t="s">
        <v>2356</v>
      </c>
      <c r="I436" s="50" t="s">
        <v>2357</v>
      </c>
      <c r="J436" s="50" t="s">
        <v>2358</v>
      </c>
      <c r="K436" s="50" t="s">
        <v>2359</v>
      </c>
      <c r="L436" s="70" t="s">
        <v>2360</v>
      </c>
      <c r="M436" s="50" t="s">
        <v>286</v>
      </c>
      <c r="N436" s="52"/>
      <c r="O436" s="50" t="s">
        <v>159</v>
      </c>
      <c r="P436" s="50">
        <v>1088</v>
      </c>
      <c r="Q436" s="53">
        <v>11</v>
      </c>
      <c r="R436" s="53">
        <f t="shared" si="122"/>
        <v>1099</v>
      </c>
      <c r="S436" s="54">
        <v>2.56</v>
      </c>
      <c r="T436" s="54">
        <v>7.0000000000000007E-2</v>
      </c>
      <c r="U436" s="54">
        <f t="shared" si="114"/>
        <v>2.63</v>
      </c>
      <c r="V436" s="54">
        <v>20</v>
      </c>
      <c r="W436" s="52">
        <f t="shared" si="93"/>
        <v>9.5399305555555554</v>
      </c>
      <c r="X436" s="54">
        <f t="shared" si="121"/>
        <v>7.6045627376425857</v>
      </c>
      <c r="Y436" s="50" t="str">
        <f t="shared" si="116"/>
        <v>è in grado</v>
      </c>
      <c r="Z436" s="50" t="str">
        <f t="shared" si="117"/>
        <v>non sottende</v>
      </c>
      <c r="AA436" s="106">
        <f t="shared" si="118"/>
        <v>2.0964513193812557</v>
      </c>
      <c r="AB436" s="50" t="str">
        <f t="shared" si="119"/>
        <v>A</v>
      </c>
      <c r="AC436" s="50" t="str">
        <f t="shared" si="83"/>
        <v>SI</v>
      </c>
      <c r="AD436" s="50" t="str">
        <f t="shared" si="120"/>
        <v>No</v>
      </c>
      <c r="AE436" s="50" t="s">
        <v>147</v>
      </c>
      <c r="AF436" s="55">
        <v>26.27</v>
      </c>
      <c r="AG436" s="55">
        <v>1610</v>
      </c>
      <c r="AH436" s="55">
        <v>2360</v>
      </c>
      <c r="AI436" s="55" t="str">
        <f t="shared" si="103"/>
        <v xml:space="preserve"> </v>
      </c>
      <c r="AJ436" s="53">
        <v>35</v>
      </c>
      <c r="AK436" s="53">
        <v>10</v>
      </c>
      <c r="AL436" s="53">
        <f t="shared" si="99"/>
        <v>1590</v>
      </c>
      <c r="AM436" s="70" t="s">
        <v>147</v>
      </c>
      <c r="AN436" s="56" t="s">
        <v>222</v>
      </c>
      <c r="AO436" s="57">
        <v>46775</v>
      </c>
      <c r="AP436" s="58" t="s">
        <v>2361</v>
      </c>
      <c r="AQ436" s="58" t="s">
        <v>1113</v>
      </c>
      <c r="AR436" s="58">
        <v>2042</v>
      </c>
      <c r="AS436" s="58" t="s">
        <v>2362</v>
      </c>
      <c r="AT436" s="64"/>
      <c r="AU436" s="69"/>
      <c r="AV436" s="69"/>
      <c r="AW436" s="69"/>
      <c r="AX436" s="69"/>
      <c r="AY436" s="69"/>
      <c r="AZ436" s="69"/>
      <c r="BA436" s="69"/>
      <c r="BB436" s="69"/>
      <c r="BC436" s="69"/>
      <c r="BD436" s="69"/>
      <c r="BE436" s="69"/>
      <c r="BF436" s="1"/>
      <c r="BG436" s="1"/>
    </row>
    <row r="437" spans="1:59" ht="14.25" customHeight="1" x14ac:dyDescent="0.25">
      <c r="A437" s="1"/>
      <c r="B437" s="59"/>
      <c r="C437" s="50" t="s">
        <v>2363</v>
      </c>
      <c r="D437" s="50" t="s">
        <v>2364</v>
      </c>
      <c r="E437" s="50" t="str">
        <f t="shared" si="82"/>
        <v>PP0200550002001B</v>
      </c>
      <c r="F437" s="70"/>
      <c r="G437" s="50" t="s">
        <v>2355</v>
      </c>
      <c r="H437" s="50" t="s">
        <v>95</v>
      </c>
      <c r="I437" s="70" t="s">
        <v>2365</v>
      </c>
      <c r="J437" s="50" t="s">
        <v>2366</v>
      </c>
      <c r="K437" s="50" t="s">
        <v>2359</v>
      </c>
      <c r="L437" s="70" t="s">
        <v>2367</v>
      </c>
      <c r="M437" s="70"/>
      <c r="N437" s="52"/>
      <c r="O437" s="50" t="s">
        <v>159</v>
      </c>
      <c r="P437" s="70">
        <v>777</v>
      </c>
      <c r="Q437" s="73">
        <v>14</v>
      </c>
      <c r="R437" s="53">
        <f t="shared" si="122"/>
        <v>791</v>
      </c>
      <c r="S437" s="54">
        <v>1.83</v>
      </c>
      <c r="T437" s="54">
        <v>0.08</v>
      </c>
      <c r="U437" s="54">
        <f t="shared" si="114"/>
        <v>1.9100000000000001</v>
      </c>
      <c r="V437" s="54">
        <v>44</v>
      </c>
      <c r="W437" s="52">
        <f t="shared" si="93"/>
        <v>6.8663194444444446</v>
      </c>
      <c r="X437" s="54">
        <f t="shared" si="121"/>
        <v>23.036649214659683</v>
      </c>
      <c r="Y437" s="50" t="str">
        <f t="shared" si="116"/>
        <v>è in grado</v>
      </c>
      <c r="Z437" s="50" t="str">
        <f t="shared" si="117"/>
        <v>non sottende</v>
      </c>
      <c r="AA437" s="106">
        <f t="shared" si="118"/>
        <v>6.4080910240202273</v>
      </c>
      <c r="AB437" s="50" t="str">
        <f t="shared" si="119"/>
        <v>A</v>
      </c>
      <c r="AC437" s="50" t="str">
        <f t="shared" si="83"/>
        <v>SI</v>
      </c>
      <c r="AD437" s="50" t="str">
        <f t="shared" si="120"/>
        <v>Si</v>
      </c>
      <c r="AE437" s="50" t="s">
        <v>147</v>
      </c>
      <c r="AF437" s="55">
        <v>43.87</v>
      </c>
      <c r="AG437" s="55">
        <v>2450</v>
      </c>
      <c r="AH437" s="55">
        <v>818</v>
      </c>
      <c r="AI437" s="55" t="str">
        <f t="shared" si="103"/>
        <v>Manufatto limitante</v>
      </c>
      <c r="AJ437" s="73">
        <v>44.69</v>
      </c>
      <c r="AK437" s="53">
        <f t="shared" ref="AK437:AK440" si="124">((MIN(AG437:AH437))-V437)/AJ437</f>
        <v>17.319310807786977</v>
      </c>
      <c r="AL437" s="53">
        <f t="shared" si="99"/>
        <v>774</v>
      </c>
      <c r="AM437" s="50" t="s">
        <v>190</v>
      </c>
      <c r="AN437" s="56" t="s">
        <v>222</v>
      </c>
      <c r="AO437" s="57">
        <v>46775</v>
      </c>
      <c r="AP437" s="58" t="s">
        <v>2361</v>
      </c>
      <c r="AQ437" s="58" t="s">
        <v>1113</v>
      </c>
      <c r="AR437" s="58">
        <v>2042</v>
      </c>
      <c r="AS437" s="58" t="s">
        <v>2368</v>
      </c>
      <c r="AT437" s="64"/>
      <c r="AU437" s="1"/>
      <c r="AV437" s="1"/>
      <c r="AW437" s="1"/>
      <c r="AX437" s="1"/>
      <c r="AY437" s="1"/>
      <c r="AZ437" s="1"/>
      <c r="BA437" s="1"/>
      <c r="BB437" s="1"/>
      <c r="BC437" s="1"/>
      <c r="BD437" s="1"/>
      <c r="BE437" s="1"/>
      <c r="BF437" s="1"/>
      <c r="BG437" s="1"/>
    </row>
    <row r="438" spans="1:59" ht="14.25" customHeight="1" x14ac:dyDescent="0.25">
      <c r="A438" s="1"/>
      <c r="B438" s="59"/>
      <c r="C438" s="70" t="s">
        <v>2369</v>
      </c>
      <c r="D438" s="50" t="s">
        <v>2370</v>
      </c>
      <c r="E438" s="50" t="str">
        <f t="shared" si="82"/>
        <v>PP0200550007001B</v>
      </c>
      <c r="F438" s="70"/>
      <c r="G438" s="70" t="s">
        <v>2355</v>
      </c>
      <c r="H438" s="70" t="s">
        <v>95</v>
      </c>
      <c r="I438" s="70" t="s">
        <v>2365</v>
      </c>
      <c r="J438" s="50" t="s">
        <v>2371</v>
      </c>
      <c r="K438" s="70" t="s">
        <v>2359</v>
      </c>
      <c r="L438" s="70" t="s">
        <v>2367</v>
      </c>
      <c r="M438" s="70"/>
      <c r="N438" s="72"/>
      <c r="O438" s="70" t="s">
        <v>151</v>
      </c>
      <c r="P438" s="70">
        <v>1258</v>
      </c>
      <c r="Q438" s="73">
        <v>14</v>
      </c>
      <c r="R438" s="73">
        <f t="shared" si="122"/>
        <v>1272</v>
      </c>
      <c r="S438" s="74">
        <v>2.96</v>
      </c>
      <c r="T438" s="74">
        <v>0.08</v>
      </c>
      <c r="U438" s="74">
        <f t="shared" si="114"/>
        <v>3.04</v>
      </c>
      <c r="V438" s="74">
        <v>908.96</v>
      </c>
      <c r="W438" s="52">
        <f t="shared" si="93"/>
        <v>11.041666666666666</v>
      </c>
      <c r="X438" s="74">
        <f t="shared" si="121"/>
        <v>299</v>
      </c>
      <c r="Y438" s="70" t="str">
        <f t="shared" si="116"/>
        <v>è in grado</v>
      </c>
      <c r="Z438" s="70" t="str">
        <f t="shared" si="117"/>
        <v>non sottende</v>
      </c>
      <c r="AA438" s="112">
        <f t="shared" si="118"/>
        <v>82.320905660377363</v>
      </c>
      <c r="AB438" s="70" t="str">
        <f t="shared" si="119"/>
        <v>A</v>
      </c>
      <c r="AC438" s="50" t="str">
        <f t="shared" si="83"/>
        <v>SI</v>
      </c>
      <c r="AD438" s="70" t="str">
        <f t="shared" si="120"/>
        <v>Si</v>
      </c>
      <c r="AE438" s="70" t="s">
        <v>147</v>
      </c>
      <c r="AF438" s="71">
        <v>16.600000000000001</v>
      </c>
      <c r="AG438" s="71">
        <v>1638</v>
      </c>
      <c r="AH438" s="71">
        <v>2266</v>
      </c>
      <c r="AI438" s="55" t="str">
        <f t="shared" si="103"/>
        <v xml:space="preserve"> </v>
      </c>
      <c r="AJ438" s="73">
        <v>95.02</v>
      </c>
      <c r="AK438" s="53">
        <f t="shared" si="124"/>
        <v>7.6724900021048201</v>
      </c>
      <c r="AL438" s="53">
        <f t="shared" si="99"/>
        <v>729.04</v>
      </c>
      <c r="AM438" s="70" t="s">
        <v>190</v>
      </c>
      <c r="AN438" s="56" t="s">
        <v>222</v>
      </c>
      <c r="AO438" s="57">
        <v>46775</v>
      </c>
      <c r="AP438" s="58" t="s">
        <v>2361</v>
      </c>
      <c r="AQ438" s="58" t="s">
        <v>1113</v>
      </c>
      <c r="AR438" s="58">
        <v>2042</v>
      </c>
      <c r="AS438" s="58" t="s">
        <v>2372</v>
      </c>
      <c r="AT438" s="64"/>
      <c r="AU438" s="1"/>
      <c r="AV438" s="1"/>
      <c r="AW438" s="1"/>
      <c r="AX438" s="1"/>
      <c r="AY438" s="1"/>
      <c r="AZ438" s="1"/>
      <c r="BA438" s="1"/>
      <c r="BB438" s="1"/>
      <c r="BC438" s="1"/>
      <c r="BD438" s="1"/>
      <c r="BE438" s="1"/>
      <c r="BF438" s="1"/>
      <c r="BG438" s="1"/>
    </row>
    <row r="439" spans="1:59" ht="14.25" customHeight="1" x14ac:dyDescent="0.25">
      <c r="A439" s="1"/>
      <c r="B439" s="59"/>
      <c r="C439" s="8" t="s">
        <v>2373</v>
      </c>
      <c r="D439" s="50" t="s">
        <v>2374</v>
      </c>
      <c r="E439" s="50" t="str">
        <f t="shared" si="82"/>
        <v>PP0200550006001B</v>
      </c>
      <c r="F439" s="55"/>
      <c r="G439" s="50" t="s">
        <v>2355</v>
      </c>
      <c r="H439" s="50" t="s">
        <v>95</v>
      </c>
      <c r="I439" s="50" t="s">
        <v>2375</v>
      </c>
      <c r="J439" s="50" t="s">
        <v>2376</v>
      </c>
      <c r="K439" s="50" t="s">
        <v>2359</v>
      </c>
      <c r="L439" s="50" t="s">
        <v>2377</v>
      </c>
      <c r="M439" s="70"/>
      <c r="N439" s="52"/>
      <c r="O439" s="50" t="s">
        <v>253</v>
      </c>
      <c r="P439" s="50">
        <v>15</v>
      </c>
      <c r="Q439" s="53">
        <v>0</v>
      </c>
      <c r="R439" s="53">
        <f t="shared" si="122"/>
        <v>15</v>
      </c>
      <c r="S439" s="54">
        <v>0.04</v>
      </c>
      <c r="T439" s="54">
        <v>0</v>
      </c>
      <c r="U439" s="54">
        <f t="shared" si="114"/>
        <v>0.04</v>
      </c>
      <c r="V439" s="54">
        <v>10</v>
      </c>
      <c r="W439" s="52">
        <f t="shared" si="93"/>
        <v>0.13020833333333334</v>
      </c>
      <c r="X439" s="54">
        <f t="shared" si="121"/>
        <v>250</v>
      </c>
      <c r="Y439" s="50" t="str">
        <f t="shared" si="116"/>
        <v>è in grado</v>
      </c>
      <c r="Z439" s="50" t="str">
        <f t="shared" si="117"/>
        <v>non sottende</v>
      </c>
      <c r="AA439" s="106">
        <f t="shared" si="118"/>
        <v>76.8</v>
      </c>
      <c r="AB439" s="50" t="str">
        <f t="shared" si="119"/>
        <v>A</v>
      </c>
      <c r="AC439" s="50" t="str">
        <f t="shared" si="83"/>
        <v>SI</v>
      </c>
      <c r="AD439" s="50" t="str">
        <f t="shared" si="120"/>
        <v>No</v>
      </c>
      <c r="AE439" s="50" t="s">
        <v>147</v>
      </c>
      <c r="AF439" s="55">
        <v>8.0500000000000007</v>
      </c>
      <c r="AG439" s="55">
        <v>1289</v>
      </c>
      <c r="AH439" s="55">
        <v>471</v>
      </c>
      <c r="AI439" s="55" t="str">
        <f t="shared" si="103"/>
        <v>Manufatto limitante</v>
      </c>
      <c r="AJ439" s="53">
        <v>69.3</v>
      </c>
      <c r="AK439" s="53">
        <f t="shared" si="124"/>
        <v>6.6522366522366525</v>
      </c>
      <c r="AL439" s="53">
        <f t="shared" si="99"/>
        <v>461</v>
      </c>
      <c r="AM439" s="50" t="s">
        <v>190</v>
      </c>
      <c r="AN439" s="56" t="s">
        <v>222</v>
      </c>
      <c r="AO439" s="57">
        <v>46775</v>
      </c>
      <c r="AP439" s="58" t="s">
        <v>2361</v>
      </c>
      <c r="AQ439" s="58" t="s">
        <v>255</v>
      </c>
      <c r="AR439" s="58">
        <v>2042</v>
      </c>
      <c r="AS439" s="58" t="s">
        <v>2378</v>
      </c>
      <c r="AT439" s="64"/>
      <c r="AU439" s="1"/>
      <c r="AV439" s="1"/>
      <c r="AW439" s="1"/>
      <c r="AX439" s="1"/>
      <c r="AY439" s="1"/>
      <c r="AZ439" s="1"/>
      <c r="BA439" s="1"/>
      <c r="BB439" s="1"/>
      <c r="BC439" s="1"/>
      <c r="BD439" s="1"/>
      <c r="BE439" s="1"/>
      <c r="BF439" s="1"/>
      <c r="BG439" s="1"/>
    </row>
    <row r="440" spans="1:59" ht="15.75" customHeight="1" x14ac:dyDescent="0.25">
      <c r="A440" s="1"/>
      <c r="B440" s="59"/>
      <c r="C440" s="8" t="s">
        <v>2379</v>
      </c>
      <c r="D440" s="50" t="s">
        <v>2380</v>
      </c>
      <c r="E440" s="50" t="str">
        <f t="shared" si="82"/>
        <v>PP0200550001001B</v>
      </c>
      <c r="F440" s="50"/>
      <c r="G440" s="50" t="s">
        <v>2355</v>
      </c>
      <c r="H440" s="50" t="s">
        <v>95</v>
      </c>
      <c r="I440" s="50" t="s">
        <v>2381</v>
      </c>
      <c r="J440" s="50" t="s">
        <v>2382</v>
      </c>
      <c r="K440" s="50" t="s">
        <v>2359</v>
      </c>
      <c r="L440" s="50" t="s">
        <v>2383</v>
      </c>
      <c r="M440" s="50"/>
      <c r="N440" s="52"/>
      <c r="O440" s="50" t="s">
        <v>253</v>
      </c>
      <c r="P440" s="50">
        <v>104</v>
      </c>
      <c r="Q440" s="53">
        <v>0</v>
      </c>
      <c r="R440" s="53">
        <f t="shared" si="122"/>
        <v>104</v>
      </c>
      <c r="S440" s="54">
        <v>0.24</v>
      </c>
      <c r="T440" s="54">
        <v>0</v>
      </c>
      <c r="U440" s="54">
        <f t="shared" si="114"/>
        <v>0.24</v>
      </c>
      <c r="V440" s="54">
        <v>56.5</v>
      </c>
      <c r="W440" s="52">
        <f t="shared" si="93"/>
        <v>0.90277777777777779</v>
      </c>
      <c r="X440" s="54">
        <f t="shared" si="121"/>
        <v>235.41666666666669</v>
      </c>
      <c r="Y440" s="50" t="str">
        <f t="shared" si="116"/>
        <v>è in grado</v>
      </c>
      <c r="Z440" s="50" t="str">
        <f t="shared" si="117"/>
        <v>non sottende</v>
      </c>
      <c r="AA440" s="106">
        <f t="shared" si="118"/>
        <v>62.584615384615383</v>
      </c>
      <c r="AB440" s="50" t="str">
        <f t="shared" si="119"/>
        <v>A</v>
      </c>
      <c r="AC440" s="50" t="str">
        <f t="shared" si="83"/>
        <v>SI</v>
      </c>
      <c r="AD440" s="50" t="str">
        <f t="shared" si="120"/>
        <v>Si</v>
      </c>
      <c r="AE440" s="50" t="s">
        <v>147</v>
      </c>
      <c r="AF440" s="55">
        <v>6.09</v>
      </c>
      <c r="AG440" s="55">
        <v>869</v>
      </c>
      <c r="AH440" s="55">
        <v>3464</v>
      </c>
      <c r="AI440" s="55" t="str">
        <f t="shared" si="103"/>
        <v xml:space="preserve"> </v>
      </c>
      <c r="AJ440" s="53">
        <v>222</v>
      </c>
      <c r="AK440" s="53">
        <f t="shared" si="124"/>
        <v>3.6599099099099099</v>
      </c>
      <c r="AL440" s="53">
        <f t="shared" si="99"/>
        <v>812.5</v>
      </c>
      <c r="AM440" s="50" t="s">
        <v>190</v>
      </c>
      <c r="AN440" s="56" t="s">
        <v>222</v>
      </c>
      <c r="AO440" s="57">
        <v>46775</v>
      </c>
      <c r="AP440" s="58" t="s">
        <v>2361</v>
      </c>
      <c r="AQ440" s="58" t="s">
        <v>1113</v>
      </c>
      <c r="AR440" s="58">
        <v>2042</v>
      </c>
      <c r="AS440" s="58" t="s">
        <v>2384</v>
      </c>
      <c r="AT440" s="64"/>
      <c r="AU440" s="1"/>
      <c r="AV440" s="1"/>
      <c r="AW440" s="1"/>
      <c r="AX440" s="1"/>
      <c r="AY440" s="1"/>
      <c r="AZ440" s="1"/>
      <c r="BA440" s="1"/>
      <c r="BB440" s="1"/>
      <c r="BC440" s="1"/>
      <c r="BD440" s="1"/>
      <c r="BE440" s="1"/>
      <c r="BF440" s="1"/>
      <c r="BG440" s="1"/>
    </row>
    <row r="441" spans="1:59" ht="14.25" customHeight="1" x14ac:dyDescent="0.25">
      <c r="A441" s="1"/>
      <c r="B441" s="59"/>
      <c r="C441" s="50" t="s">
        <v>2385</v>
      </c>
      <c r="D441" s="50" t="s">
        <v>2386</v>
      </c>
      <c r="E441" s="50" t="str">
        <f t="shared" si="82"/>
        <v>PP0200550003001B</v>
      </c>
      <c r="F441" s="50"/>
      <c r="G441" s="50" t="s">
        <v>2355</v>
      </c>
      <c r="H441" s="50" t="s">
        <v>95</v>
      </c>
      <c r="I441" s="50" t="s">
        <v>2387</v>
      </c>
      <c r="J441" s="50" t="s">
        <v>2388</v>
      </c>
      <c r="K441" s="50" t="s">
        <v>2359</v>
      </c>
      <c r="L441" s="50" t="s">
        <v>2360</v>
      </c>
      <c r="M441" s="50" t="s">
        <v>286</v>
      </c>
      <c r="N441" s="52"/>
      <c r="O441" s="50" t="s">
        <v>118</v>
      </c>
      <c r="P441" s="50">
        <v>3532</v>
      </c>
      <c r="Q441" s="53">
        <v>14</v>
      </c>
      <c r="R441" s="53">
        <f t="shared" si="122"/>
        <v>3546</v>
      </c>
      <c r="S441" s="54">
        <v>8.31</v>
      </c>
      <c r="T441" s="54">
        <v>0.08</v>
      </c>
      <c r="U441" s="54">
        <f t="shared" si="114"/>
        <v>8.39</v>
      </c>
      <c r="V441" s="54">
        <v>46</v>
      </c>
      <c r="W441" s="52">
        <f t="shared" si="93"/>
        <v>30.78125</v>
      </c>
      <c r="X441" s="54">
        <f t="shared" si="121"/>
        <v>5.4827175208581638</v>
      </c>
      <c r="Y441" s="50" t="str">
        <f t="shared" si="116"/>
        <v>è in grado</v>
      </c>
      <c r="Z441" s="50" t="str">
        <f t="shared" si="117"/>
        <v>non sottende</v>
      </c>
      <c r="AA441" s="106">
        <f t="shared" si="118"/>
        <v>1.4944162436548223</v>
      </c>
      <c r="AB441" s="50" t="str">
        <f t="shared" si="119"/>
        <v>B</v>
      </c>
      <c r="AC441" s="50" t="str">
        <f t="shared" si="83"/>
        <v>SI</v>
      </c>
      <c r="AD441" s="50" t="str">
        <f t="shared" si="120"/>
        <v>Si</v>
      </c>
      <c r="AE441" s="50" t="s">
        <v>343</v>
      </c>
      <c r="AF441" s="55">
        <v>99.37</v>
      </c>
      <c r="AG441" s="55">
        <v>7264</v>
      </c>
      <c r="AH441" s="55">
        <v>9881</v>
      </c>
      <c r="AI441" s="55" t="str">
        <f t="shared" si="103"/>
        <v xml:space="preserve"> </v>
      </c>
      <c r="AJ441" s="53">
        <v>11.2</v>
      </c>
      <c r="AK441" s="53">
        <v>49.82</v>
      </c>
      <c r="AL441" s="53">
        <f t="shared" si="99"/>
        <v>7218</v>
      </c>
      <c r="AM441" s="50" t="s">
        <v>147</v>
      </c>
      <c r="AN441" s="56" t="s">
        <v>236</v>
      </c>
      <c r="AO441" s="57">
        <v>46775</v>
      </c>
      <c r="AP441" s="58" t="s">
        <v>2361</v>
      </c>
      <c r="AQ441" s="58" t="s">
        <v>1113</v>
      </c>
      <c r="AR441" s="58">
        <v>2042</v>
      </c>
      <c r="AS441" s="58" t="s">
        <v>2389</v>
      </c>
      <c r="AT441" s="64"/>
      <c r="AU441" s="1"/>
      <c r="AV441" s="1"/>
      <c r="AW441" s="1"/>
      <c r="AX441" s="1"/>
      <c r="AY441" s="1"/>
      <c r="AZ441" s="1"/>
      <c r="BA441" s="1"/>
      <c r="BB441" s="1"/>
      <c r="BC441" s="1"/>
      <c r="BD441" s="1"/>
      <c r="BE441" s="1"/>
      <c r="BF441" s="1"/>
      <c r="BG441" s="1"/>
    </row>
    <row r="442" spans="1:59" ht="14.25" customHeight="1" x14ac:dyDescent="0.25">
      <c r="A442" s="1"/>
      <c r="B442" s="59"/>
      <c r="C442" s="50" t="s">
        <v>2390</v>
      </c>
      <c r="D442" s="50" t="s">
        <v>2391</v>
      </c>
      <c r="E442" s="50" t="str">
        <f t="shared" si="82"/>
        <v>PP0200550005001B</v>
      </c>
      <c r="F442" s="50"/>
      <c r="G442" s="50" t="s">
        <v>2355</v>
      </c>
      <c r="H442" s="50" t="s">
        <v>95</v>
      </c>
      <c r="I442" s="50" t="s">
        <v>2392</v>
      </c>
      <c r="J442" s="50" t="s">
        <v>2393</v>
      </c>
      <c r="K442" s="50" t="s">
        <v>2359</v>
      </c>
      <c r="L442" s="50" t="s">
        <v>2383</v>
      </c>
      <c r="M442" s="50"/>
      <c r="N442" s="52"/>
      <c r="O442" s="50" t="s">
        <v>151</v>
      </c>
      <c r="P442" s="50">
        <v>661</v>
      </c>
      <c r="Q442" s="53">
        <v>11</v>
      </c>
      <c r="R442" s="53">
        <f t="shared" si="122"/>
        <v>672</v>
      </c>
      <c r="S442" s="54">
        <v>1.55</v>
      </c>
      <c r="T442" s="54">
        <v>7.0000000000000007E-2</v>
      </c>
      <c r="U442" s="54">
        <f t="shared" si="114"/>
        <v>1.62</v>
      </c>
      <c r="V442" s="54">
        <v>84.05</v>
      </c>
      <c r="W442" s="52">
        <f t="shared" si="93"/>
        <v>5.833333333333333</v>
      </c>
      <c r="X442" s="54">
        <f t="shared" si="121"/>
        <v>51.882716049382708</v>
      </c>
      <c r="Y442" s="50" t="str">
        <f t="shared" si="116"/>
        <v>è in grado</v>
      </c>
      <c r="Z442" s="50" t="str">
        <f t="shared" si="117"/>
        <v>non sottende</v>
      </c>
      <c r="AA442" s="106">
        <f t="shared" si="118"/>
        <v>14.408571428571429</v>
      </c>
      <c r="AB442" s="50" t="str">
        <f t="shared" si="119"/>
        <v>A</v>
      </c>
      <c r="AC442" s="50" t="str">
        <f t="shared" si="83"/>
        <v>SI</v>
      </c>
      <c r="AD442" s="50" t="str">
        <f t="shared" si="120"/>
        <v>Si</v>
      </c>
      <c r="AE442" s="50" t="s">
        <v>147</v>
      </c>
      <c r="AF442" s="55">
        <v>53.91</v>
      </c>
      <c r="AG442" s="55">
        <v>3867</v>
      </c>
      <c r="AH442" s="55">
        <v>1581</v>
      </c>
      <c r="AI442" s="55" t="str">
        <f t="shared" si="103"/>
        <v>Manufatto limitante</v>
      </c>
      <c r="AJ442" s="53">
        <v>27.6</v>
      </c>
      <c r="AK442" s="53">
        <v>32.6</v>
      </c>
      <c r="AL442" s="53">
        <f t="shared" si="99"/>
        <v>1496.95</v>
      </c>
      <c r="AM442" s="50" t="s">
        <v>147</v>
      </c>
      <c r="AN442" s="56" t="s">
        <v>222</v>
      </c>
      <c r="AO442" s="57">
        <v>46775</v>
      </c>
      <c r="AP442" s="58" t="s">
        <v>2361</v>
      </c>
      <c r="AQ442" s="58" t="s">
        <v>1113</v>
      </c>
      <c r="AR442" s="58">
        <v>2042</v>
      </c>
      <c r="AS442" s="58" t="s">
        <v>2394</v>
      </c>
      <c r="AT442" s="64"/>
      <c r="AU442" s="1"/>
      <c r="AV442" s="1"/>
      <c r="AW442" s="1"/>
      <c r="AX442" s="1"/>
      <c r="AY442" s="1"/>
      <c r="AZ442" s="1"/>
      <c r="BA442" s="1"/>
      <c r="BB442" s="1"/>
      <c r="BC442" s="1"/>
      <c r="BD442" s="1"/>
      <c r="BE442" s="1"/>
      <c r="BF442" s="1"/>
      <c r="BG442" s="1"/>
    </row>
    <row r="443" spans="1:59" ht="14.25" customHeight="1" x14ac:dyDescent="0.25">
      <c r="A443" s="1"/>
      <c r="B443" s="68"/>
      <c r="C443" s="50" t="s">
        <v>2395</v>
      </c>
      <c r="D443" s="50"/>
      <c r="E443" s="50" t="str">
        <f t="shared" si="82"/>
        <v>001B</v>
      </c>
      <c r="F443" s="50"/>
      <c r="G443" s="50" t="s">
        <v>193</v>
      </c>
      <c r="H443" s="50" t="s">
        <v>2396</v>
      </c>
      <c r="I443" s="50" t="s">
        <v>2397</v>
      </c>
      <c r="J443" s="50" t="s">
        <v>2398</v>
      </c>
      <c r="K443" s="50" t="s">
        <v>141</v>
      </c>
      <c r="L443" s="50" t="s">
        <v>2399</v>
      </c>
      <c r="M443" s="51" t="s">
        <v>221</v>
      </c>
      <c r="N443" s="52"/>
      <c r="O443" s="50" t="s">
        <v>151</v>
      </c>
      <c r="P443" s="50">
        <v>175</v>
      </c>
      <c r="Q443" s="53">
        <v>0</v>
      </c>
      <c r="R443" s="53">
        <f t="shared" si="122"/>
        <v>175</v>
      </c>
      <c r="S443" s="54">
        <v>0.41</v>
      </c>
      <c r="T443" s="54">
        <v>0</v>
      </c>
      <c r="U443" s="54">
        <f t="shared" si="114"/>
        <v>0.41</v>
      </c>
      <c r="V443" s="54">
        <v>41.64</v>
      </c>
      <c r="W443" s="52">
        <f t="shared" si="93"/>
        <v>1.5190972222222223</v>
      </c>
      <c r="X443" s="54">
        <f t="shared" si="121"/>
        <v>101.5609756097561</v>
      </c>
      <c r="Y443" s="50" t="str">
        <f t="shared" si="116"/>
        <v>è in grado</v>
      </c>
      <c r="Z443" s="50" t="str">
        <f t="shared" si="117"/>
        <v>non sottende</v>
      </c>
      <c r="AA443" s="106">
        <f t="shared" si="118"/>
        <v>27.411017142857141</v>
      </c>
      <c r="AB443" s="50" t="str">
        <f t="shared" si="119"/>
        <v>A</v>
      </c>
      <c r="AC443" s="50" t="str">
        <f t="shared" si="83"/>
        <v>SI</v>
      </c>
      <c r="AD443" s="50" t="str">
        <f t="shared" si="120"/>
        <v>Si</v>
      </c>
      <c r="AE443" s="50" t="s">
        <v>147</v>
      </c>
      <c r="AF443" s="55">
        <v>6.51</v>
      </c>
      <c r="AG443" s="55">
        <v>728</v>
      </c>
      <c r="AH443" s="55">
        <v>1915</v>
      </c>
      <c r="AI443" s="55" t="str">
        <f t="shared" si="103"/>
        <v xml:space="preserve"> </v>
      </c>
      <c r="AJ443" s="53">
        <v>230.64</v>
      </c>
      <c r="AK443" s="53">
        <f t="shared" ref="AK443:AK446" si="125">((MIN(AG443:AH443))-V443)/AJ443</f>
        <v>2.9758931668400974</v>
      </c>
      <c r="AL443" s="53">
        <f t="shared" si="99"/>
        <v>686.36</v>
      </c>
      <c r="AM443" s="50" t="s">
        <v>190</v>
      </c>
      <c r="AN443" s="56" t="s">
        <v>222</v>
      </c>
      <c r="AO443" s="66"/>
      <c r="AP443" s="58" t="s">
        <v>223</v>
      </c>
      <c r="AQ443" s="58" t="s">
        <v>224</v>
      </c>
      <c r="AR443" s="58" t="s">
        <v>225</v>
      </c>
      <c r="AS443" s="58" t="s">
        <v>92</v>
      </c>
      <c r="AT443" s="50"/>
      <c r="AU443" s="1"/>
      <c r="AV443" s="1"/>
      <c r="AW443" s="1"/>
      <c r="AX443" s="1"/>
      <c r="AY443" s="1"/>
      <c r="AZ443" s="1"/>
      <c r="BA443" s="1"/>
      <c r="BB443" s="1"/>
      <c r="BC443" s="1"/>
      <c r="BD443" s="1"/>
      <c r="BE443" s="1"/>
      <c r="BF443" s="1"/>
      <c r="BG443" s="1"/>
    </row>
    <row r="444" spans="1:59" ht="14.25" customHeight="1" x14ac:dyDescent="0.25">
      <c r="A444" s="1"/>
      <c r="B444" s="68"/>
      <c r="C444" s="50" t="s">
        <v>2400</v>
      </c>
      <c r="D444" s="50"/>
      <c r="E444" s="50" t="str">
        <f t="shared" si="82"/>
        <v>001B</v>
      </c>
      <c r="F444" s="50"/>
      <c r="G444" s="50" t="s">
        <v>193</v>
      </c>
      <c r="H444" s="50" t="s">
        <v>2396</v>
      </c>
      <c r="I444" s="50" t="s">
        <v>2401</v>
      </c>
      <c r="J444" s="50" t="s">
        <v>2402</v>
      </c>
      <c r="K444" s="50" t="s">
        <v>141</v>
      </c>
      <c r="L444" s="50" t="s">
        <v>2399</v>
      </c>
      <c r="M444" s="51" t="s">
        <v>221</v>
      </c>
      <c r="N444" s="52"/>
      <c r="O444" s="50" t="s">
        <v>151</v>
      </c>
      <c r="P444" s="50">
        <v>1092</v>
      </c>
      <c r="Q444" s="53">
        <v>0</v>
      </c>
      <c r="R444" s="53">
        <f t="shared" si="122"/>
        <v>1092</v>
      </c>
      <c r="S444" s="54">
        <v>2.57</v>
      </c>
      <c r="T444" s="54">
        <v>0</v>
      </c>
      <c r="U444" s="54">
        <f t="shared" si="114"/>
        <v>2.57</v>
      </c>
      <c r="V444" s="54">
        <v>141.6</v>
      </c>
      <c r="W444" s="52">
        <f t="shared" si="93"/>
        <v>9.4791666666666661</v>
      </c>
      <c r="X444" s="54">
        <f t="shared" si="121"/>
        <v>55.097276264591443</v>
      </c>
      <c r="Y444" s="50" t="str">
        <f t="shared" si="116"/>
        <v>è in grado</v>
      </c>
      <c r="Z444" s="50" t="str">
        <f t="shared" si="117"/>
        <v>non sottende</v>
      </c>
      <c r="AA444" s="106">
        <f t="shared" si="118"/>
        <v>14.938021978021979</v>
      </c>
      <c r="AB444" s="50" t="str">
        <f t="shared" si="119"/>
        <v>A</v>
      </c>
      <c r="AC444" s="50" t="str">
        <f t="shared" si="83"/>
        <v>SI</v>
      </c>
      <c r="AD444" s="50" t="str">
        <f t="shared" si="120"/>
        <v>Si</v>
      </c>
      <c r="AE444" s="50" t="s">
        <v>147</v>
      </c>
      <c r="AF444" s="55">
        <v>22.26</v>
      </c>
      <c r="AG444" s="55">
        <v>1928</v>
      </c>
      <c r="AH444" s="55">
        <v>3817</v>
      </c>
      <c r="AI444" s="55" t="str">
        <f t="shared" si="103"/>
        <v xml:space="preserve"> </v>
      </c>
      <c r="AJ444" s="53">
        <v>200.34</v>
      </c>
      <c r="AK444" s="53">
        <f t="shared" si="125"/>
        <v>8.9168413696715589</v>
      </c>
      <c r="AL444" s="53">
        <f t="shared" si="99"/>
        <v>1786.4</v>
      </c>
      <c r="AM444" s="50" t="s">
        <v>190</v>
      </c>
      <c r="AN444" s="56" t="s">
        <v>222</v>
      </c>
      <c r="AO444" s="66"/>
      <c r="AP444" s="58" t="s">
        <v>223</v>
      </c>
      <c r="AQ444" s="58" t="s">
        <v>224</v>
      </c>
      <c r="AR444" s="58" t="s">
        <v>225</v>
      </c>
      <c r="AS444" s="58" t="s">
        <v>92</v>
      </c>
      <c r="AT444" s="50"/>
      <c r="AU444" s="69"/>
      <c r="AV444" s="69"/>
      <c r="AW444" s="69"/>
      <c r="AX444" s="69"/>
      <c r="AY444" s="69"/>
      <c r="AZ444" s="69"/>
      <c r="BA444" s="69"/>
      <c r="BB444" s="69"/>
      <c r="BC444" s="69"/>
      <c r="BD444" s="69"/>
      <c r="BE444" s="69"/>
      <c r="BF444" s="1"/>
      <c r="BG444" s="1"/>
    </row>
    <row r="445" spans="1:59" ht="14.25" customHeight="1" x14ac:dyDescent="0.25">
      <c r="A445" s="1"/>
      <c r="B445" s="155"/>
      <c r="C445" s="70" t="s">
        <v>2403</v>
      </c>
      <c r="D445" s="50"/>
      <c r="E445" s="50" t="str">
        <f t="shared" si="82"/>
        <v>001B</v>
      </c>
      <c r="F445" s="70"/>
      <c r="G445" s="70" t="s">
        <v>193</v>
      </c>
      <c r="H445" s="70" t="s">
        <v>2396</v>
      </c>
      <c r="I445" s="70" t="s">
        <v>2404</v>
      </c>
      <c r="J445" s="50" t="s">
        <v>2405</v>
      </c>
      <c r="K445" s="70" t="s">
        <v>141</v>
      </c>
      <c r="L445" s="50" t="s">
        <v>2399</v>
      </c>
      <c r="M445" s="122" t="s">
        <v>221</v>
      </c>
      <c r="N445" s="72"/>
      <c r="O445" s="70" t="s">
        <v>151</v>
      </c>
      <c r="P445" s="70">
        <v>2321</v>
      </c>
      <c r="Q445" s="73">
        <v>0</v>
      </c>
      <c r="R445" s="73">
        <f t="shared" si="122"/>
        <v>2321</v>
      </c>
      <c r="S445" s="74">
        <v>5.46</v>
      </c>
      <c r="T445" s="74">
        <v>0</v>
      </c>
      <c r="U445" s="74">
        <f t="shared" si="114"/>
        <v>5.46</v>
      </c>
      <c r="V445" s="74">
        <v>109.7</v>
      </c>
      <c r="W445" s="52">
        <f t="shared" si="93"/>
        <v>20.147569444444443</v>
      </c>
      <c r="X445" s="74">
        <f t="shared" si="121"/>
        <v>20.091575091575091</v>
      </c>
      <c r="Y445" s="70" t="str">
        <f t="shared" si="116"/>
        <v>è in grado</v>
      </c>
      <c r="Z445" s="70" t="str">
        <f t="shared" si="117"/>
        <v>non sottende</v>
      </c>
      <c r="AA445" s="112">
        <f t="shared" si="118"/>
        <v>5.4448255062473079</v>
      </c>
      <c r="AB445" s="70" t="str">
        <f t="shared" si="119"/>
        <v>A</v>
      </c>
      <c r="AC445" s="50" t="str">
        <f t="shared" si="83"/>
        <v>SI</v>
      </c>
      <c r="AD445" s="70" t="str">
        <f t="shared" si="120"/>
        <v>Si</v>
      </c>
      <c r="AE445" s="70" t="s">
        <v>147</v>
      </c>
      <c r="AF445" s="71">
        <v>12.1</v>
      </c>
      <c r="AG445" s="2">
        <v>751</v>
      </c>
      <c r="AH445" s="71">
        <v>3859</v>
      </c>
      <c r="AI445" s="55" t="str">
        <f t="shared" si="103"/>
        <v xml:space="preserve"> </v>
      </c>
      <c r="AJ445" s="73">
        <v>156.52000000000001</v>
      </c>
      <c r="AK445" s="53">
        <f t="shared" si="125"/>
        <v>4.0972399693329917</v>
      </c>
      <c r="AL445" s="53">
        <f t="shared" si="99"/>
        <v>641.29999999999995</v>
      </c>
      <c r="AM445" s="70" t="s">
        <v>190</v>
      </c>
      <c r="AN445" s="56" t="s">
        <v>222</v>
      </c>
      <c r="AO445" s="66"/>
      <c r="AP445" s="58" t="s">
        <v>223</v>
      </c>
      <c r="AQ445" s="58" t="s">
        <v>224</v>
      </c>
      <c r="AR445" s="58" t="s">
        <v>225</v>
      </c>
      <c r="AS445" s="58" t="s">
        <v>92</v>
      </c>
      <c r="AT445" s="50"/>
      <c r="AU445" s="1"/>
      <c r="AV445" s="1"/>
      <c r="AW445" s="1"/>
      <c r="AX445" s="1"/>
      <c r="AY445" s="1"/>
      <c r="AZ445" s="1"/>
      <c r="BA445" s="1"/>
      <c r="BB445" s="1"/>
      <c r="BC445" s="1"/>
      <c r="BD445" s="1"/>
      <c r="BE445" s="1"/>
      <c r="BF445" s="1"/>
      <c r="BG445" s="1"/>
    </row>
    <row r="446" spans="1:59" ht="14.25" customHeight="1" x14ac:dyDescent="0.25">
      <c r="A446" s="1"/>
      <c r="B446" s="68"/>
      <c r="C446" s="50" t="s">
        <v>2406</v>
      </c>
      <c r="D446" s="50"/>
      <c r="E446" s="50" t="str">
        <f t="shared" si="82"/>
        <v>001B</v>
      </c>
      <c r="F446" s="50"/>
      <c r="G446" s="50" t="s">
        <v>193</v>
      </c>
      <c r="H446" s="50" t="s">
        <v>2396</v>
      </c>
      <c r="I446" s="50" t="s">
        <v>2407</v>
      </c>
      <c r="J446" s="50" t="s">
        <v>2408</v>
      </c>
      <c r="K446" s="50" t="s">
        <v>141</v>
      </c>
      <c r="L446" s="50" t="s">
        <v>2409</v>
      </c>
      <c r="M446" s="50"/>
      <c r="N446" s="52" t="s">
        <v>145</v>
      </c>
      <c r="O446" s="50" t="s">
        <v>151</v>
      </c>
      <c r="P446" s="50">
        <v>452</v>
      </c>
      <c r="Q446" s="53">
        <v>0</v>
      </c>
      <c r="R446" s="53">
        <f t="shared" si="122"/>
        <v>452</v>
      </c>
      <c r="S446" s="54">
        <v>1.06</v>
      </c>
      <c r="T446" s="54">
        <v>0</v>
      </c>
      <c r="U446" s="54">
        <f t="shared" si="114"/>
        <v>1.06</v>
      </c>
      <c r="V446" s="54">
        <v>35.06</v>
      </c>
      <c r="W446" s="52">
        <f t="shared" si="93"/>
        <v>5.2314814814814818</v>
      </c>
      <c r="X446" s="54">
        <f t="shared" si="121"/>
        <v>33.075471698113205</v>
      </c>
      <c r="Y446" s="50" t="str">
        <f t="shared" si="116"/>
        <v>è in grado</v>
      </c>
      <c r="Z446" s="50" t="str">
        <f t="shared" si="117"/>
        <v>non sottende</v>
      </c>
      <c r="AA446" s="106">
        <f t="shared" si="118"/>
        <v>6.701734513274336</v>
      </c>
      <c r="AB446" s="50" t="str">
        <f t="shared" si="119"/>
        <v>A</v>
      </c>
      <c r="AC446" s="50" t="str">
        <f t="shared" si="83"/>
        <v>SI</v>
      </c>
      <c r="AD446" s="50" t="str">
        <f t="shared" si="120"/>
        <v>Si</v>
      </c>
      <c r="AE446" s="50" t="s">
        <v>147</v>
      </c>
      <c r="AF446" s="55">
        <v>15.77</v>
      </c>
      <c r="AG446" s="55">
        <v>672</v>
      </c>
      <c r="AH446" s="55">
        <v>3521</v>
      </c>
      <c r="AI446" s="55" t="str">
        <f t="shared" si="103"/>
        <v xml:space="preserve"> </v>
      </c>
      <c r="AJ446" s="53">
        <v>217.68</v>
      </c>
      <c r="AK446" s="53">
        <f t="shared" si="125"/>
        <v>2.9260382212421905</v>
      </c>
      <c r="AL446" s="53">
        <f t="shared" si="99"/>
        <v>636.94000000000005</v>
      </c>
      <c r="AM446" s="50" t="s">
        <v>152</v>
      </c>
      <c r="AN446" s="56" t="s">
        <v>222</v>
      </c>
      <c r="AO446" s="57">
        <v>47427</v>
      </c>
      <c r="AP446" s="58" t="s">
        <v>2410</v>
      </c>
      <c r="AQ446" s="58" t="s">
        <v>313</v>
      </c>
      <c r="AR446" s="58" t="s">
        <v>626</v>
      </c>
      <c r="AS446" s="58"/>
      <c r="AT446" s="50" t="s">
        <v>2411</v>
      </c>
      <c r="AU446" s="1"/>
      <c r="AV446" s="1"/>
      <c r="AW446" s="1"/>
      <c r="AX446" s="1"/>
      <c r="AY446" s="1"/>
      <c r="AZ446" s="1"/>
      <c r="BA446" s="1"/>
      <c r="BB446" s="1"/>
      <c r="BC446" s="1"/>
      <c r="BD446" s="1"/>
      <c r="BE446" s="1"/>
      <c r="BF446" s="1"/>
      <c r="BG446" s="1"/>
    </row>
    <row r="447" spans="1:59" ht="14.25" customHeight="1" x14ac:dyDescent="0.25">
      <c r="A447" s="1"/>
      <c r="B447" s="68"/>
      <c r="C447" s="50" t="s">
        <v>2412</v>
      </c>
      <c r="D447" s="50" t="s">
        <v>2413</v>
      </c>
      <c r="E447" s="50" t="str">
        <f t="shared" si="82"/>
        <v>PP0200570008001B</v>
      </c>
      <c r="F447" s="50"/>
      <c r="G447" s="50" t="s">
        <v>193</v>
      </c>
      <c r="H447" s="50" t="s">
        <v>2414</v>
      </c>
      <c r="I447" s="50" t="s">
        <v>2415</v>
      </c>
      <c r="J447" s="50" t="s">
        <v>2416</v>
      </c>
      <c r="K447" s="50" t="s">
        <v>2417</v>
      </c>
      <c r="L447" s="50" t="s">
        <v>2418</v>
      </c>
      <c r="M447" s="50"/>
      <c r="N447" s="52"/>
      <c r="O447" s="50" t="s">
        <v>151</v>
      </c>
      <c r="P447" s="50">
        <v>29</v>
      </c>
      <c r="Q447" s="53">
        <v>0</v>
      </c>
      <c r="R447" s="53">
        <f t="shared" si="122"/>
        <v>29</v>
      </c>
      <c r="S447" s="54">
        <v>7.0000000000000007E-2</v>
      </c>
      <c r="T447" s="54">
        <v>0</v>
      </c>
      <c r="U447" s="54">
        <f t="shared" si="114"/>
        <v>7.0000000000000007E-2</v>
      </c>
      <c r="V447" s="54">
        <v>24.98</v>
      </c>
      <c r="W447" s="52">
        <f t="shared" si="93"/>
        <v>0.2517361111111111</v>
      </c>
      <c r="X447" s="54">
        <f t="shared" si="121"/>
        <v>356.85714285714283</v>
      </c>
      <c r="Y447" s="50" t="str">
        <f t="shared" si="116"/>
        <v>è in grado</v>
      </c>
      <c r="Z447" s="50" t="str">
        <f t="shared" si="117"/>
        <v>non sottende</v>
      </c>
      <c r="AA447" s="106">
        <f t="shared" si="118"/>
        <v>99.230896551724143</v>
      </c>
      <c r="AB447" s="50" t="str">
        <f t="shared" si="119"/>
        <v>A</v>
      </c>
      <c r="AC447" s="50" t="str">
        <f t="shared" si="83"/>
        <v>SI</v>
      </c>
      <c r="AD447" s="50" t="str">
        <f t="shared" si="120"/>
        <v>Si</v>
      </c>
      <c r="AE447" s="50" t="s">
        <v>147</v>
      </c>
      <c r="AF447" s="55">
        <v>0.71</v>
      </c>
      <c r="AG447" s="50">
        <v>102.5</v>
      </c>
      <c r="AH447" s="55">
        <v>387.3</v>
      </c>
      <c r="AI447" s="55" t="str">
        <f t="shared" si="103"/>
        <v xml:space="preserve"> </v>
      </c>
      <c r="AJ447" s="53">
        <v>219.05</v>
      </c>
      <c r="AK447" s="53">
        <f>((MIN(AH447))-V447)/AJ447</f>
        <v>1.6540515863957999</v>
      </c>
      <c r="AL447" s="53">
        <f t="shared" si="99"/>
        <v>77.52</v>
      </c>
      <c r="AM447" s="50" t="s">
        <v>190</v>
      </c>
      <c r="AN447" s="56" t="s">
        <v>222</v>
      </c>
      <c r="AO447" s="57">
        <v>46238</v>
      </c>
      <c r="AP447" s="58" t="s">
        <v>2419</v>
      </c>
      <c r="AQ447" s="58" t="s">
        <v>255</v>
      </c>
      <c r="AR447" s="58" t="s">
        <v>626</v>
      </c>
      <c r="AS447" s="58" t="s">
        <v>92</v>
      </c>
      <c r="AT447" s="64" t="s">
        <v>2420</v>
      </c>
      <c r="AU447" s="1"/>
      <c r="AV447" s="1"/>
      <c r="AW447" s="1"/>
      <c r="AX447" s="1"/>
      <c r="AY447" s="1"/>
      <c r="AZ447" s="1"/>
      <c r="BA447" s="1"/>
      <c r="BB447" s="1"/>
      <c r="BC447" s="1"/>
      <c r="BD447" s="1"/>
      <c r="BE447" s="1"/>
      <c r="BF447" s="1"/>
      <c r="BG447" s="1"/>
    </row>
    <row r="448" spans="1:59" ht="14.25" customHeight="1" x14ac:dyDescent="0.25">
      <c r="A448" s="1"/>
      <c r="B448" s="131"/>
      <c r="C448" s="50" t="s">
        <v>2421</v>
      </c>
      <c r="D448" s="50" t="s">
        <v>2422</v>
      </c>
      <c r="E448" s="50" t="str">
        <f t="shared" si="82"/>
        <v>PP0200570005001B</v>
      </c>
      <c r="F448" s="50"/>
      <c r="G448" s="50" t="s">
        <v>193</v>
      </c>
      <c r="H448" s="50" t="s">
        <v>2396</v>
      </c>
      <c r="I448" s="50" t="s">
        <v>2423</v>
      </c>
      <c r="J448" s="50" t="s">
        <v>2424</v>
      </c>
      <c r="K448" s="50" t="s">
        <v>141</v>
      </c>
      <c r="L448" s="50" t="s">
        <v>2399</v>
      </c>
      <c r="M448" s="50" t="s">
        <v>286</v>
      </c>
      <c r="N448" s="52"/>
      <c r="O448" s="50" t="s">
        <v>151</v>
      </c>
      <c r="P448" s="50">
        <v>1858</v>
      </c>
      <c r="Q448" s="53">
        <v>3</v>
      </c>
      <c r="R448" s="53">
        <f t="shared" si="122"/>
        <v>1861</v>
      </c>
      <c r="S448" s="54">
        <v>4.37</v>
      </c>
      <c r="T448" s="54">
        <v>0.04</v>
      </c>
      <c r="U448" s="54">
        <f t="shared" si="114"/>
        <v>4.41</v>
      </c>
      <c r="V448" s="54">
        <v>120.8</v>
      </c>
      <c r="W448" s="52">
        <f t="shared" si="93"/>
        <v>16.154513888888889</v>
      </c>
      <c r="X448" s="54">
        <f t="shared" si="121"/>
        <v>27.392290249433106</v>
      </c>
      <c r="Y448" s="50" t="str">
        <f t="shared" si="116"/>
        <v>è in grado</v>
      </c>
      <c r="Z448" s="50" t="str">
        <f t="shared" si="117"/>
        <v>non sottende</v>
      </c>
      <c r="AA448" s="106">
        <f t="shared" si="118"/>
        <v>7.4777861364857596</v>
      </c>
      <c r="AB448" s="50" t="str">
        <f t="shared" si="119"/>
        <v>A</v>
      </c>
      <c r="AC448" s="50" t="str">
        <f t="shared" si="83"/>
        <v>SI</v>
      </c>
      <c r="AD448" s="50" t="str">
        <f t="shared" si="120"/>
        <v>Si</v>
      </c>
      <c r="AE448" s="50" t="s">
        <v>147</v>
      </c>
      <c r="AF448" s="55">
        <v>78.319999999999993</v>
      </c>
      <c r="AG448" s="55">
        <v>3833</v>
      </c>
      <c r="AH448" s="55">
        <v>5677</v>
      </c>
      <c r="AI448" s="55" t="str">
        <f t="shared" si="103"/>
        <v xml:space="preserve"> </v>
      </c>
      <c r="AJ448" s="53">
        <v>174.05</v>
      </c>
      <c r="AK448" s="53">
        <f t="shared" ref="AK448:AK468" si="126">((MIN(AG448:AH448))-V448)/AJ448</f>
        <v>21.328353921286983</v>
      </c>
      <c r="AL448" s="53">
        <f t="shared" si="99"/>
        <v>3712.2</v>
      </c>
      <c r="AM448" s="50" t="s">
        <v>190</v>
      </c>
      <c r="AN448" s="56" t="s">
        <v>222</v>
      </c>
      <c r="AO448" s="57">
        <v>47427</v>
      </c>
      <c r="AP448" s="58" t="s">
        <v>2425</v>
      </c>
      <c r="AQ448" s="58" t="s">
        <v>238</v>
      </c>
      <c r="AR448" s="58"/>
      <c r="AS448" s="64" t="s">
        <v>1495</v>
      </c>
      <c r="AT448" s="50" t="s">
        <v>2426</v>
      </c>
      <c r="AU448" s="69"/>
      <c r="AV448" s="69"/>
      <c r="AW448" s="69"/>
      <c r="AX448" s="69"/>
      <c r="AY448" s="69"/>
      <c r="AZ448" s="69"/>
      <c r="BA448" s="69"/>
      <c r="BB448" s="69"/>
      <c r="BC448" s="69"/>
      <c r="BD448" s="69"/>
      <c r="BE448" s="69"/>
      <c r="BF448" s="1"/>
      <c r="BG448" s="1"/>
    </row>
    <row r="449" spans="1:59" ht="14.25" customHeight="1" x14ac:dyDescent="0.25">
      <c r="A449" s="1"/>
      <c r="B449" s="133"/>
      <c r="C449" s="70" t="s">
        <v>2427</v>
      </c>
      <c r="D449" s="50" t="s">
        <v>2428</v>
      </c>
      <c r="E449" s="50" t="str">
        <f t="shared" si="82"/>
        <v>PP0200590004001B</v>
      </c>
      <c r="F449" s="70"/>
      <c r="G449" s="59" t="s">
        <v>200</v>
      </c>
      <c r="H449" s="111" t="s">
        <v>95</v>
      </c>
      <c r="I449" s="111" t="s">
        <v>2429</v>
      </c>
      <c r="J449" s="59" t="s">
        <v>2430</v>
      </c>
      <c r="K449" s="59" t="s">
        <v>202</v>
      </c>
      <c r="L449" s="70" t="s">
        <v>2431</v>
      </c>
      <c r="M449" s="70"/>
      <c r="N449" s="72"/>
      <c r="O449" s="50" t="s">
        <v>151</v>
      </c>
      <c r="P449" s="1">
        <v>109</v>
      </c>
      <c r="Q449" s="73">
        <v>0</v>
      </c>
      <c r="R449" s="53">
        <f t="shared" si="122"/>
        <v>109</v>
      </c>
      <c r="S449" s="54">
        <v>0.26</v>
      </c>
      <c r="T449" s="54">
        <v>0</v>
      </c>
      <c r="U449" s="54">
        <f t="shared" si="114"/>
        <v>0.26</v>
      </c>
      <c r="V449" s="54">
        <v>64.040000000000006</v>
      </c>
      <c r="W449" s="52">
        <f t="shared" si="93"/>
        <v>0.94618055555555558</v>
      </c>
      <c r="X449" s="74">
        <f t="shared" si="121"/>
        <v>246.30769230769232</v>
      </c>
      <c r="Y449" s="70" t="str">
        <f t="shared" si="116"/>
        <v>è in grado</v>
      </c>
      <c r="Z449" s="70" t="str">
        <f t="shared" si="117"/>
        <v>non sottende</v>
      </c>
      <c r="AA449" s="112">
        <f t="shared" si="118"/>
        <v>67.682642201834867</v>
      </c>
      <c r="AB449" s="70" t="str">
        <f t="shared" si="119"/>
        <v>A</v>
      </c>
      <c r="AC449" s="50" t="str">
        <f t="shared" si="83"/>
        <v>SI</v>
      </c>
      <c r="AD449" s="70" t="str">
        <f t="shared" si="120"/>
        <v>Si</v>
      </c>
      <c r="AE449" s="70" t="s">
        <v>147</v>
      </c>
      <c r="AF449" s="71">
        <v>5.21</v>
      </c>
      <c r="AG449" s="71">
        <v>485</v>
      </c>
      <c r="AH449" s="71">
        <v>261</v>
      </c>
      <c r="AI449" s="55" t="str">
        <f t="shared" si="103"/>
        <v>Manufatto limitante</v>
      </c>
      <c r="AJ449" s="73">
        <v>93.33</v>
      </c>
      <c r="AK449" s="53">
        <f t="shared" si="126"/>
        <v>2.11036108432444</v>
      </c>
      <c r="AL449" s="53">
        <f t="shared" si="99"/>
        <v>196.95999999999998</v>
      </c>
      <c r="AM449" s="70" t="s">
        <v>190</v>
      </c>
      <c r="AN449" s="56" t="s">
        <v>222</v>
      </c>
      <c r="AO449" s="57">
        <v>47468</v>
      </c>
      <c r="AP449" s="58" t="s">
        <v>2432</v>
      </c>
      <c r="AQ449" s="58" t="s">
        <v>445</v>
      </c>
      <c r="AR449" s="58" t="s">
        <v>225</v>
      </c>
      <c r="AS449" s="58" t="s">
        <v>2433</v>
      </c>
      <c r="AT449" s="64" t="s">
        <v>2434</v>
      </c>
      <c r="AU449" s="1"/>
      <c r="AV449" s="1"/>
      <c r="AW449" s="1"/>
      <c r="AX449" s="1"/>
      <c r="AY449" s="1"/>
      <c r="AZ449" s="1"/>
      <c r="BA449" s="1"/>
      <c r="BB449" s="1"/>
      <c r="BC449" s="1"/>
      <c r="BD449" s="1"/>
      <c r="BE449" s="1"/>
      <c r="BF449" s="1"/>
      <c r="BG449" s="1"/>
    </row>
    <row r="450" spans="1:59" ht="14.25" customHeight="1" x14ac:dyDescent="0.25">
      <c r="A450" s="1"/>
      <c r="B450" s="133"/>
      <c r="C450" s="50" t="s">
        <v>2435</v>
      </c>
      <c r="D450" s="50" t="s">
        <v>2436</v>
      </c>
      <c r="E450" s="50" t="str">
        <f t="shared" si="82"/>
        <v>PP0200590002001B</v>
      </c>
      <c r="F450" s="50"/>
      <c r="G450" s="59" t="s">
        <v>200</v>
      </c>
      <c r="H450" s="49" t="s">
        <v>95</v>
      </c>
      <c r="I450" s="59" t="s">
        <v>442</v>
      </c>
      <c r="J450" s="59" t="s">
        <v>2437</v>
      </c>
      <c r="K450" s="59" t="s">
        <v>202</v>
      </c>
      <c r="L450" s="50" t="s">
        <v>2438</v>
      </c>
      <c r="M450" s="50"/>
      <c r="N450" s="52"/>
      <c r="O450" s="50" t="s">
        <v>151</v>
      </c>
      <c r="P450" s="50">
        <v>239</v>
      </c>
      <c r="Q450" s="53">
        <v>27</v>
      </c>
      <c r="R450" s="53">
        <f t="shared" si="122"/>
        <v>266</v>
      </c>
      <c r="S450" s="54">
        <f t="shared" ref="S450:S454" si="127">+P450*0.8*254/86400</f>
        <v>0.56209259259259259</v>
      </c>
      <c r="T450" s="54">
        <v>1.6</v>
      </c>
      <c r="U450" s="54">
        <f t="shared" si="114"/>
        <v>2.1620925925925927</v>
      </c>
      <c r="V450" s="54">
        <v>106.91</v>
      </c>
      <c r="W450" s="52">
        <f t="shared" si="93"/>
        <v>4.8862777777777779</v>
      </c>
      <c r="X450" s="54">
        <f t="shared" si="121"/>
        <v>49.447466018003816</v>
      </c>
      <c r="Y450" s="50" t="str">
        <f t="shared" si="116"/>
        <v>è in grado</v>
      </c>
      <c r="Z450" s="50" t="str">
        <f t="shared" si="117"/>
        <v>non sottende</v>
      </c>
      <c r="AA450" s="106">
        <f t="shared" si="118"/>
        <v>21.879640262412877</v>
      </c>
      <c r="AB450" s="50" t="str">
        <f t="shared" si="119"/>
        <v>A</v>
      </c>
      <c r="AC450" s="50" t="str">
        <f t="shared" si="83"/>
        <v>SI</v>
      </c>
      <c r="AD450" s="50" t="str">
        <f t="shared" si="120"/>
        <v>Si</v>
      </c>
      <c r="AE450" s="50" t="s">
        <v>147</v>
      </c>
      <c r="AF450" s="55">
        <v>1.1299999999999999</v>
      </c>
      <c r="AG450" s="55">
        <v>193</v>
      </c>
      <c r="AH450" s="55">
        <v>302</v>
      </c>
      <c r="AI450" s="55" t="str">
        <f t="shared" si="103"/>
        <v xml:space="preserve"> </v>
      </c>
      <c r="AJ450" s="53">
        <v>136.9</v>
      </c>
      <c r="AK450" s="53">
        <f t="shared" si="126"/>
        <v>0.62885317750182612</v>
      </c>
      <c r="AL450" s="53">
        <f t="shared" si="99"/>
        <v>86.09</v>
      </c>
      <c r="AM450" s="50" t="s">
        <v>2439</v>
      </c>
      <c r="AN450" s="56" t="s">
        <v>222</v>
      </c>
      <c r="AO450" s="57">
        <v>47468</v>
      </c>
      <c r="AP450" s="58" t="s">
        <v>2432</v>
      </c>
      <c r="AQ450" s="58" t="s">
        <v>445</v>
      </c>
      <c r="AR450" s="58" t="s">
        <v>225</v>
      </c>
      <c r="AS450" s="58" t="s">
        <v>2433</v>
      </c>
      <c r="AT450" s="64" t="s">
        <v>2434</v>
      </c>
      <c r="AU450" s="1"/>
      <c r="AV450" s="1"/>
      <c r="AW450" s="1"/>
      <c r="AX450" s="1"/>
      <c r="AY450" s="1"/>
      <c r="AZ450" s="1"/>
      <c r="BA450" s="1"/>
      <c r="BB450" s="1"/>
      <c r="BC450" s="1"/>
      <c r="BD450" s="1"/>
      <c r="BE450" s="1"/>
      <c r="BF450" s="1"/>
      <c r="BG450" s="1"/>
    </row>
    <row r="451" spans="1:59" ht="14.25" customHeight="1" x14ac:dyDescent="0.25">
      <c r="A451" s="1"/>
      <c r="B451" s="133"/>
      <c r="C451" s="50" t="s">
        <v>2440</v>
      </c>
      <c r="D451" s="50" t="s">
        <v>2441</v>
      </c>
      <c r="E451" s="50" t="str">
        <f t="shared" si="82"/>
        <v>PP0200590005001B</v>
      </c>
      <c r="F451" s="50" t="s">
        <v>2442</v>
      </c>
      <c r="G451" s="59" t="s">
        <v>200</v>
      </c>
      <c r="H451" s="49" t="s">
        <v>95</v>
      </c>
      <c r="I451" s="59" t="s">
        <v>2443</v>
      </c>
      <c r="J451" s="59" t="s">
        <v>2444</v>
      </c>
      <c r="K451" s="59" t="s">
        <v>202</v>
      </c>
      <c r="L451" s="50" t="s">
        <v>2445</v>
      </c>
      <c r="M451" s="50"/>
      <c r="N451" s="52"/>
      <c r="O451" s="50" t="s">
        <v>151</v>
      </c>
      <c r="P451" s="50">
        <v>1467</v>
      </c>
      <c r="Q451" s="53">
        <v>0</v>
      </c>
      <c r="R451" s="53">
        <f t="shared" si="122"/>
        <v>1467</v>
      </c>
      <c r="S451" s="54">
        <f t="shared" si="127"/>
        <v>3.450166666666667</v>
      </c>
      <c r="T451" s="54">
        <v>0</v>
      </c>
      <c r="U451" s="54">
        <f t="shared" si="114"/>
        <v>3.450166666666667</v>
      </c>
      <c r="V451" s="54">
        <v>35.43</v>
      </c>
      <c r="W451" s="52">
        <f t="shared" si="93"/>
        <v>12.734375</v>
      </c>
      <c r="X451" s="54">
        <f t="shared" si="121"/>
        <v>10.269069127095309</v>
      </c>
      <c r="Y451" s="50" t="str">
        <f t="shared" si="116"/>
        <v>è in grado</v>
      </c>
      <c r="Z451" s="50" t="str">
        <f t="shared" si="117"/>
        <v>non sottende</v>
      </c>
      <c r="AA451" s="106">
        <f t="shared" si="118"/>
        <v>2.7822331288343558</v>
      </c>
      <c r="AB451" s="50" t="str">
        <f t="shared" si="119"/>
        <v>A</v>
      </c>
      <c r="AC451" s="50" t="str">
        <f t="shared" si="83"/>
        <v>SI</v>
      </c>
      <c r="AD451" s="50" t="str">
        <f t="shared" si="120"/>
        <v>Si</v>
      </c>
      <c r="AE451" s="50" t="s">
        <v>147</v>
      </c>
      <c r="AF451" s="55">
        <v>24.16</v>
      </c>
      <c r="AG451" s="55">
        <v>3313</v>
      </c>
      <c r="AH451" s="55">
        <v>5503</v>
      </c>
      <c r="AI451" s="55" t="str">
        <f t="shared" si="103"/>
        <v xml:space="preserve"> </v>
      </c>
      <c r="AJ451" s="53">
        <v>135.68</v>
      </c>
      <c r="AK451" s="53">
        <f t="shared" si="126"/>
        <v>24.156618514150942</v>
      </c>
      <c r="AL451" s="53">
        <f t="shared" si="99"/>
        <v>3277.57</v>
      </c>
      <c r="AM451" s="50" t="s">
        <v>190</v>
      </c>
      <c r="AN451" s="56" t="s">
        <v>222</v>
      </c>
      <c r="AO451" s="57">
        <v>47468</v>
      </c>
      <c r="AP451" s="58" t="s">
        <v>2432</v>
      </c>
      <c r="AQ451" s="58" t="s">
        <v>445</v>
      </c>
      <c r="AR451" s="58" t="s">
        <v>225</v>
      </c>
      <c r="AS451" s="58" t="s">
        <v>2433</v>
      </c>
      <c r="AT451" s="64" t="s">
        <v>2434</v>
      </c>
      <c r="AU451" s="1"/>
      <c r="AV451" s="1"/>
      <c r="AW451" s="1"/>
      <c r="AX451" s="1"/>
      <c r="AY451" s="1"/>
      <c r="AZ451" s="1"/>
      <c r="BA451" s="1"/>
      <c r="BB451" s="1"/>
      <c r="BC451" s="1"/>
      <c r="BD451" s="1"/>
      <c r="BE451" s="1"/>
      <c r="BF451" s="1"/>
      <c r="BG451" s="1"/>
    </row>
    <row r="452" spans="1:59" ht="14.25" customHeight="1" x14ac:dyDescent="0.25">
      <c r="A452" s="1"/>
      <c r="B452" s="133"/>
      <c r="C452" s="50" t="s">
        <v>2446</v>
      </c>
      <c r="D452" s="50"/>
      <c r="E452" s="50"/>
      <c r="F452" s="50" t="s">
        <v>2447</v>
      </c>
      <c r="G452" s="50" t="s">
        <v>200</v>
      </c>
      <c r="H452" s="50" t="s">
        <v>95</v>
      </c>
      <c r="I452" s="50" t="s">
        <v>2448</v>
      </c>
      <c r="J452" s="50" t="s">
        <v>2449</v>
      </c>
      <c r="K452" s="50" t="s">
        <v>202</v>
      </c>
      <c r="L452" s="50" t="s">
        <v>2450</v>
      </c>
      <c r="M452" s="50"/>
      <c r="N452" s="50"/>
      <c r="O452" s="50" t="s">
        <v>151</v>
      </c>
      <c r="P452" s="50">
        <v>40</v>
      </c>
      <c r="Q452" s="50">
        <v>0</v>
      </c>
      <c r="R452" s="53">
        <f t="shared" si="122"/>
        <v>40</v>
      </c>
      <c r="S452" s="54">
        <f t="shared" si="127"/>
        <v>9.4074074074074074E-2</v>
      </c>
      <c r="T452" s="54">
        <v>0</v>
      </c>
      <c r="U452" s="54">
        <f t="shared" si="114"/>
        <v>9.4074074074074074E-2</v>
      </c>
      <c r="V452" s="54">
        <v>20.000000010000001</v>
      </c>
      <c r="W452" s="54">
        <f t="shared" si="93"/>
        <v>0.34722222222222221</v>
      </c>
      <c r="X452" s="50">
        <f t="shared" si="121"/>
        <v>212.59842530314961</v>
      </c>
      <c r="Y452" s="50" t="str">
        <f t="shared" si="116"/>
        <v>è in grado</v>
      </c>
      <c r="Z452" s="50" t="str">
        <f t="shared" si="117"/>
        <v>non sottende</v>
      </c>
      <c r="AA452" s="50">
        <f t="shared" si="118"/>
        <v>57.600000028800004</v>
      </c>
      <c r="AB452" s="50" t="str">
        <f t="shared" si="119"/>
        <v>A</v>
      </c>
      <c r="AC452" s="50" t="str">
        <f t="shared" si="83"/>
        <v>SI</v>
      </c>
      <c r="AD452" s="50" t="str">
        <f t="shared" si="120"/>
        <v>Si</v>
      </c>
      <c r="AE452" s="50" t="s">
        <v>147</v>
      </c>
      <c r="AF452" s="50">
        <v>0.59079999999999999</v>
      </c>
      <c r="AG452" s="50">
        <v>81.11</v>
      </c>
      <c r="AH452" s="50">
        <v>618.76</v>
      </c>
      <c r="AI452" s="50" t="str">
        <f t="shared" si="103"/>
        <v xml:space="preserve"> </v>
      </c>
      <c r="AJ452" s="50">
        <v>206.5</v>
      </c>
      <c r="AK452" s="50">
        <f t="shared" si="126"/>
        <v>0.29593220334140435</v>
      </c>
      <c r="AL452" s="54">
        <f t="shared" si="99"/>
        <v>61.109999989999999</v>
      </c>
      <c r="AM452" s="50" t="s">
        <v>190</v>
      </c>
      <c r="AN452" s="159" t="s">
        <v>222</v>
      </c>
      <c r="AO452" s="57">
        <v>47468</v>
      </c>
      <c r="AP452" s="58" t="s">
        <v>2432</v>
      </c>
      <c r="AQ452" s="64" t="s">
        <v>445</v>
      </c>
      <c r="AR452" s="64" t="s">
        <v>225</v>
      </c>
      <c r="AS452" s="64" t="s">
        <v>2451</v>
      </c>
      <c r="AT452" s="50"/>
      <c r="AU452" s="1"/>
      <c r="AV452" s="1"/>
      <c r="AW452" s="1"/>
      <c r="AX452" s="1"/>
      <c r="AY452" s="1"/>
      <c r="AZ452" s="1"/>
      <c r="BA452" s="1"/>
      <c r="BB452" s="1"/>
      <c r="BC452" s="1"/>
      <c r="BD452" s="1"/>
      <c r="BE452" s="1"/>
      <c r="BF452" s="1"/>
      <c r="BG452" s="1"/>
    </row>
    <row r="453" spans="1:59" ht="14.25" customHeight="1" x14ac:dyDescent="0.25">
      <c r="A453" s="1"/>
      <c r="B453" s="133"/>
      <c r="C453" s="50" t="s">
        <v>2452</v>
      </c>
      <c r="D453" s="50" t="s">
        <v>2453</v>
      </c>
      <c r="E453" s="50" t="str">
        <f>D453&amp;""&amp;$E$1</f>
        <v>PP0200590001001B</v>
      </c>
      <c r="F453" s="50"/>
      <c r="G453" s="59" t="s">
        <v>200</v>
      </c>
      <c r="H453" s="59" t="s">
        <v>95</v>
      </c>
      <c r="I453" s="59" t="s">
        <v>2454</v>
      </c>
      <c r="J453" s="59" t="s">
        <v>2455</v>
      </c>
      <c r="K453" s="59" t="s">
        <v>202</v>
      </c>
      <c r="L453" s="50" t="s">
        <v>2456</v>
      </c>
      <c r="M453" s="50"/>
      <c r="N453" s="52"/>
      <c r="O453" s="50" t="s">
        <v>159</v>
      </c>
      <c r="P453" s="50">
        <v>15</v>
      </c>
      <c r="Q453" s="53">
        <v>0</v>
      </c>
      <c r="R453" s="53">
        <f t="shared" si="122"/>
        <v>15</v>
      </c>
      <c r="S453" s="54">
        <f t="shared" si="127"/>
        <v>3.5277777777777776E-2</v>
      </c>
      <c r="T453" s="54">
        <v>0</v>
      </c>
      <c r="U453" s="54">
        <f t="shared" si="114"/>
        <v>3.5277777777777776E-2</v>
      </c>
      <c r="V453" s="54">
        <v>17.8</v>
      </c>
      <c r="W453" s="52">
        <f t="shared" si="93"/>
        <v>0.13020833333333334</v>
      </c>
      <c r="X453" s="54">
        <f t="shared" si="121"/>
        <v>504.56692913385831</v>
      </c>
      <c r="Y453" s="50" t="str">
        <f t="shared" si="116"/>
        <v>è in grado</v>
      </c>
      <c r="Z453" s="50" t="str">
        <f t="shared" si="117"/>
        <v>non sottende</v>
      </c>
      <c r="AA453" s="106">
        <f t="shared" si="118"/>
        <v>136.70400000000001</v>
      </c>
      <c r="AB453" s="50" t="str">
        <f t="shared" si="119"/>
        <v>A</v>
      </c>
      <c r="AC453" s="50" t="str">
        <f t="shared" si="83"/>
        <v>SI</v>
      </c>
      <c r="AD453" s="50" t="str">
        <f t="shared" si="120"/>
        <v>No</v>
      </c>
      <c r="AE453" s="50" t="s">
        <v>147</v>
      </c>
      <c r="AF453" s="55">
        <v>2.64</v>
      </c>
      <c r="AG453" s="55">
        <v>227</v>
      </c>
      <c r="AH453" s="55">
        <v>35</v>
      </c>
      <c r="AI453" s="55" t="str">
        <f t="shared" si="103"/>
        <v>Manufatto limitante</v>
      </c>
      <c r="AJ453" s="53">
        <v>15.74</v>
      </c>
      <c r="AK453" s="53">
        <f t="shared" si="126"/>
        <v>1.0927573062261753</v>
      </c>
      <c r="AL453" s="53">
        <f t="shared" si="99"/>
        <v>17.2</v>
      </c>
      <c r="AM453" s="50" t="s">
        <v>147</v>
      </c>
      <c r="AN453" s="56" t="s">
        <v>222</v>
      </c>
      <c r="AO453" s="57">
        <v>47468</v>
      </c>
      <c r="AP453" s="58" t="s">
        <v>2432</v>
      </c>
      <c r="AQ453" s="58" t="s">
        <v>445</v>
      </c>
      <c r="AR453" s="58" t="s">
        <v>225</v>
      </c>
      <c r="AS453" s="58" t="s">
        <v>2433</v>
      </c>
      <c r="AT453" s="64" t="s">
        <v>2434</v>
      </c>
      <c r="AU453" s="1"/>
      <c r="AV453" s="1"/>
      <c r="AW453" s="1"/>
      <c r="AX453" s="1"/>
      <c r="AY453" s="1"/>
      <c r="AZ453" s="1"/>
      <c r="BA453" s="1"/>
      <c r="BB453" s="1"/>
      <c r="BC453" s="1"/>
      <c r="BD453" s="1"/>
      <c r="BE453" s="1"/>
      <c r="BF453" s="1"/>
      <c r="BG453" s="1"/>
    </row>
    <row r="454" spans="1:59" ht="14.25" customHeight="1" x14ac:dyDescent="0.25">
      <c r="A454" s="1"/>
      <c r="B454" s="133"/>
      <c r="C454" s="50" t="s">
        <v>2457</v>
      </c>
      <c r="D454" s="50"/>
      <c r="E454" s="50"/>
      <c r="F454" s="50" t="s">
        <v>2447</v>
      </c>
      <c r="G454" s="50" t="s">
        <v>200</v>
      </c>
      <c r="H454" s="50" t="s">
        <v>95</v>
      </c>
      <c r="I454" s="50" t="s">
        <v>2458</v>
      </c>
      <c r="J454" s="50" t="s">
        <v>2459</v>
      </c>
      <c r="K454" s="50" t="s">
        <v>202</v>
      </c>
      <c r="L454" s="50" t="s">
        <v>2460</v>
      </c>
      <c r="M454" s="50"/>
      <c r="N454" s="50"/>
      <c r="O454" s="50" t="s">
        <v>151</v>
      </c>
      <c r="P454" s="50">
        <v>207</v>
      </c>
      <c r="Q454" s="50">
        <v>27</v>
      </c>
      <c r="R454" s="50">
        <f t="shared" si="122"/>
        <v>234</v>
      </c>
      <c r="S454" s="54">
        <f t="shared" si="127"/>
        <v>0.48683333333333345</v>
      </c>
      <c r="T454" s="50">
        <v>1.6</v>
      </c>
      <c r="U454" s="54">
        <f t="shared" si="114"/>
        <v>2.0868333333333338</v>
      </c>
      <c r="V454" s="50">
        <v>30.3</v>
      </c>
      <c r="W454" s="54">
        <f t="shared" si="93"/>
        <v>4.6605000000000008</v>
      </c>
      <c r="X454" s="50">
        <f t="shared" si="121"/>
        <v>14.519607060138965</v>
      </c>
      <c r="Y454" s="50" t="str">
        <f t="shared" si="116"/>
        <v>è in grado</v>
      </c>
      <c r="Z454" s="50" t="str">
        <f t="shared" si="117"/>
        <v>non sottende</v>
      </c>
      <c r="AA454" s="50">
        <f t="shared" si="118"/>
        <v>6.5014483424525258</v>
      </c>
      <c r="AB454" s="50" t="str">
        <f t="shared" si="119"/>
        <v>A</v>
      </c>
      <c r="AC454" s="50" t="str">
        <f t="shared" si="83"/>
        <v>SI</v>
      </c>
      <c r="AD454" s="50" t="str">
        <f t="shared" si="120"/>
        <v>Si</v>
      </c>
      <c r="AE454" s="50" t="s">
        <v>147</v>
      </c>
      <c r="AF454" s="55">
        <v>11.19</v>
      </c>
      <c r="AG454" s="55">
        <v>1340</v>
      </c>
      <c r="AH454" s="55">
        <v>514</v>
      </c>
      <c r="AI454" s="50" t="str">
        <f t="shared" si="103"/>
        <v>Manufatto limitante</v>
      </c>
      <c r="AJ454" s="50">
        <v>77.84</v>
      </c>
      <c r="AK454" s="50">
        <f t="shared" si="126"/>
        <v>6.2140287769784166</v>
      </c>
      <c r="AL454" s="50">
        <f t="shared" si="99"/>
        <v>483.7</v>
      </c>
      <c r="AM454" s="50" t="s">
        <v>190</v>
      </c>
      <c r="AN454" s="159" t="s">
        <v>2461</v>
      </c>
      <c r="AO454" s="57">
        <v>47468</v>
      </c>
      <c r="AP454" s="58" t="s">
        <v>2432</v>
      </c>
      <c r="AQ454" s="64" t="s">
        <v>445</v>
      </c>
      <c r="AR454" s="64" t="s">
        <v>225</v>
      </c>
      <c r="AS454" s="64" t="s">
        <v>2451</v>
      </c>
      <c r="AT454" s="50"/>
      <c r="AU454" s="1"/>
      <c r="AV454" s="1"/>
      <c r="AW454" s="1"/>
      <c r="AX454" s="1"/>
      <c r="AY454" s="1"/>
      <c r="AZ454" s="1"/>
      <c r="BA454" s="1"/>
      <c r="BB454" s="1"/>
      <c r="BC454" s="1"/>
      <c r="BD454" s="1"/>
      <c r="BE454" s="1"/>
      <c r="BF454" s="1"/>
      <c r="BG454" s="1"/>
    </row>
    <row r="455" spans="1:59" ht="14.25" customHeight="1" x14ac:dyDescent="0.25">
      <c r="A455" s="1"/>
      <c r="B455" s="133"/>
      <c r="C455" s="50" t="s">
        <v>2462</v>
      </c>
      <c r="D455" s="50" t="s">
        <v>2463</v>
      </c>
      <c r="E455" s="50" t="str">
        <f t="shared" ref="E455:E488" si="128">D455&amp;""&amp;$E$1</f>
        <v>PP0200590006001B</v>
      </c>
      <c r="F455" s="50"/>
      <c r="G455" s="59" t="s">
        <v>200</v>
      </c>
      <c r="H455" s="59" t="s">
        <v>95</v>
      </c>
      <c r="I455" s="59" t="s">
        <v>2464</v>
      </c>
      <c r="J455" s="59" t="s">
        <v>2465</v>
      </c>
      <c r="K455" s="59" t="s">
        <v>202</v>
      </c>
      <c r="L455" s="50" t="s">
        <v>2466</v>
      </c>
      <c r="M455" s="50"/>
      <c r="N455" s="52"/>
      <c r="O455" s="50" t="s">
        <v>159</v>
      </c>
      <c r="P455" s="50">
        <v>33</v>
      </c>
      <c r="Q455" s="53">
        <v>0</v>
      </c>
      <c r="R455" s="53">
        <f t="shared" si="122"/>
        <v>33</v>
      </c>
      <c r="S455" s="54">
        <v>0.08</v>
      </c>
      <c r="T455" s="54">
        <v>0</v>
      </c>
      <c r="U455" s="54">
        <f t="shared" si="114"/>
        <v>0.08</v>
      </c>
      <c r="V455" s="54">
        <v>0.5</v>
      </c>
      <c r="W455" s="52">
        <f t="shared" si="93"/>
        <v>0.28645833333333331</v>
      </c>
      <c r="X455" s="54">
        <f t="shared" si="121"/>
        <v>6.25</v>
      </c>
      <c r="Y455" s="50" t="str">
        <f t="shared" si="116"/>
        <v>è in grado</v>
      </c>
      <c r="Z455" s="50" t="str">
        <f t="shared" si="117"/>
        <v>non sottende</v>
      </c>
      <c r="AA455" s="106">
        <f t="shared" si="118"/>
        <v>1.7454545454545456</v>
      </c>
      <c r="AB455" s="50" t="str">
        <f t="shared" si="119"/>
        <v>B</v>
      </c>
      <c r="AC455" s="50" t="str">
        <f t="shared" si="83"/>
        <v>SI</v>
      </c>
      <c r="AD455" s="50" t="str">
        <f t="shared" si="120"/>
        <v>No</v>
      </c>
      <c r="AE455" s="50" t="s">
        <v>147</v>
      </c>
      <c r="AF455" s="55">
        <v>1.66</v>
      </c>
      <c r="AG455" s="55">
        <v>157</v>
      </c>
      <c r="AH455" s="55">
        <v>256</v>
      </c>
      <c r="AI455" s="55" t="str">
        <f t="shared" si="103"/>
        <v xml:space="preserve"> </v>
      </c>
      <c r="AJ455" s="53">
        <v>229.65</v>
      </c>
      <c r="AK455" s="53">
        <f t="shared" si="126"/>
        <v>0.68147180492053128</v>
      </c>
      <c r="AL455" s="53">
        <f t="shared" si="99"/>
        <v>156.5</v>
      </c>
      <c r="AM455" s="50" t="s">
        <v>190</v>
      </c>
      <c r="AN455" s="56" t="s">
        <v>236</v>
      </c>
      <c r="AO455" s="57">
        <v>47468</v>
      </c>
      <c r="AP455" s="58" t="s">
        <v>2432</v>
      </c>
      <c r="AQ455" s="58" t="s">
        <v>445</v>
      </c>
      <c r="AR455" s="58" t="s">
        <v>225</v>
      </c>
      <c r="AS455" s="58" t="s">
        <v>2433</v>
      </c>
      <c r="AT455" s="64" t="s">
        <v>2434</v>
      </c>
      <c r="AU455" s="50"/>
      <c r="AV455" s="50"/>
      <c r="AW455" s="50"/>
      <c r="AX455" s="50"/>
      <c r="AY455" s="50"/>
      <c r="AZ455" s="50"/>
      <c r="BA455" s="50"/>
      <c r="BB455" s="50"/>
      <c r="BC455" s="50"/>
      <c r="BD455" s="50"/>
      <c r="BE455" s="50"/>
      <c r="BF455" s="1"/>
      <c r="BG455" s="1"/>
    </row>
    <row r="456" spans="1:59" ht="14.25" customHeight="1" x14ac:dyDescent="0.25">
      <c r="A456" s="1"/>
      <c r="B456" s="133"/>
      <c r="C456" s="50" t="s">
        <v>2467</v>
      </c>
      <c r="D456" s="50" t="s">
        <v>2468</v>
      </c>
      <c r="E456" s="50" t="str">
        <f t="shared" si="128"/>
        <v>PP0200590003001B</v>
      </c>
      <c r="F456" s="50"/>
      <c r="G456" s="59" t="s">
        <v>200</v>
      </c>
      <c r="H456" s="59" t="s">
        <v>95</v>
      </c>
      <c r="I456" s="59" t="s">
        <v>2443</v>
      </c>
      <c r="J456" s="59" t="s">
        <v>2469</v>
      </c>
      <c r="K456" s="59" t="s">
        <v>202</v>
      </c>
      <c r="L456" s="50" t="s">
        <v>2445</v>
      </c>
      <c r="M456" s="50"/>
      <c r="N456" s="52"/>
      <c r="O456" s="50" t="s">
        <v>118</v>
      </c>
      <c r="P456" s="50">
        <v>1706</v>
      </c>
      <c r="Q456" s="53">
        <v>27</v>
      </c>
      <c r="R456" s="53">
        <f t="shared" si="122"/>
        <v>1733</v>
      </c>
      <c r="S456" s="54">
        <v>4.01</v>
      </c>
      <c r="T456" s="54">
        <v>1.6</v>
      </c>
      <c r="U456" s="54">
        <f t="shared" si="114"/>
        <v>5.6099999999999994</v>
      </c>
      <c r="V456" s="54">
        <v>34.700000000000003</v>
      </c>
      <c r="W456" s="52">
        <f t="shared" si="93"/>
        <v>15.23</v>
      </c>
      <c r="X456" s="54">
        <f t="shared" si="121"/>
        <v>6.1853832442067747</v>
      </c>
      <c r="Y456" s="50" t="str">
        <f t="shared" si="116"/>
        <v>è in grado</v>
      </c>
      <c r="Z456" s="50" t="str">
        <f t="shared" si="117"/>
        <v>non sottende</v>
      </c>
      <c r="AA456" s="106">
        <f t="shared" si="118"/>
        <v>2.2783978988837821</v>
      </c>
      <c r="AB456" s="50" t="str">
        <f t="shared" si="119"/>
        <v>A</v>
      </c>
      <c r="AC456" s="50" t="str">
        <f t="shared" si="83"/>
        <v>SI</v>
      </c>
      <c r="AD456" s="50" t="str">
        <f t="shared" si="120"/>
        <v>Si</v>
      </c>
      <c r="AE456" s="50" t="s">
        <v>343</v>
      </c>
      <c r="AF456" s="55">
        <v>0</v>
      </c>
      <c r="AG456" s="55">
        <v>62</v>
      </c>
      <c r="AH456" s="55">
        <v>45</v>
      </c>
      <c r="AI456" s="55" t="str">
        <f t="shared" si="103"/>
        <v>Manufatto limitante</v>
      </c>
      <c r="AJ456" s="53">
        <v>0</v>
      </c>
      <c r="AK456" s="53" t="e">
        <f t="shared" si="126"/>
        <v>#DIV/0!</v>
      </c>
      <c r="AL456" s="53">
        <f t="shared" si="99"/>
        <v>10.299999999999997</v>
      </c>
      <c r="AM456" s="50" t="s">
        <v>147</v>
      </c>
      <c r="AN456" s="56" t="s">
        <v>236</v>
      </c>
      <c r="AO456" s="57">
        <v>47468</v>
      </c>
      <c r="AP456" s="58" t="s">
        <v>2432</v>
      </c>
      <c r="AQ456" s="58" t="s">
        <v>445</v>
      </c>
      <c r="AR456" s="75">
        <v>51501</v>
      </c>
      <c r="AS456" s="58" t="s">
        <v>2470</v>
      </c>
      <c r="AT456" s="64"/>
      <c r="AU456" s="50"/>
      <c r="AV456" s="50"/>
      <c r="AW456" s="50"/>
      <c r="AX456" s="50"/>
      <c r="AY456" s="50"/>
      <c r="AZ456" s="50"/>
      <c r="BA456" s="50"/>
      <c r="BB456" s="50"/>
      <c r="BC456" s="50"/>
      <c r="BD456" s="50"/>
      <c r="BE456" s="50"/>
      <c r="BF456" s="1"/>
      <c r="BG456" s="1"/>
    </row>
    <row r="457" spans="1:59" ht="14.25" customHeight="1" x14ac:dyDescent="0.25">
      <c r="A457" s="1"/>
      <c r="B457" s="133"/>
      <c r="C457" s="50" t="s">
        <v>2471</v>
      </c>
      <c r="D457" s="50" t="s">
        <v>2472</v>
      </c>
      <c r="E457" s="50" t="str">
        <f t="shared" si="128"/>
        <v>PP0200610010001B</v>
      </c>
      <c r="F457" s="50"/>
      <c r="G457" s="50" t="s">
        <v>206</v>
      </c>
      <c r="H457" s="50" t="s">
        <v>2473</v>
      </c>
      <c r="I457" s="50" t="s">
        <v>2474</v>
      </c>
      <c r="J457" s="50" t="s">
        <v>2475</v>
      </c>
      <c r="K457" s="50" t="s">
        <v>2476</v>
      </c>
      <c r="L457" s="50" t="s">
        <v>2477</v>
      </c>
      <c r="M457" s="50"/>
      <c r="N457" s="52"/>
      <c r="O457" s="50" t="s">
        <v>118</v>
      </c>
      <c r="P457" s="50">
        <v>29</v>
      </c>
      <c r="Q457" s="53">
        <v>0</v>
      </c>
      <c r="R457" s="53">
        <f t="shared" si="122"/>
        <v>29</v>
      </c>
      <c r="S457" s="54">
        <v>7.0000000000000007E-2</v>
      </c>
      <c r="T457" s="54">
        <v>0</v>
      </c>
      <c r="U457" s="54">
        <f t="shared" si="114"/>
        <v>7.0000000000000007E-2</v>
      </c>
      <c r="V457" s="54">
        <v>8.9</v>
      </c>
      <c r="W457" s="52">
        <f t="shared" si="93"/>
        <v>0.2517361111111111</v>
      </c>
      <c r="X457" s="54">
        <f t="shared" si="121"/>
        <v>127.14285714285714</v>
      </c>
      <c r="Y457" s="50" t="str">
        <f t="shared" si="116"/>
        <v>è in grado</v>
      </c>
      <c r="Z457" s="50" t="str">
        <f t="shared" si="117"/>
        <v>non sottende</v>
      </c>
      <c r="AA457" s="106">
        <f t="shared" si="118"/>
        <v>35.354482758620691</v>
      </c>
      <c r="AB457" s="50" t="str">
        <f t="shared" si="119"/>
        <v>A</v>
      </c>
      <c r="AC457" s="50" t="str">
        <f t="shared" si="83"/>
        <v>SI</v>
      </c>
      <c r="AD457" s="50" t="str">
        <f t="shared" si="120"/>
        <v>No</v>
      </c>
      <c r="AE457" s="50" t="s">
        <v>343</v>
      </c>
      <c r="AF457" s="55">
        <v>4.62</v>
      </c>
      <c r="AG457" s="55">
        <v>477</v>
      </c>
      <c r="AH457" s="55">
        <v>1407</v>
      </c>
      <c r="AI457" s="55" t="str">
        <f t="shared" si="103"/>
        <v xml:space="preserve"> </v>
      </c>
      <c r="AJ457" s="53">
        <v>206.83</v>
      </c>
      <c r="AK457" s="53">
        <f t="shared" si="126"/>
        <v>2.2632113329787749</v>
      </c>
      <c r="AL457" s="53">
        <f t="shared" si="99"/>
        <v>468.1</v>
      </c>
      <c r="AM457" s="50" t="s">
        <v>190</v>
      </c>
      <c r="AN457" s="56" t="s">
        <v>236</v>
      </c>
      <c r="AO457" s="57">
        <v>46151</v>
      </c>
      <c r="AP457" s="58" t="s">
        <v>2478</v>
      </c>
      <c r="AQ457" s="58" t="s">
        <v>255</v>
      </c>
      <c r="AR457" s="58" t="s">
        <v>225</v>
      </c>
      <c r="AS457" s="64" t="s">
        <v>92</v>
      </c>
      <c r="AT457" s="64"/>
      <c r="AU457" s="1"/>
      <c r="AV457" s="1"/>
      <c r="AW457" s="1"/>
      <c r="AX457" s="1"/>
      <c r="AY457" s="1"/>
      <c r="AZ457" s="1"/>
      <c r="BA457" s="1"/>
      <c r="BB457" s="1"/>
      <c r="BC457" s="1"/>
      <c r="BD457" s="1"/>
      <c r="BE457" s="1"/>
      <c r="BF457" s="1"/>
      <c r="BG457" s="1"/>
    </row>
    <row r="458" spans="1:59" ht="14.25" customHeight="1" x14ac:dyDescent="0.25">
      <c r="A458" s="1"/>
      <c r="B458" s="131"/>
      <c r="C458" s="50" t="s">
        <v>2479</v>
      </c>
      <c r="D458" s="50" t="s">
        <v>2480</v>
      </c>
      <c r="E458" s="50" t="str">
        <f t="shared" si="128"/>
        <v>PP0200610012001B</v>
      </c>
      <c r="F458" s="50"/>
      <c r="G458" s="50" t="s">
        <v>206</v>
      </c>
      <c r="H458" s="50" t="s">
        <v>95</v>
      </c>
      <c r="I458" s="50" t="s">
        <v>2481</v>
      </c>
      <c r="J458" s="50" t="s">
        <v>2482</v>
      </c>
      <c r="K458" s="50" t="s">
        <v>209</v>
      </c>
      <c r="L458" s="50" t="s">
        <v>2483</v>
      </c>
      <c r="M458" s="50"/>
      <c r="N458" s="52" t="s">
        <v>145</v>
      </c>
      <c r="O458" s="50" t="s">
        <v>151</v>
      </c>
      <c r="P458" s="50">
        <v>68</v>
      </c>
      <c r="Q458" s="53">
        <v>0</v>
      </c>
      <c r="R458" s="53">
        <f t="shared" si="122"/>
        <v>68</v>
      </c>
      <c r="S458" s="54">
        <v>0.16</v>
      </c>
      <c r="T458" s="54">
        <v>0</v>
      </c>
      <c r="U458" s="54">
        <f t="shared" si="114"/>
        <v>0.16</v>
      </c>
      <c r="V458" s="54">
        <v>115.79</v>
      </c>
      <c r="W458" s="52">
        <f t="shared" si="93"/>
        <v>0.78703703703703709</v>
      </c>
      <c r="X458" s="54">
        <f t="shared" si="121"/>
        <v>723.6875</v>
      </c>
      <c r="Y458" s="50" t="str">
        <f t="shared" si="116"/>
        <v>è in grado</v>
      </c>
      <c r="Z458" s="50" t="str">
        <f t="shared" si="117"/>
        <v>non sottende</v>
      </c>
      <c r="AA458" s="54">
        <f t="shared" si="118"/>
        <v>147.12141176470587</v>
      </c>
      <c r="AB458" s="50" t="str">
        <f t="shared" si="119"/>
        <v>A</v>
      </c>
      <c r="AC458" s="50" t="str">
        <f t="shared" si="83"/>
        <v>SI</v>
      </c>
      <c r="AD458" s="50" t="str">
        <f t="shared" si="120"/>
        <v>Si</v>
      </c>
      <c r="AE458" s="50" t="s">
        <v>147</v>
      </c>
      <c r="AF458" s="55">
        <v>1.08</v>
      </c>
      <c r="AG458" s="55">
        <v>144</v>
      </c>
      <c r="AH458" s="55">
        <v>286</v>
      </c>
      <c r="AI458" s="55" t="str">
        <f t="shared" si="103"/>
        <v xml:space="preserve"> </v>
      </c>
      <c r="AJ458" s="53">
        <v>53.51</v>
      </c>
      <c r="AK458" s="53">
        <f t="shared" si="126"/>
        <v>0.52719117921883751</v>
      </c>
      <c r="AL458" s="53">
        <f t="shared" si="99"/>
        <v>28.209999999999994</v>
      </c>
      <c r="AM458" s="50" t="s">
        <v>190</v>
      </c>
      <c r="AN458" s="56" t="s">
        <v>222</v>
      </c>
      <c r="AO458" s="160">
        <v>47287</v>
      </c>
      <c r="AP458" s="58" t="s">
        <v>2484</v>
      </c>
      <c r="AQ458" s="58" t="s">
        <v>1094</v>
      </c>
      <c r="AR458" s="58" t="s">
        <v>239</v>
      </c>
      <c r="AS458" s="58"/>
      <c r="AT458" s="58" t="s">
        <v>2485</v>
      </c>
      <c r="AU458" s="1"/>
      <c r="AV458" s="1"/>
      <c r="AW458" s="1"/>
      <c r="AX458" s="1"/>
      <c r="AY458" s="1"/>
      <c r="AZ458" s="1"/>
      <c r="BA458" s="1"/>
      <c r="BB458" s="1"/>
      <c r="BC458" s="1"/>
      <c r="BD458" s="1"/>
      <c r="BE458" s="1"/>
      <c r="BF458" s="1"/>
      <c r="BG458" s="1"/>
    </row>
    <row r="459" spans="1:59" ht="14.25" customHeight="1" x14ac:dyDescent="0.25">
      <c r="A459" s="1"/>
      <c r="B459" s="131"/>
      <c r="C459" s="50" t="s">
        <v>2486</v>
      </c>
      <c r="D459" s="50" t="s">
        <v>2487</v>
      </c>
      <c r="E459" s="50" t="str">
        <f t="shared" si="128"/>
        <v>PP0200610004001B</v>
      </c>
      <c r="F459" s="50"/>
      <c r="G459" s="50" t="s">
        <v>206</v>
      </c>
      <c r="H459" s="50" t="s">
        <v>2488</v>
      </c>
      <c r="I459" s="50" t="s">
        <v>2489</v>
      </c>
      <c r="J459" s="50" t="s">
        <v>2490</v>
      </c>
      <c r="K459" s="50" t="s">
        <v>209</v>
      </c>
      <c r="L459" s="50" t="s">
        <v>2483</v>
      </c>
      <c r="M459" s="50"/>
      <c r="N459" s="52" t="s">
        <v>145</v>
      </c>
      <c r="O459" s="50" t="s">
        <v>151</v>
      </c>
      <c r="P459" s="50">
        <v>439</v>
      </c>
      <c r="Q459" s="53">
        <v>0</v>
      </c>
      <c r="R459" s="53">
        <f t="shared" si="122"/>
        <v>439</v>
      </c>
      <c r="S459" s="54">
        <v>1.03</v>
      </c>
      <c r="T459" s="54">
        <v>0</v>
      </c>
      <c r="U459" s="54">
        <f t="shared" si="114"/>
        <v>1.03</v>
      </c>
      <c r="V459" s="54">
        <v>22.05</v>
      </c>
      <c r="W459" s="52">
        <f t="shared" si="93"/>
        <v>5.0810185185185182</v>
      </c>
      <c r="X459" s="54">
        <f t="shared" si="121"/>
        <v>21.407766990291261</v>
      </c>
      <c r="Y459" s="50" t="str">
        <f t="shared" si="116"/>
        <v>è in grado</v>
      </c>
      <c r="Z459" s="50" t="str">
        <f t="shared" si="117"/>
        <v>non sottende</v>
      </c>
      <c r="AA459" s="54">
        <f t="shared" si="118"/>
        <v>4.3396810933940779</v>
      </c>
      <c r="AB459" s="50" t="str">
        <f t="shared" si="119"/>
        <v>A</v>
      </c>
      <c r="AC459" s="50" t="str">
        <f t="shared" si="83"/>
        <v>SI</v>
      </c>
      <c r="AD459" s="50" t="str">
        <f t="shared" si="120"/>
        <v>Si</v>
      </c>
      <c r="AE459" s="50" t="s">
        <v>147</v>
      </c>
      <c r="AF459" s="55">
        <v>13.05</v>
      </c>
      <c r="AG459" s="55">
        <v>1210</v>
      </c>
      <c r="AH459" s="55">
        <v>814</v>
      </c>
      <c r="AI459" s="55" t="str">
        <f t="shared" si="103"/>
        <v>Manufatto limitante</v>
      </c>
      <c r="AJ459" s="53">
        <v>130.62</v>
      </c>
      <c r="AK459" s="53">
        <f t="shared" si="126"/>
        <v>6.0630071964477112</v>
      </c>
      <c r="AL459" s="53">
        <f t="shared" si="99"/>
        <v>791.95</v>
      </c>
      <c r="AM459" s="50" t="s">
        <v>190</v>
      </c>
      <c r="AN459" s="56" t="s">
        <v>222</v>
      </c>
      <c r="AO459" s="160">
        <v>47287</v>
      </c>
      <c r="AP459" s="58" t="s">
        <v>2484</v>
      </c>
      <c r="AQ459" s="58" t="s">
        <v>1094</v>
      </c>
      <c r="AR459" s="58" t="s">
        <v>239</v>
      </c>
      <c r="AS459" s="58"/>
      <c r="AT459" s="58"/>
      <c r="AU459" s="1"/>
      <c r="AV459" s="1"/>
      <c r="AW459" s="1"/>
      <c r="AX459" s="1"/>
      <c r="AY459" s="1"/>
      <c r="AZ459" s="1"/>
      <c r="BA459" s="1"/>
      <c r="BB459" s="1"/>
      <c r="BC459" s="1"/>
      <c r="BD459" s="1"/>
      <c r="BE459" s="1"/>
      <c r="BF459" s="1"/>
      <c r="BG459" s="1"/>
    </row>
    <row r="460" spans="1:59" ht="14.25" customHeight="1" x14ac:dyDescent="0.25">
      <c r="A460" s="1"/>
      <c r="B460" s="131"/>
      <c r="C460" s="50" t="s">
        <v>2491</v>
      </c>
      <c r="D460" s="50" t="s">
        <v>2492</v>
      </c>
      <c r="E460" s="50" t="str">
        <f t="shared" si="128"/>
        <v>PP0200610001001B</v>
      </c>
      <c r="F460" s="50"/>
      <c r="G460" s="50" t="s">
        <v>206</v>
      </c>
      <c r="H460" s="50" t="s">
        <v>2493</v>
      </c>
      <c r="I460" s="50" t="s">
        <v>2494</v>
      </c>
      <c r="J460" s="50" t="s">
        <v>2495</v>
      </c>
      <c r="K460" s="50" t="s">
        <v>2496</v>
      </c>
      <c r="L460" s="50" t="s">
        <v>2497</v>
      </c>
      <c r="M460" s="50"/>
      <c r="N460" s="52"/>
      <c r="O460" s="50" t="s">
        <v>118</v>
      </c>
      <c r="P460" s="50">
        <v>175</v>
      </c>
      <c r="Q460" s="53">
        <v>0</v>
      </c>
      <c r="R460" s="53">
        <f t="shared" si="122"/>
        <v>175</v>
      </c>
      <c r="S460" s="54">
        <v>0.41</v>
      </c>
      <c r="T460" s="54">
        <v>0</v>
      </c>
      <c r="U460" s="54">
        <f t="shared" si="114"/>
        <v>0.41</v>
      </c>
      <c r="V460" s="54">
        <v>13.45</v>
      </c>
      <c r="W460" s="52">
        <f t="shared" si="93"/>
        <v>1.5190972222222223</v>
      </c>
      <c r="X460" s="54">
        <f t="shared" si="121"/>
        <v>32.804878048780488</v>
      </c>
      <c r="Y460" s="50" t="str">
        <f t="shared" si="116"/>
        <v>è in grado</v>
      </c>
      <c r="Z460" s="50" t="str">
        <f t="shared" si="117"/>
        <v>non sottende</v>
      </c>
      <c r="AA460" s="106">
        <f t="shared" si="118"/>
        <v>8.8539428571428562</v>
      </c>
      <c r="AB460" s="50" t="str">
        <f t="shared" si="119"/>
        <v>A</v>
      </c>
      <c r="AC460" s="50" t="str">
        <f t="shared" si="83"/>
        <v>SI</v>
      </c>
      <c r="AD460" s="50" t="str">
        <f t="shared" si="120"/>
        <v>No</v>
      </c>
      <c r="AE460" s="50" t="s">
        <v>343</v>
      </c>
      <c r="AF460" s="55">
        <v>6.46</v>
      </c>
      <c r="AG460" s="55">
        <v>711</v>
      </c>
      <c r="AH460" s="55">
        <v>65</v>
      </c>
      <c r="AI460" s="55" t="str">
        <f t="shared" si="103"/>
        <v>Manufatto limitante</v>
      </c>
      <c r="AJ460" s="53">
        <v>16.760000000000002</v>
      </c>
      <c r="AK460" s="53">
        <f t="shared" si="126"/>
        <v>3.0757756563245819</v>
      </c>
      <c r="AL460" s="53">
        <f t="shared" si="99"/>
        <v>51.55</v>
      </c>
      <c r="AM460" s="50" t="s">
        <v>147</v>
      </c>
      <c r="AN460" s="56" t="s">
        <v>236</v>
      </c>
      <c r="AO460" s="57">
        <v>47290</v>
      </c>
      <c r="AP460" s="58" t="s">
        <v>2498</v>
      </c>
      <c r="AQ460" s="58" t="s">
        <v>1094</v>
      </c>
      <c r="AR460" s="58" t="s">
        <v>92</v>
      </c>
      <c r="AS460" s="64" t="s">
        <v>2499</v>
      </c>
      <c r="AT460" s="64"/>
      <c r="AU460" s="1"/>
      <c r="AV460" s="1"/>
      <c r="AW460" s="1"/>
      <c r="AX460" s="1"/>
      <c r="AY460" s="1"/>
      <c r="AZ460" s="1"/>
      <c r="BA460" s="1"/>
      <c r="BB460" s="1"/>
      <c r="BC460" s="1"/>
      <c r="BD460" s="1"/>
      <c r="BE460" s="1"/>
      <c r="BF460" s="1"/>
      <c r="BG460" s="1"/>
    </row>
    <row r="461" spans="1:59" ht="14.25" customHeight="1" x14ac:dyDescent="0.25">
      <c r="A461" s="1"/>
      <c r="B461" s="131"/>
      <c r="C461" s="50" t="s">
        <v>2500</v>
      </c>
      <c r="D461" s="50" t="s">
        <v>2501</v>
      </c>
      <c r="E461" s="50" t="str">
        <f t="shared" si="128"/>
        <v>PP0200610009001B</v>
      </c>
      <c r="F461" s="50"/>
      <c r="G461" s="50" t="s">
        <v>206</v>
      </c>
      <c r="H461" s="50" t="s">
        <v>2502</v>
      </c>
      <c r="I461" s="50" t="s">
        <v>2503</v>
      </c>
      <c r="J461" s="50" t="s">
        <v>2504</v>
      </c>
      <c r="K461" s="50" t="s">
        <v>209</v>
      </c>
      <c r="L461" s="50" t="s">
        <v>2505</v>
      </c>
      <c r="M461" s="50"/>
      <c r="N461" s="52"/>
      <c r="O461" s="50" t="s">
        <v>151</v>
      </c>
      <c r="P461" s="50">
        <v>87</v>
      </c>
      <c r="Q461" s="53">
        <v>0</v>
      </c>
      <c r="R461" s="53">
        <f t="shared" si="122"/>
        <v>87</v>
      </c>
      <c r="S461" s="54">
        <v>0.21</v>
      </c>
      <c r="T461" s="54">
        <v>0</v>
      </c>
      <c r="U461" s="54">
        <f t="shared" si="114"/>
        <v>0.21</v>
      </c>
      <c r="V461" s="54">
        <v>63.87</v>
      </c>
      <c r="W461" s="52">
        <f t="shared" si="93"/>
        <v>0.75520833333333337</v>
      </c>
      <c r="X461" s="54">
        <f t="shared" si="121"/>
        <v>304.14285714285717</v>
      </c>
      <c r="Y461" s="50" t="str">
        <f t="shared" si="116"/>
        <v>è in grado</v>
      </c>
      <c r="Z461" s="50" t="str">
        <f t="shared" si="117"/>
        <v>non sottende</v>
      </c>
      <c r="AA461" s="106">
        <f t="shared" si="118"/>
        <v>84.572689655172411</v>
      </c>
      <c r="AB461" s="50" t="str">
        <f t="shared" si="119"/>
        <v>A</v>
      </c>
      <c r="AC461" s="50" t="str">
        <f t="shared" si="83"/>
        <v>SI</v>
      </c>
      <c r="AD461" s="50" t="str">
        <f t="shared" si="120"/>
        <v>Si</v>
      </c>
      <c r="AE461" s="50" t="s">
        <v>147</v>
      </c>
      <c r="AF461" s="55">
        <v>1.59</v>
      </c>
      <c r="AG461" s="55">
        <v>204</v>
      </c>
      <c r="AH461" s="139">
        <v>122</v>
      </c>
      <c r="AI461" s="55" t="str">
        <f t="shared" si="103"/>
        <v>Manufatto limitante</v>
      </c>
      <c r="AJ461" s="53">
        <v>75.900000000000006</v>
      </c>
      <c r="AK461" s="53">
        <f t="shared" si="126"/>
        <v>0.76587615283267452</v>
      </c>
      <c r="AL461" s="53">
        <f t="shared" si="99"/>
        <v>58.13</v>
      </c>
      <c r="AM461" s="50" t="s">
        <v>190</v>
      </c>
      <c r="AN461" s="56" t="s">
        <v>222</v>
      </c>
      <c r="AO461" s="160">
        <v>47287</v>
      </c>
      <c r="AP461" s="58" t="s">
        <v>2484</v>
      </c>
      <c r="AQ461" s="58" t="s">
        <v>1094</v>
      </c>
      <c r="AR461" s="61" t="s">
        <v>239</v>
      </c>
      <c r="AS461" s="58"/>
      <c r="AT461" s="58" t="s">
        <v>2506</v>
      </c>
      <c r="AU461" s="1"/>
      <c r="AV461" s="1"/>
      <c r="AW461" s="1"/>
      <c r="AX461" s="1"/>
      <c r="AY461" s="1"/>
      <c r="AZ461" s="1"/>
      <c r="BA461" s="1"/>
      <c r="BB461" s="1"/>
      <c r="BC461" s="1"/>
      <c r="BD461" s="1"/>
      <c r="BE461" s="1"/>
      <c r="BF461" s="1"/>
      <c r="BG461" s="1"/>
    </row>
    <row r="462" spans="1:59" ht="14.25" customHeight="1" x14ac:dyDescent="0.25">
      <c r="A462" s="1"/>
      <c r="B462" s="131"/>
      <c r="C462" s="50" t="s">
        <v>2507</v>
      </c>
      <c r="D462" s="50" t="s">
        <v>2508</v>
      </c>
      <c r="E462" s="50" t="str">
        <f t="shared" si="128"/>
        <v>PP0200610006001B</v>
      </c>
      <c r="F462" s="50"/>
      <c r="G462" s="50" t="s">
        <v>206</v>
      </c>
      <c r="H462" s="50" t="s">
        <v>2509</v>
      </c>
      <c r="I462" s="50" t="s">
        <v>2510</v>
      </c>
      <c r="J462" s="50" t="s">
        <v>2511</v>
      </c>
      <c r="K462" s="50" t="s">
        <v>209</v>
      </c>
      <c r="L462" s="50" t="s">
        <v>2512</v>
      </c>
      <c r="M462" s="50"/>
      <c r="N462" s="52"/>
      <c r="O462" s="50" t="s">
        <v>151</v>
      </c>
      <c r="P462" s="50">
        <v>26</v>
      </c>
      <c r="Q462" s="53">
        <v>3</v>
      </c>
      <c r="R462" s="53">
        <f t="shared" si="122"/>
        <v>29</v>
      </c>
      <c r="S462" s="54">
        <v>0.06</v>
      </c>
      <c r="T462" s="54">
        <v>0.02</v>
      </c>
      <c r="U462" s="54">
        <f t="shared" si="114"/>
        <v>0.08</v>
      </c>
      <c r="V462" s="54">
        <v>25.46</v>
      </c>
      <c r="W462" s="52">
        <f t="shared" si="93"/>
        <v>0.2517361111111111</v>
      </c>
      <c r="X462" s="54">
        <f t="shared" si="121"/>
        <v>318.25</v>
      </c>
      <c r="Y462" s="50" t="str">
        <f t="shared" si="116"/>
        <v>è in grado</v>
      </c>
      <c r="Z462" s="50" t="str">
        <f t="shared" si="117"/>
        <v>non sottende</v>
      </c>
      <c r="AA462" s="50">
        <f t="shared" si="118"/>
        <v>101.1376551724138</v>
      </c>
      <c r="AB462" s="50" t="str">
        <f t="shared" si="119"/>
        <v>A</v>
      </c>
      <c r="AC462" s="50" t="str">
        <f t="shared" si="83"/>
        <v>SI</v>
      </c>
      <c r="AD462" s="50" t="str">
        <f t="shared" si="120"/>
        <v>Si</v>
      </c>
      <c r="AE462" s="50" t="s">
        <v>147</v>
      </c>
      <c r="AF462" s="55">
        <v>1.06</v>
      </c>
      <c r="AG462" s="55">
        <v>140</v>
      </c>
      <c r="AH462" s="55">
        <v>37</v>
      </c>
      <c r="AI462" s="55" t="str">
        <f t="shared" si="103"/>
        <v>Manufatto limitante</v>
      </c>
      <c r="AJ462" s="53">
        <v>23.97</v>
      </c>
      <c r="AK462" s="53">
        <f t="shared" si="126"/>
        <v>0.4814351272423863</v>
      </c>
      <c r="AL462" s="53">
        <f t="shared" si="99"/>
        <v>11.54</v>
      </c>
      <c r="AM462" s="50" t="s">
        <v>147</v>
      </c>
      <c r="AN462" s="56" t="s">
        <v>222</v>
      </c>
      <c r="AO462" s="160">
        <v>47287</v>
      </c>
      <c r="AP462" s="58" t="s">
        <v>2484</v>
      </c>
      <c r="AQ462" s="58" t="s">
        <v>1094</v>
      </c>
      <c r="AR462" s="82">
        <v>52025</v>
      </c>
      <c r="AS462" s="58" t="s">
        <v>2513</v>
      </c>
      <c r="AT462" s="75"/>
      <c r="AU462" s="1"/>
      <c r="AV462" s="1"/>
      <c r="AW462" s="1"/>
      <c r="AX462" s="1"/>
      <c r="AY462" s="1"/>
      <c r="AZ462" s="1"/>
      <c r="BA462" s="1"/>
      <c r="BB462" s="1"/>
      <c r="BC462" s="1"/>
      <c r="BD462" s="1"/>
      <c r="BE462" s="1"/>
      <c r="BF462" s="1"/>
      <c r="BG462" s="1"/>
    </row>
    <row r="463" spans="1:59" ht="14.25" customHeight="1" x14ac:dyDescent="0.25">
      <c r="A463" s="1"/>
      <c r="B463" s="131"/>
      <c r="C463" s="50" t="s">
        <v>2514</v>
      </c>
      <c r="D463" s="50" t="s">
        <v>2515</v>
      </c>
      <c r="E463" s="50" t="str">
        <f t="shared" si="128"/>
        <v>PP0200610005001B</v>
      </c>
      <c r="F463" s="50"/>
      <c r="G463" s="50" t="s">
        <v>206</v>
      </c>
      <c r="H463" s="50" t="s">
        <v>2488</v>
      </c>
      <c r="I463" s="50" t="s">
        <v>2516</v>
      </c>
      <c r="J463" s="50" t="s">
        <v>2517</v>
      </c>
      <c r="K463" s="50" t="s">
        <v>209</v>
      </c>
      <c r="L463" s="50" t="s">
        <v>2518</v>
      </c>
      <c r="M463" s="50"/>
      <c r="N463" s="52"/>
      <c r="O463" s="50" t="s">
        <v>151</v>
      </c>
      <c r="P463" s="50">
        <v>148</v>
      </c>
      <c r="Q463" s="53">
        <v>0</v>
      </c>
      <c r="R463" s="53">
        <f t="shared" si="122"/>
        <v>148</v>
      </c>
      <c r="S463" s="54">
        <v>0.35</v>
      </c>
      <c r="T463" s="54">
        <v>0</v>
      </c>
      <c r="U463" s="54">
        <f t="shared" si="114"/>
        <v>0.35</v>
      </c>
      <c r="V463" s="54">
        <v>23.5</v>
      </c>
      <c r="W463" s="52">
        <f t="shared" si="93"/>
        <v>1.2847222222222223</v>
      </c>
      <c r="X463" s="54">
        <f t="shared" si="121"/>
        <v>67.142857142857153</v>
      </c>
      <c r="Y463" s="50" t="str">
        <f t="shared" si="116"/>
        <v>è in grado</v>
      </c>
      <c r="Z463" s="50" t="str">
        <f t="shared" si="117"/>
        <v>non sottende</v>
      </c>
      <c r="AA463" s="106">
        <f t="shared" si="118"/>
        <v>18.29189189189189</v>
      </c>
      <c r="AB463" s="50" t="str">
        <f t="shared" si="119"/>
        <v>A</v>
      </c>
      <c r="AC463" s="50" t="str">
        <f t="shared" si="83"/>
        <v>SI</v>
      </c>
      <c r="AD463" s="50" t="str">
        <f t="shared" si="120"/>
        <v>Si</v>
      </c>
      <c r="AE463" s="50" t="s">
        <v>147</v>
      </c>
      <c r="AF463" s="55">
        <v>5.04</v>
      </c>
      <c r="AG463" s="55">
        <v>562</v>
      </c>
      <c r="AH463" s="55">
        <v>232</v>
      </c>
      <c r="AI463" s="55" t="str">
        <f t="shared" si="103"/>
        <v>Manufatto limitante</v>
      </c>
      <c r="AJ463" s="53">
        <v>91.09</v>
      </c>
      <c r="AK463" s="53">
        <f t="shared" si="126"/>
        <v>2.2889449994510924</v>
      </c>
      <c r="AL463" s="53">
        <f t="shared" si="99"/>
        <v>208.5</v>
      </c>
      <c r="AM463" s="50" t="s">
        <v>190</v>
      </c>
      <c r="AN463" s="56" t="s">
        <v>236</v>
      </c>
      <c r="AO463" s="160">
        <v>47287</v>
      </c>
      <c r="AP463" s="58" t="s">
        <v>2484</v>
      </c>
      <c r="AQ463" s="58" t="s">
        <v>1094</v>
      </c>
      <c r="AR463" s="61" t="s">
        <v>239</v>
      </c>
      <c r="AS463" s="58"/>
      <c r="AT463" s="58" t="s">
        <v>2506</v>
      </c>
      <c r="AU463" s="1"/>
      <c r="AV463" s="1"/>
      <c r="AW463" s="1"/>
      <c r="AX463" s="1"/>
      <c r="AY463" s="1"/>
      <c r="AZ463" s="1"/>
      <c r="BA463" s="1"/>
      <c r="BB463" s="1"/>
      <c r="BC463" s="1"/>
      <c r="BD463" s="1"/>
      <c r="BE463" s="1"/>
      <c r="BF463" s="1"/>
      <c r="BG463" s="1"/>
    </row>
    <row r="464" spans="1:59" ht="14.25" customHeight="1" x14ac:dyDescent="0.25">
      <c r="A464" s="1"/>
      <c r="B464" s="50"/>
      <c r="C464" s="50" t="s">
        <v>2519</v>
      </c>
      <c r="D464" s="50" t="s">
        <v>2520</v>
      </c>
      <c r="E464" s="50" t="str">
        <f t="shared" si="128"/>
        <v>PP0200610003001B</v>
      </c>
      <c r="F464" s="50"/>
      <c r="G464" s="50" t="s">
        <v>206</v>
      </c>
      <c r="H464" s="50" t="s">
        <v>2521</v>
      </c>
      <c r="I464" s="50" t="s">
        <v>2522</v>
      </c>
      <c r="J464" s="50" t="s">
        <v>2523</v>
      </c>
      <c r="K464" s="50" t="s">
        <v>2524</v>
      </c>
      <c r="L464" s="50" t="s">
        <v>2525</v>
      </c>
      <c r="M464" s="50"/>
      <c r="N464" s="52"/>
      <c r="O464" s="50" t="s">
        <v>118</v>
      </c>
      <c r="P464" s="50">
        <v>37</v>
      </c>
      <c r="Q464" s="53">
        <v>0</v>
      </c>
      <c r="R464" s="53">
        <f t="shared" si="122"/>
        <v>37</v>
      </c>
      <c r="S464" s="54">
        <v>8.6999999999999994E-2</v>
      </c>
      <c r="T464" s="54">
        <v>0</v>
      </c>
      <c r="U464" s="54">
        <f t="shared" si="114"/>
        <v>8.6999999999999994E-2</v>
      </c>
      <c r="V464" s="54">
        <v>43.3</v>
      </c>
      <c r="W464" s="52">
        <f t="shared" si="93"/>
        <v>0.32118055555555558</v>
      </c>
      <c r="X464" s="54">
        <f t="shared" si="121"/>
        <v>497.70114942528738</v>
      </c>
      <c r="Y464" s="50" t="str">
        <f t="shared" si="116"/>
        <v>è in grado</v>
      </c>
      <c r="Z464" s="50" t="str">
        <f t="shared" si="117"/>
        <v>non sottende</v>
      </c>
      <c r="AA464" s="106">
        <f t="shared" si="118"/>
        <v>134.81513513513511</v>
      </c>
      <c r="AB464" s="50" t="str">
        <f t="shared" si="119"/>
        <v>A</v>
      </c>
      <c r="AC464" s="50" t="str">
        <f t="shared" si="83"/>
        <v>SI</v>
      </c>
      <c r="AD464" s="50" t="str">
        <f t="shared" si="120"/>
        <v>Si</v>
      </c>
      <c r="AE464" s="50" t="s">
        <v>343</v>
      </c>
      <c r="AF464" s="55">
        <v>1.37</v>
      </c>
      <c r="AG464" s="55">
        <v>170</v>
      </c>
      <c r="AH464" s="55">
        <v>114</v>
      </c>
      <c r="AI464" s="55" t="str">
        <f t="shared" si="103"/>
        <v>Manufatto limitante</v>
      </c>
      <c r="AJ464" s="53">
        <v>170.29</v>
      </c>
      <c r="AK464" s="53">
        <f t="shared" si="126"/>
        <v>0.41517411474543431</v>
      </c>
      <c r="AL464" s="53">
        <f t="shared" si="99"/>
        <v>70.7</v>
      </c>
      <c r="AM464" s="50" t="s">
        <v>190</v>
      </c>
      <c r="AN464" s="56" t="s">
        <v>236</v>
      </c>
      <c r="AO464" s="57">
        <v>46166</v>
      </c>
      <c r="AP464" s="58" t="s">
        <v>2526</v>
      </c>
      <c r="AQ464" s="58" t="s">
        <v>1094</v>
      </c>
      <c r="AR464" s="64"/>
      <c r="AS464" s="58" t="s">
        <v>2527</v>
      </c>
      <c r="AT464" s="75">
        <v>51881</v>
      </c>
      <c r="AU464" s="69"/>
      <c r="AV464" s="69"/>
      <c r="AW464" s="69"/>
      <c r="AX464" s="69"/>
      <c r="AY464" s="69"/>
      <c r="AZ464" s="69"/>
      <c r="BA464" s="69"/>
      <c r="BB464" s="69"/>
      <c r="BC464" s="69"/>
      <c r="BD464" s="69"/>
      <c r="BE464" s="69"/>
      <c r="BF464" s="1"/>
      <c r="BG464" s="1"/>
    </row>
    <row r="465" spans="1:59" ht="14.25" customHeight="1" x14ac:dyDescent="0.25">
      <c r="A465" s="1"/>
      <c r="B465" s="50"/>
      <c r="C465" s="70" t="s">
        <v>2528</v>
      </c>
      <c r="D465" s="50" t="s">
        <v>2529</v>
      </c>
      <c r="E465" s="50" t="str">
        <f t="shared" si="128"/>
        <v>PP0200610002001B</v>
      </c>
      <c r="F465" s="70"/>
      <c r="G465" s="70" t="s">
        <v>206</v>
      </c>
      <c r="H465" s="70" t="s">
        <v>95</v>
      </c>
      <c r="I465" s="70" t="s">
        <v>2530</v>
      </c>
      <c r="J465" s="50" t="s">
        <v>2531</v>
      </c>
      <c r="K465" s="50" t="s">
        <v>209</v>
      </c>
      <c r="L465" s="50" t="s">
        <v>2532</v>
      </c>
      <c r="M465" s="70"/>
      <c r="N465" s="72"/>
      <c r="O465" s="70" t="s">
        <v>118</v>
      </c>
      <c r="P465" s="70">
        <v>4858</v>
      </c>
      <c r="Q465" s="73">
        <v>56</v>
      </c>
      <c r="R465" s="73">
        <f t="shared" si="122"/>
        <v>4914</v>
      </c>
      <c r="S465" s="74">
        <v>11.43</v>
      </c>
      <c r="T465" s="74">
        <v>4.9000000000000004</v>
      </c>
      <c r="U465" s="74">
        <f t="shared" si="114"/>
        <v>16.329999999999998</v>
      </c>
      <c r="V465" s="74">
        <v>60.9</v>
      </c>
      <c r="W465" s="52">
        <f t="shared" si="93"/>
        <v>44.09</v>
      </c>
      <c r="X465" s="74">
        <f t="shared" si="121"/>
        <v>3.7293325168401719</v>
      </c>
      <c r="Y465" s="70" t="str">
        <f t="shared" si="116"/>
        <v>è in grado</v>
      </c>
      <c r="Z465" s="70" t="str">
        <f t="shared" si="117"/>
        <v>non sottende</v>
      </c>
      <c r="AA465" s="112">
        <f t="shared" si="118"/>
        <v>1.3812655931050124</v>
      </c>
      <c r="AB465" s="70" t="str">
        <f t="shared" si="119"/>
        <v>B</v>
      </c>
      <c r="AC465" s="50" t="str">
        <f t="shared" si="83"/>
        <v>SI</v>
      </c>
      <c r="AD465" s="70" t="str">
        <f t="shared" si="120"/>
        <v>Si</v>
      </c>
      <c r="AE465" s="50" t="s">
        <v>343</v>
      </c>
      <c r="AF465" s="71">
        <v>138.68</v>
      </c>
      <c r="AG465" s="71">
        <v>8077</v>
      </c>
      <c r="AH465" s="71">
        <v>6745</v>
      </c>
      <c r="AI465" s="55" t="str">
        <f t="shared" si="103"/>
        <v>Manufatto limitante</v>
      </c>
      <c r="AJ465" s="73">
        <v>101.76</v>
      </c>
      <c r="AK465" s="53">
        <f t="shared" si="126"/>
        <v>65.684944968553452</v>
      </c>
      <c r="AL465" s="53">
        <f t="shared" si="99"/>
        <v>6684.1</v>
      </c>
      <c r="AM465" s="50" t="s">
        <v>190</v>
      </c>
      <c r="AN465" s="56" t="s">
        <v>236</v>
      </c>
      <c r="AO465" s="160">
        <v>47287</v>
      </c>
      <c r="AP465" s="58" t="s">
        <v>2484</v>
      </c>
      <c r="AQ465" s="58" t="s">
        <v>1094</v>
      </c>
      <c r="AR465" s="58">
        <f>2024+19</f>
        <v>2043</v>
      </c>
      <c r="AS465" s="64" t="s">
        <v>2533</v>
      </c>
      <c r="AT465" s="58"/>
      <c r="AU465" s="1"/>
      <c r="AV465" s="1"/>
      <c r="AW465" s="1"/>
      <c r="AX465" s="1"/>
      <c r="AY465" s="1"/>
      <c r="AZ465" s="1"/>
      <c r="BA465" s="1"/>
      <c r="BB465" s="1"/>
      <c r="BC465" s="1"/>
      <c r="BD465" s="1"/>
      <c r="BE465" s="1"/>
      <c r="BF465" s="1"/>
      <c r="BG465" s="1"/>
    </row>
    <row r="466" spans="1:59" ht="14.25" customHeight="1" x14ac:dyDescent="0.25">
      <c r="A466" s="1"/>
      <c r="B466" s="59"/>
      <c r="C466" s="50" t="s">
        <v>2534</v>
      </c>
      <c r="D466" s="50" t="s">
        <v>2535</v>
      </c>
      <c r="E466" s="50" t="str">
        <f t="shared" si="128"/>
        <v>PP0200610008001B</v>
      </c>
      <c r="F466" s="50"/>
      <c r="G466" s="50" t="s">
        <v>206</v>
      </c>
      <c r="H466" s="50" t="s">
        <v>2509</v>
      </c>
      <c r="I466" s="50" t="s">
        <v>2510</v>
      </c>
      <c r="J466" s="50" t="s">
        <v>2536</v>
      </c>
      <c r="K466" s="50" t="s">
        <v>209</v>
      </c>
      <c r="L466" s="50" t="s">
        <v>2537</v>
      </c>
      <c r="M466" s="50"/>
      <c r="N466" s="52"/>
      <c r="O466" s="50" t="s">
        <v>159</v>
      </c>
      <c r="P466" s="50">
        <v>328</v>
      </c>
      <c r="Q466" s="53">
        <v>3</v>
      </c>
      <c r="R466" s="53">
        <f t="shared" si="122"/>
        <v>331</v>
      </c>
      <c r="S466" s="54">
        <v>0.77</v>
      </c>
      <c r="T466" s="54">
        <v>0.02</v>
      </c>
      <c r="U466" s="54">
        <f t="shared" si="114"/>
        <v>0.79</v>
      </c>
      <c r="V466" s="54">
        <v>11</v>
      </c>
      <c r="W466" s="52">
        <f t="shared" si="93"/>
        <v>2.8732638888888888</v>
      </c>
      <c r="X466" s="54">
        <f t="shared" si="121"/>
        <v>13.924050632911392</v>
      </c>
      <c r="Y466" s="50" t="str">
        <f t="shared" si="116"/>
        <v>è in grado</v>
      </c>
      <c r="Z466" s="50" t="str">
        <f t="shared" si="117"/>
        <v>non sottende</v>
      </c>
      <c r="AA466" s="106">
        <f t="shared" si="118"/>
        <v>3.8283987915407858</v>
      </c>
      <c r="AB466" s="50" t="str">
        <f t="shared" si="119"/>
        <v>A</v>
      </c>
      <c r="AC466" s="50" t="str">
        <f t="shared" si="83"/>
        <v>SI</v>
      </c>
      <c r="AD466" s="50" t="str">
        <f t="shared" si="120"/>
        <v>No</v>
      </c>
      <c r="AE466" s="70" t="s">
        <v>147</v>
      </c>
      <c r="AF466" s="55">
        <v>15.16</v>
      </c>
      <c r="AG466" s="55">
        <v>1220</v>
      </c>
      <c r="AH466" s="55">
        <v>136</v>
      </c>
      <c r="AI466" s="55" t="str">
        <f t="shared" si="103"/>
        <v>Manufatto limitante</v>
      </c>
      <c r="AJ466" s="53">
        <v>16.170000000000002</v>
      </c>
      <c r="AK466" s="53">
        <f t="shared" si="126"/>
        <v>7.7303648732220154</v>
      </c>
      <c r="AL466" s="53">
        <f t="shared" si="99"/>
        <v>125</v>
      </c>
      <c r="AM466" s="50" t="s">
        <v>147</v>
      </c>
      <c r="AN466" s="56" t="s">
        <v>236</v>
      </c>
      <c r="AO466" s="160">
        <v>47287</v>
      </c>
      <c r="AP466" s="58" t="s">
        <v>2484</v>
      </c>
      <c r="AQ466" s="58" t="s">
        <v>1094</v>
      </c>
      <c r="AR466" s="58" t="s">
        <v>239</v>
      </c>
      <c r="AS466" s="58"/>
      <c r="AT466" s="58" t="s">
        <v>2506</v>
      </c>
      <c r="AU466" s="1"/>
      <c r="AV466" s="1"/>
      <c r="AW466" s="1"/>
      <c r="AX466" s="1"/>
      <c r="AY466" s="1"/>
      <c r="AZ466" s="1"/>
      <c r="BA466" s="1"/>
      <c r="BB466" s="1"/>
      <c r="BC466" s="1"/>
      <c r="BD466" s="1"/>
      <c r="BE466" s="1"/>
      <c r="BF466" s="1"/>
      <c r="BG466" s="1"/>
    </row>
    <row r="467" spans="1:59" ht="14.25" customHeight="1" x14ac:dyDescent="0.25">
      <c r="A467" s="1"/>
      <c r="B467" s="59"/>
      <c r="C467" s="50" t="s">
        <v>2538</v>
      </c>
      <c r="D467" s="50" t="s">
        <v>2539</v>
      </c>
      <c r="E467" s="50" t="str">
        <f t="shared" si="128"/>
        <v>PP0200610007001B</v>
      </c>
      <c r="F467" s="50"/>
      <c r="G467" s="50" t="s">
        <v>206</v>
      </c>
      <c r="H467" s="50" t="s">
        <v>2540</v>
      </c>
      <c r="I467" s="50" t="s">
        <v>2541</v>
      </c>
      <c r="J467" s="50" t="s">
        <v>2542</v>
      </c>
      <c r="K467" s="50" t="s">
        <v>209</v>
      </c>
      <c r="L467" s="50" t="s">
        <v>2543</v>
      </c>
      <c r="M467" s="50"/>
      <c r="N467" s="52"/>
      <c r="O467" s="50" t="s">
        <v>151</v>
      </c>
      <c r="P467" s="50">
        <v>689</v>
      </c>
      <c r="Q467" s="53">
        <v>7</v>
      </c>
      <c r="R467" s="53">
        <f t="shared" si="122"/>
        <v>696</v>
      </c>
      <c r="S467" s="54">
        <v>1.62</v>
      </c>
      <c r="T467" s="54">
        <v>1.02</v>
      </c>
      <c r="U467" s="54">
        <f t="shared" si="114"/>
        <v>2.64</v>
      </c>
      <c r="V467" s="54">
        <v>34.700000000000003</v>
      </c>
      <c r="W467" s="52">
        <f t="shared" si="93"/>
        <v>6.9</v>
      </c>
      <c r="X467" s="54">
        <f t="shared" si="121"/>
        <v>13.143939393939394</v>
      </c>
      <c r="Y467" s="50" t="str">
        <f t="shared" si="116"/>
        <v>è in grado</v>
      </c>
      <c r="Z467" s="50" t="str">
        <f t="shared" si="117"/>
        <v>non sottende</v>
      </c>
      <c r="AA467" s="106">
        <f t="shared" si="118"/>
        <v>5.0289855072463769</v>
      </c>
      <c r="AB467" s="50" t="str">
        <f t="shared" si="119"/>
        <v>A</v>
      </c>
      <c r="AC467" s="50" t="str">
        <f t="shared" si="83"/>
        <v>SI</v>
      </c>
      <c r="AD467" s="50" t="str">
        <f t="shared" si="120"/>
        <v>Si</v>
      </c>
      <c r="AE467" s="70" t="s">
        <v>147</v>
      </c>
      <c r="AF467" s="55">
        <v>8.15</v>
      </c>
      <c r="AG467" s="55">
        <v>1814</v>
      </c>
      <c r="AH467" s="55">
        <v>776</v>
      </c>
      <c r="AI467" s="55" t="str">
        <f t="shared" si="103"/>
        <v>Manufatto limitante</v>
      </c>
      <c r="AJ467" s="53">
        <v>91.01</v>
      </c>
      <c r="AK467" s="53">
        <f t="shared" si="126"/>
        <v>8.1452587627733202</v>
      </c>
      <c r="AL467" s="53">
        <f t="shared" si="99"/>
        <v>741.3</v>
      </c>
      <c r="AM467" s="50" t="s">
        <v>190</v>
      </c>
      <c r="AN467" s="56" t="s">
        <v>222</v>
      </c>
      <c r="AO467" s="160">
        <v>47287</v>
      </c>
      <c r="AP467" s="58" t="s">
        <v>2484</v>
      </c>
      <c r="AQ467" s="58" t="s">
        <v>1094</v>
      </c>
      <c r="AR467" s="58" t="s">
        <v>239</v>
      </c>
      <c r="AS467" s="58"/>
      <c r="AT467" s="58" t="s">
        <v>2544</v>
      </c>
      <c r="AU467" s="69"/>
      <c r="AV467" s="69"/>
      <c r="AW467" s="69"/>
      <c r="AX467" s="69"/>
      <c r="AY467" s="69"/>
      <c r="AZ467" s="69"/>
      <c r="BA467" s="69"/>
      <c r="BB467" s="69"/>
      <c r="BC467" s="69"/>
      <c r="BD467" s="69"/>
      <c r="BE467" s="69"/>
      <c r="BF467" s="1"/>
      <c r="BG467" s="1"/>
    </row>
    <row r="468" spans="1:59" ht="14.25" customHeight="1" x14ac:dyDescent="0.25">
      <c r="A468" s="1"/>
      <c r="B468" s="111"/>
      <c r="C468" s="50" t="s">
        <v>2545</v>
      </c>
      <c r="D468" s="50" t="s">
        <v>2546</v>
      </c>
      <c r="E468" s="50" t="str">
        <f t="shared" si="128"/>
        <v>PP0200640001001B</v>
      </c>
      <c r="F468" s="70" t="s">
        <v>2547</v>
      </c>
      <c r="G468" s="50" t="s">
        <v>2548</v>
      </c>
      <c r="H468" s="50" t="s">
        <v>2549</v>
      </c>
      <c r="I468" s="70" t="s">
        <v>2550</v>
      </c>
      <c r="J468" s="50" t="s">
        <v>2551</v>
      </c>
      <c r="K468" s="50" t="s">
        <v>2552</v>
      </c>
      <c r="L468" s="50" t="s">
        <v>2553</v>
      </c>
      <c r="M468" s="70"/>
      <c r="N468" s="72"/>
      <c r="O468" s="50" t="s">
        <v>159</v>
      </c>
      <c r="P468" s="70">
        <v>86</v>
      </c>
      <c r="Q468" s="73">
        <v>0</v>
      </c>
      <c r="R468" s="73">
        <f t="shared" si="122"/>
        <v>86</v>
      </c>
      <c r="S468" s="74">
        <v>0.2</v>
      </c>
      <c r="T468" s="74">
        <v>0</v>
      </c>
      <c r="U468" s="74">
        <f t="shared" si="114"/>
        <v>0.2</v>
      </c>
      <c r="V468" s="74">
        <v>3.4</v>
      </c>
      <c r="W468" s="52">
        <f t="shared" si="93"/>
        <v>0.74652777777777779</v>
      </c>
      <c r="X468" s="74">
        <f t="shared" si="121"/>
        <v>17</v>
      </c>
      <c r="Y468" s="70" t="str">
        <f t="shared" si="116"/>
        <v>è in grado</v>
      </c>
      <c r="Z468" s="50" t="str">
        <f t="shared" si="117"/>
        <v>non sottende</v>
      </c>
      <c r="AA468" s="74">
        <f t="shared" si="118"/>
        <v>4.554418604651163</v>
      </c>
      <c r="AB468" s="50" t="str">
        <f t="shared" si="119"/>
        <v>A</v>
      </c>
      <c r="AC468" s="50" t="str">
        <f t="shared" si="83"/>
        <v>SI</v>
      </c>
      <c r="AD468" s="70" t="str">
        <f t="shared" si="120"/>
        <v>No</v>
      </c>
      <c r="AE468" s="70" t="s">
        <v>147</v>
      </c>
      <c r="AF468" s="71">
        <v>10.199999999999999</v>
      </c>
      <c r="AG468" s="71">
        <v>971</v>
      </c>
      <c r="AH468" s="71">
        <v>140</v>
      </c>
      <c r="AI468" s="55" t="str">
        <f t="shared" si="103"/>
        <v>Manufatto limitante</v>
      </c>
      <c r="AJ468" s="73">
        <v>26.53</v>
      </c>
      <c r="AK468" s="53">
        <f t="shared" si="126"/>
        <v>5.1488880512627206</v>
      </c>
      <c r="AL468" s="53">
        <f t="shared" si="99"/>
        <v>136.6</v>
      </c>
      <c r="AM468" s="50" t="s">
        <v>147</v>
      </c>
      <c r="AN468" s="56" t="s">
        <v>236</v>
      </c>
      <c r="AO468" s="129">
        <v>46793</v>
      </c>
      <c r="AP468" s="107" t="s">
        <v>2554</v>
      </c>
      <c r="AQ468" s="58" t="s">
        <v>255</v>
      </c>
      <c r="AR468" s="58" t="s">
        <v>225</v>
      </c>
      <c r="AS468" s="64" t="s">
        <v>92</v>
      </c>
      <c r="AT468" s="64"/>
      <c r="AU468" s="1"/>
      <c r="AV468" s="1"/>
      <c r="AW468" s="1"/>
      <c r="AX468" s="1"/>
      <c r="AY468" s="1"/>
      <c r="AZ468" s="1"/>
      <c r="BA468" s="1"/>
      <c r="BB468" s="1"/>
      <c r="BC468" s="1"/>
      <c r="BD468" s="1"/>
      <c r="BE468" s="1"/>
      <c r="BF468" s="1"/>
      <c r="BG468" s="1"/>
    </row>
    <row r="469" spans="1:59" ht="14.25" customHeight="1" x14ac:dyDescent="0.25">
      <c r="A469" s="1"/>
      <c r="B469" s="59"/>
      <c r="C469" s="161" t="s">
        <v>2555</v>
      </c>
      <c r="D469" s="50"/>
      <c r="E469" s="50" t="str">
        <f t="shared" si="128"/>
        <v>001B</v>
      </c>
      <c r="F469" s="70" t="s">
        <v>2556</v>
      </c>
      <c r="G469" s="70" t="s">
        <v>2548</v>
      </c>
      <c r="H469" s="70" t="s">
        <v>2557</v>
      </c>
      <c r="I469" s="70" t="s">
        <v>2558</v>
      </c>
      <c r="J469" s="50" t="s">
        <v>2559</v>
      </c>
      <c r="K469" s="70" t="s">
        <v>2552</v>
      </c>
      <c r="L469" s="70" t="s">
        <v>2560</v>
      </c>
      <c r="M469" s="70"/>
      <c r="N469" s="72"/>
      <c r="O469" s="50" t="s">
        <v>253</v>
      </c>
      <c r="P469" s="70"/>
      <c r="Q469" s="73"/>
      <c r="R469" s="73"/>
      <c r="S469" s="74"/>
      <c r="T469" s="74"/>
      <c r="U469" s="74"/>
      <c r="V469" s="74"/>
      <c r="W469" s="52">
        <f t="shared" si="93"/>
        <v>0</v>
      </c>
      <c r="X469" s="74"/>
      <c r="Y469" s="70"/>
      <c r="Z469" s="70"/>
      <c r="AA469" s="74"/>
      <c r="AB469" s="70"/>
      <c r="AC469" s="50" t="str">
        <f t="shared" si="83"/>
        <v>NO</v>
      </c>
      <c r="AD469" s="70"/>
      <c r="AE469" s="50"/>
      <c r="AF469" s="71"/>
      <c r="AG469" s="71"/>
      <c r="AH469" s="71"/>
      <c r="AI469" s="55"/>
      <c r="AJ469" s="73"/>
      <c r="AK469" s="53"/>
      <c r="AL469" s="53">
        <f t="shared" si="99"/>
        <v>0</v>
      </c>
      <c r="AM469" s="70"/>
      <c r="AN469" s="56" t="s">
        <v>222</v>
      </c>
      <c r="AO469" s="143"/>
      <c r="AP469" s="107" t="s">
        <v>2561</v>
      </c>
      <c r="AQ469" s="107" t="s">
        <v>255</v>
      </c>
      <c r="AR469" s="107" t="s">
        <v>225</v>
      </c>
      <c r="AS469" s="64" t="s">
        <v>92</v>
      </c>
      <c r="AT469" s="64"/>
      <c r="AU469" s="1"/>
      <c r="AV469" s="1"/>
      <c r="AW469" s="1"/>
      <c r="AX469" s="1"/>
      <c r="AY469" s="1"/>
      <c r="AZ469" s="1"/>
      <c r="BA469" s="1"/>
      <c r="BB469" s="1"/>
      <c r="BC469" s="1"/>
      <c r="BD469" s="1"/>
      <c r="BE469" s="1"/>
      <c r="BF469" s="1"/>
      <c r="BG469" s="1"/>
    </row>
    <row r="470" spans="1:59" ht="14.25" customHeight="1" x14ac:dyDescent="0.25">
      <c r="A470" s="1"/>
      <c r="B470" s="59"/>
      <c r="C470" s="70" t="s">
        <v>2562</v>
      </c>
      <c r="D470" s="50" t="s">
        <v>2563</v>
      </c>
      <c r="E470" s="50" t="str">
        <f t="shared" si="128"/>
        <v>PP0200640002001B</v>
      </c>
      <c r="F470" s="50" t="s">
        <v>2564</v>
      </c>
      <c r="G470" s="70" t="s">
        <v>2548</v>
      </c>
      <c r="H470" s="70" t="s">
        <v>95</v>
      </c>
      <c r="I470" s="70" t="s">
        <v>2565</v>
      </c>
      <c r="J470" s="50" t="s">
        <v>2566</v>
      </c>
      <c r="K470" s="70" t="s">
        <v>2552</v>
      </c>
      <c r="L470" s="70" t="s">
        <v>2567</v>
      </c>
      <c r="M470" s="70"/>
      <c r="N470" s="72"/>
      <c r="O470" s="50" t="s">
        <v>118</v>
      </c>
      <c r="P470" s="70">
        <v>1714</v>
      </c>
      <c r="Q470" s="73">
        <v>0</v>
      </c>
      <c r="R470" s="73">
        <f t="shared" ref="R470:R492" si="129">P470+Q470</f>
        <v>1714</v>
      </c>
      <c r="S470" s="74">
        <v>4.03</v>
      </c>
      <c r="T470" s="74">
        <v>0</v>
      </c>
      <c r="U470" s="74">
        <f t="shared" ref="U470:U492" si="130">T470+S470</f>
        <v>4.03</v>
      </c>
      <c r="V470" s="74">
        <v>17.100000000000001</v>
      </c>
      <c r="W470" s="52">
        <f t="shared" si="93"/>
        <v>14.878472222222221</v>
      </c>
      <c r="X470" s="74">
        <f t="shared" ref="X470:X492" si="131">V470/U470</f>
        <v>4.2431761786600495</v>
      </c>
      <c r="Y470" s="70" t="str">
        <f t="shared" ref="Y470:Y492" si="132">IF(V470&gt;W470, "è in grado", "non è in grado")</f>
        <v>è in grado</v>
      </c>
      <c r="Z470" s="70" t="str">
        <f t="shared" ref="Z470:Z492" si="133">IF(R470&gt;10000, "sottende", "non sottende")</f>
        <v>non sottende</v>
      </c>
      <c r="AA470" s="74">
        <f t="shared" ref="AA470:AA492" si="134">V470/W470</f>
        <v>1.149311551925321</v>
      </c>
      <c r="AB470" s="70" t="str">
        <f t="shared" ref="AB470:AB492" si="135">IF(R470&gt;10000, "B", IF(AA470&gt;=2, "A", "B"))</f>
        <v>B</v>
      </c>
      <c r="AC470" s="50" t="str">
        <f t="shared" si="83"/>
        <v>SI</v>
      </c>
      <c r="AD470" s="70" t="str">
        <f t="shared" ref="AD470:AD492" si="136">IF(V470&gt;20, "Si", "No")</f>
        <v>No</v>
      </c>
      <c r="AE470" s="50" t="s">
        <v>343</v>
      </c>
      <c r="AF470" s="71">
        <v>106.79</v>
      </c>
      <c r="AG470" s="71">
        <v>4190</v>
      </c>
      <c r="AH470" s="71">
        <v>1577</v>
      </c>
      <c r="AI470" s="55" t="str">
        <f t="shared" ref="AI470:AI492" si="137">IF(AG470&gt;AH470, "Manufatto limitante", " ")</f>
        <v>Manufatto limitante</v>
      </c>
      <c r="AJ470" s="73">
        <v>34.200000000000003</v>
      </c>
      <c r="AK470" s="53">
        <f t="shared" ref="AK470:AK478" si="138">((MIN(AG470:AH470))-V470)/AJ470</f>
        <v>45.611111111111107</v>
      </c>
      <c r="AL470" s="53">
        <f t="shared" si="99"/>
        <v>1559.9</v>
      </c>
      <c r="AM470" s="70" t="s">
        <v>147</v>
      </c>
      <c r="AN470" s="56" t="s">
        <v>236</v>
      </c>
      <c r="AO470" s="129">
        <v>46793</v>
      </c>
      <c r="AP470" s="107" t="s">
        <v>2554</v>
      </c>
      <c r="AQ470" s="58" t="s">
        <v>238</v>
      </c>
      <c r="AR470" s="113">
        <v>48945</v>
      </c>
      <c r="AS470" s="58" t="s">
        <v>2568</v>
      </c>
      <c r="AT470" s="64"/>
      <c r="AU470" s="1"/>
      <c r="AV470" s="1"/>
      <c r="AW470" s="1"/>
      <c r="AX470" s="1"/>
      <c r="AY470" s="1"/>
      <c r="AZ470" s="1"/>
      <c r="BA470" s="1"/>
      <c r="BB470" s="1"/>
      <c r="BC470" s="1"/>
      <c r="BD470" s="1"/>
      <c r="BE470" s="1"/>
      <c r="BF470" s="1"/>
      <c r="BG470" s="1"/>
    </row>
    <row r="471" spans="1:59" ht="14.25" customHeight="1" x14ac:dyDescent="0.25">
      <c r="A471" s="1"/>
      <c r="B471" s="59"/>
      <c r="C471" s="70" t="s">
        <v>2569</v>
      </c>
      <c r="D471" s="50"/>
      <c r="E471" s="50" t="str">
        <f t="shared" si="128"/>
        <v>001B</v>
      </c>
      <c r="F471" s="50"/>
      <c r="G471" s="50" t="s">
        <v>211</v>
      </c>
      <c r="H471" s="50" t="s">
        <v>95</v>
      </c>
      <c r="I471" s="50" t="s">
        <v>2570</v>
      </c>
      <c r="J471" s="50" t="s">
        <v>2571</v>
      </c>
      <c r="K471" s="50" t="s">
        <v>1793</v>
      </c>
      <c r="L471" s="50" t="s">
        <v>2572</v>
      </c>
      <c r="M471" s="50"/>
      <c r="N471" s="52"/>
      <c r="O471" s="50" t="s">
        <v>118</v>
      </c>
      <c r="P471" s="50">
        <v>1142</v>
      </c>
      <c r="Q471" s="53">
        <v>92</v>
      </c>
      <c r="R471" s="53">
        <f t="shared" si="129"/>
        <v>1234</v>
      </c>
      <c r="S471" s="54">
        <v>2.69</v>
      </c>
      <c r="T471" s="54">
        <v>0.54</v>
      </c>
      <c r="U471" s="54">
        <f t="shared" si="130"/>
        <v>3.23</v>
      </c>
      <c r="V471" s="54">
        <v>40.9</v>
      </c>
      <c r="W471" s="52">
        <f t="shared" si="93"/>
        <v>10.711805555555555</v>
      </c>
      <c r="X471" s="54">
        <f t="shared" si="131"/>
        <v>12.662538699690401</v>
      </c>
      <c r="Y471" s="50" t="str">
        <f t="shared" si="132"/>
        <v>è in grado</v>
      </c>
      <c r="Z471" s="50" t="str">
        <f t="shared" si="133"/>
        <v>non sottende</v>
      </c>
      <c r="AA471" s="54">
        <f t="shared" si="134"/>
        <v>3.8182171799027551</v>
      </c>
      <c r="AB471" s="50" t="str">
        <f t="shared" si="135"/>
        <v>A</v>
      </c>
      <c r="AC471" s="50" t="str">
        <f t="shared" si="83"/>
        <v>SI</v>
      </c>
      <c r="AD471" s="50" t="str">
        <f t="shared" si="136"/>
        <v>Si</v>
      </c>
      <c r="AE471" s="50" t="s">
        <v>343</v>
      </c>
      <c r="AF471" s="55">
        <v>27.43</v>
      </c>
      <c r="AG471" s="55">
        <v>1575</v>
      </c>
      <c r="AH471" s="55">
        <v>370</v>
      </c>
      <c r="AI471" s="55" t="str">
        <f t="shared" si="137"/>
        <v>Manufatto limitante</v>
      </c>
      <c r="AJ471" s="53">
        <v>35.200000000000003</v>
      </c>
      <c r="AK471" s="53">
        <f t="shared" si="138"/>
        <v>9.3494318181818183</v>
      </c>
      <c r="AL471" s="53">
        <f t="shared" si="99"/>
        <v>329.1</v>
      </c>
      <c r="AM471" s="50" t="s">
        <v>147</v>
      </c>
      <c r="AN471" s="56" t="s">
        <v>236</v>
      </c>
      <c r="AO471" s="57">
        <v>44807</v>
      </c>
      <c r="AP471" s="58" t="s">
        <v>2573</v>
      </c>
      <c r="AQ471" s="58" t="s">
        <v>1113</v>
      </c>
      <c r="AR471" s="58" t="s">
        <v>92</v>
      </c>
      <c r="AS471" s="58" t="s">
        <v>2574</v>
      </c>
      <c r="AT471" s="64" t="s">
        <v>2575</v>
      </c>
      <c r="AU471" s="69"/>
      <c r="AV471" s="69"/>
      <c r="AW471" s="69"/>
      <c r="AX471" s="69"/>
      <c r="AY471" s="69"/>
      <c r="AZ471" s="69"/>
      <c r="BA471" s="69"/>
      <c r="BB471" s="69"/>
      <c r="BC471" s="69"/>
      <c r="BD471" s="69"/>
      <c r="BE471" s="69"/>
      <c r="BF471" s="1"/>
      <c r="BG471" s="1"/>
    </row>
    <row r="472" spans="1:59" ht="14.25" customHeight="1" x14ac:dyDescent="0.25">
      <c r="A472" s="1"/>
      <c r="B472" s="59"/>
      <c r="C472" s="70" t="s">
        <v>2576</v>
      </c>
      <c r="D472" s="50" t="s">
        <v>2577</v>
      </c>
      <c r="E472" s="50" t="str">
        <f t="shared" si="128"/>
        <v>PP0200650004001B</v>
      </c>
      <c r="F472" s="50"/>
      <c r="G472" s="70" t="s">
        <v>211</v>
      </c>
      <c r="H472" s="70" t="s">
        <v>2578</v>
      </c>
      <c r="I472" s="70" t="s">
        <v>2579</v>
      </c>
      <c r="J472" s="50" t="s">
        <v>2580</v>
      </c>
      <c r="K472" s="70" t="s">
        <v>2578</v>
      </c>
      <c r="L472" s="70" t="s">
        <v>1132</v>
      </c>
      <c r="M472" s="70"/>
      <c r="N472" s="72"/>
      <c r="O472" s="50" t="s">
        <v>118</v>
      </c>
      <c r="P472" s="70">
        <v>92</v>
      </c>
      <c r="Q472" s="73">
        <v>0</v>
      </c>
      <c r="R472" s="53">
        <f t="shared" si="129"/>
        <v>92</v>
      </c>
      <c r="S472" s="74">
        <v>0.216</v>
      </c>
      <c r="T472" s="74">
        <v>0</v>
      </c>
      <c r="U472" s="54">
        <f t="shared" si="130"/>
        <v>0.216</v>
      </c>
      <c r="V472" s="74">
        <v>4.8</v>
      </c>
      <c r="W472" s="52">
        <f t="shared" si="93"/>
        <v>0.79861111111111116</v>
      </c>
      <c r="X472" s="54">
        <f t="shared" si="131"/>
        <v>22.222222222222221</v>
      </c>
      <c r="Y472" s="50" t="str">
        <f t="shared" si="132"/>
        <v>è in grado</v>
      </c>
      <c r="Z472" s="50" t="str">
        <f t="shared" si="133"/>
        <v>non sottende</v>
      </c>
      <c r="AA472" s="54">
        <f t="shared" si="134"/>
        <v>6.0104347826086952</v>
      </c>
      <c r="AB472" s="50" t="str">
        <f t="shared" si="135"/>
        <v>A</v>
      </c>
      <c r="AC472" s="50" t="str">
        <f t="shared" si="83"/>
        <v>SI</v>
      </c>
      <c r="AD472" s="50" t="str">
        <f t="shared" si="136"/>
        <v>No</v>
      </c>
      <c r="AE472" s="50" t="s">
        <v>343</v>
      </c>
      <c r="AF472" s="71">
        <v>4.8099999999999996</v>
      </c>
      <c r="AG472" s="71">
        <v>509</v>
      </c>
      <c r="AH472" s="71">
        <v>182</v>
      </c>
      <c r="AI472" s="55" t="str">
        <f t="shared" si="137"/>
        <v>Manufatto limitante</v>
      </c>
      <c r="AJ472" s="73">
        <v>84.7</v>
      </c>
      <c r="AK472" s="53">
        <f t="shared" si="138"/>
        <v>2.0920897284533648</v>
      </c>
      <c r="AL472" s="53">
        <f t="shared" si="99"/>
        <v>177.2</v>
      </c>
      <c r="AM472" s="70" t="s">
        <v>190</v>
      </c>
      <c r="AN472" s="56" t="s">
        <v>236</v>
      </c>
      <c r="AO472" s="129">
        <v>46661</v>
      </c>
      <c r="AP472" s="107" t="s">
        <v>2581</v>
      </c>
      <c r="AQ472" s="58" t="s">
        <v>1113</v>
      </c>
      <c r="AR472" s="58" t="s">
        <v>239</v>
      </c>
      <c r="AS472" s="58"/>
      <c r="AT472" s="64" t="s">
        <v>2582</v>
      </c>
      <c r="AU472" s="1"/>
      <c r="AV472" s="1"/>
      <c r="AW472" s="1"/>
      <c r="AX472" s="1"/>
      <c r="AY472" s="1"/>
      <c r="AZ472" s="1"/>
      <c r="BA472" s="1"/>
      <c r="BB472" s="1"/>
      <c r="BC472" s="1"/>
      <c r="BD472" s="1"/>
      <c r="BE472" s="1"/>
      <c r="BF472" s="1"/>
      <c r="BG472" s="1"/>
    </row>
    <row r="473" spans="1:59" ht="14.25" customHeight="1" x14ac:dyDescent="0.25">
      <c r="A473" s="1"/>
      <c r="B473" s="59"/>
      <c r="C473" s="50" t="s">
        <v>2583</v>
      </c>
      <c r="D473" s="50" t="s">
        <v>2584</v>
      </c>
      <c r="E473" s="50" t="str">
        <f t="shared" si="128"/>
        <v>PP0200650003001B</v>
      </c>
      <c r="F473" s="50"/>
      <c r="G473" s="50" t="s">
        <v>211</v>
      </c>
      <c r="H473" s="50" t="s">
        <v>2585</v>
      </c>
      <c r="I473" s="50" t="s">
        <v>2586</v>
      </c>
      <c r="J473" s="50" t="s">
        <v>2587</v>
      </c>
      <c r="K473" s="50" t="s">
        <v>1662</v>
      </c>
      <c r="L473" s="50" t="s">
        <v>2588</v>
      </c>
      <c r="M473" s="50"/>
      <c r="N473" s="52"/>
      <c r="O473" s="50" t="s">
        <v>118</v>
      </c>
      <c r="P473" s="50">
        <v>949</v>
      </c>
      <c r="Q473" s="53">
        <v>151</v>
      </c>
      <c r="R473" s="53">
        <f t="shared" si="129"/>
        <v>1100</v>
      </c>
      <c r="S473" s="54">
        <v>2.23</v>
      </c>
      <c r="T473" s="54">
        <v>1.0900000000000001</v>
      </c>
      <c r="U473" s="54">
        <f t="shared" si="130"/>
        <v>3.3200000000000003</v>
      </c>
      <c r="V473" s="54">
        <v>49.8</v>
      </c>
      <c r="W473" s="52">
        <f t="shared" si="93"/>
        <v>9.5486111111111107</v>
      </c>
      <c r="X473" s="54">
        <f t="shared" si="131"/>
        <v>14.999999999999998</v>
      </c>
      <c r="Y473" s="50" t="str">
        <f t="shared" si="132"/>
        <v>è in grado</v>
      </c>
      <c r="Z473" s="50" t="str">
        <f t="shared" si="133"/>
        <v>non sottende</v>
      </c>
      <c r="AA473" s="54">
        <f t="shared" si="134"/>
        <v>5.2154181818181815</v>
      </c>
      <c r="AB473" s="50" t="str">
        <f t="shared" si="135"/>
        <v>A</v>
      </c>
      <c r="AC473" s="50" t="str">
        <f t="shared" si="83"/>
        <v>SI</v>
      </c>
      <c r="AD473" s="50" t="str">
        <f t="shared" si="136"/>
        <v>Si</v>
      </c>
      <c r="AE473" s="50" t="s">
        <v>343</v>
      </c>
      <c r="AF473" s="55">
        <v>38.770000000000003</v>
      </c>
      <c r="AG473" s="55">
        <v>2635</v>
      </c>
      <c r="AH473" s="55">
        <v>807</v>
      </c>
      <c r="AI473" s="55" t="str">
        <f t="shared" si="137"/>
        <v>Manufatto limitante</v>
      </c>
      <c r="AJ473" s="53">
        <v>39.409999999999997</v>
      </c>
      <c r="AK473" s="53">
        <f t="shared" si="138"/>
        <v>19.213397614818575</v>
      </c>
      <c r="AL473" s="53">
        <f t="shared" si="99"/>
        <v>757.2</v>
      </c>
      <c r="AM473" s="50" t="s">
        <v>147</v>
      </c>
      <c r="AN473" s="56" t="s">
        <v>236</v>
      </c>
      <c r="AO473" s="57">
        <v>45956</v>
      </c>
      <c r="AP473" s="58" t="s">
        <v>1664</v>
      </c>
      <c r="AQ473" s="58" t="s">
        <v>1113</v>
      </c>
      <c r="AR473" s="75">
        <v>52231</v>
      </c>
      <c r="AS473" s="58" t="s">
        <v>2589</v>
      </c>
      <c r="AT473" s="64"/>
      <c r="AU473" s="1"/>
      <c r="AV473" s="1"/>
      <c r="AW473" s="1"/>
      <c r="AX473" s="1"/>
      <c r="AY473" s="1"/>
      <c r="AZ473" s="1"/>
      <c r="BA473" s="1"/>
      <c r="BB473" s="1"/>
      <c r="BC473" s="1"/>
      <c r="BD473" s="1"/>
      <c r="BE473" s="1"/>
      <c r="BF473" s="1"/>
      <c r="BG473" s="1"/>
    </row>
    <row r="474" spans="1:59" ht="14.25" customHeight="1" x14ac:dyDescent="0.25">
      <c r="A474" s="1"/>
      <c r="B474" s="59"/>
      <c r="C474" s="50" t="s">
        <v>2590</v>
      </c>
      <c r="D474" s="50" t="s">
        <v>2591</v>
      </c>
      <c r="E474" s="50" t="str">
        <f t="shared" si="128"/>
        <v>PP0200660003001B</v>
      </c>
      <c r="F474" s="50"/>
      <c r="G474" s="50" t="s">
        <v>2592</v>
      </c>
      <c r="H474" s="50" t="s">
        <v>2593</v>
      </c>
      <c r="I474" s="50" t="s">
        <v>2594</v>
      </c>
      <c r="J474" s="50" t="s">
        <v>2595</v>
      </c>
      <c r="K474" s="50" t="s">
        <v>2593</v>
      </c>
      <c r="L474" s="50" t="s">
        <v>2596</v>
      </c>
      <c r="M474" s="50"/>
      <c r="N474" s="52"/>
      <c r="O474" s="50" t="s">
        <v>159</v>
      </c>
      <c r="P474" s="50">
        <v>9449</v>
      </c>
      <c r="Q474" s="53">
        <v>36</v>
      </c>
      <c r="R474" s="53">
        <f t="shared" si="129"/>
        <v>9485</v>
      </c>
      <c r="S474" s="54">
        <f t="shared" ref="S474:S486" si="139">P474*254*0.8/86400</f>
        <v>22.222648148148149</v>
      </c>
      <c r="T474" s="54">
        <v>1.6</v>
      </c>
      <c r="U474" s="54">
        <f t="shared" si="130"/>
        <v>23.822648148148151</v>
      </c>
      <c r="V474" s="54">
        <v>108</v>
      </c>
      <c r="W474" s="52">
        <f t="shared" si="93"/>
        <v>82.335069444444443</v>
      </c>
      <c r="X474" s="54">
        <f t="shared" si="131"/>
        <v>4.5335010334858747</v>
      </c>
      <c r="Y474" s="50" t="str">
        <f t="shared" si="132"/>
        <v>è in grado</v>
      </c>
      <c r="Z474" s="50" t="str">
        <f t="shared" si="133"/>
        <v>non sottende</v>
      </c>
      <c r="AA474" s="54">
        <f t="shared" si="134"/>
        <v>1.3117132314180284</v>
      </c>
      <c r="AB474" s="50" t="str">
        <f t="shared" si="135"/>
        <v>B</v>
      </c>
      <c r="AC474" s="50" t="str">
        <f t="shared" si="83"/>
        <v>SI</v>
      </c>
      <c r="AD474" s="50" t="str">
        <f t="shared" si="136"/>
        <v>Si</v>
      </c>
      <c r="AE474" s="50" t="s">
        <v>605</v>
      </c>
      <c r="AF474" s="55">
        <v>70.2</v>
      </c>
      <c r="AG474" s="55">
        <v>4525</v>
      </c>
      <c r="AH474" s="55">
        <v>10931</v>
      </c>
      <c r="AI474" s="55" t="str">
        <f t="shared" si="137"/>
        <v xml:space="preserve"> </v>
      </c>
      <c r="AJ474" s="53">
        <v>156.03</v>
      </c>
      <c r="AK474" s="53">
        <f t="shared" si="138"/>
        <v>28.308658591296545</v>
      </c>
      <c r="AL474" s="53">
        <f t="shared" si="99"/>
        <v>4417</v>
      </c>
      <c r="AM474" s="50" t="s">
        <v>1420</v>
      </c>
      <c r="AN474" s="56" t="s">
        <v>236</v>
      </c>
      <c r="AO474" s="143" t="s">
        <v>2597</v>
      </c>
      <c r="AP474" s="107" t="s">
        <v>2598</v>
      </c>
      <c r="AQ474" s="58" t="s">
        <v>445</v>
      </c>
      <c r="AR474" s="162">
        <v>50036</v>
      </c>
      <c r="AS474" s="58" t="s">
        <v>2599</v>
      </c>
      <c r="AT474" s="50" t="s">
        <v>2600</v>
      </c>
      <c r="AU474" s="1"/>
      <c r="AV474" s="1"/>
      <c r="AW474" s="1"/>
      <c r="AX474" s="1"/>
      <c r="AY474" s="1"/>
      <c r="AZ474" s="1"/>
      <c r="BA474" s="1"/>
      <c r="BB474" s="1"/>
      <c r="BC474" s="1"/>
      <c r="BD474" s="1"/>
      <c r="BE474" s="1"/>
      <c r="BF474" s="1"/>
      <c r="BG474" s="1"/>
    </row>
    <row r="475" spans="1:59" ht="14.25" customHeight="1" x14ac:dyDescent="0.25">
      <c r="A475" s="163"/>
      <c r="B475" s="50"/>
      <c r="C475" s="50" t="s">
        <v>2601</v>
      </c>
      <c r="D475" s="50" t="s">
        <v>2602</v>
      </c>
      <c r="E475" s="50" t="str">
        <f t="shared" si="128"/>
        <v>PP0200660008001B</v>
      </c>
      <c r="F475" s="55"/>
      <c r="G475" s="50" t="s">
        <v>2592</v>
      </c>
      <c r="H475" s="50" t="s">
        <v>2603</v>
      </c>
      <c r="I475" s="50" t="s">
        <v>2604</v>
      </c>
      <c r="J475" s="50" t="s">
        <v>2605</v>
      </c>
      <c r="K475" s="50" t="s">
        <v>2593</v>
      </c>
      <c r="L475" s="50" t="s">
        <v>2603</v>
      </c>
      <c r="M475" s="50"/>
      <c r="N475" s="52"/>
      <c r="O475" s="50" t="s">
        <v>159</v>
      </c>
      <c r="P475" s="50">
        <v>2482</v>
      </c>
      <c r="Q475" s="53">
        <v>24</v>
      </c>
      <c r="R475" s="53">
        <f t="shared" si="129"/>
        <v>2506</v>
      </c>
      <c r="S475" s="54">
        <f t="shared" si="139"/>
        <v>5.8372962962962962</v>
      </c>
      <c r="T475" s="54">
        <v>1.48</v>
      </c>
      <c r="U475" s="54">
        <f t="shared" si="130"/>
        <v>7.3172962962962966</v>
      </c>
      <c r="V475" s="54">
        <v>29</v>
      </c>
      <c r="W475" s="52">
        <f t="shared" si="93"/>
        <v>21.753472222222221</v>
      </c>
      <c r="X475" s="54">
        <f t="shared" si="131"/>
        <v>3.9632124798169732</v>
      </c>
      <c r="Y475" s="50" t="str">
        <f t="shared" si="132"/>
        <v>è in grado</v>
      </c>
      <c r="Z475" s="50" t="str">
        <f t="shared" si="133"/>
        <v>non sottende</v>
      </c>
      <c r="AA475" s="54">
        <f t="shared" si="134"/>
        <v>1.3331205107741422</v>
      </c>
      <c r="AB475" s="50" t="str">
        <f t="shared" si="135"/>
        <v>B</v>
      </c>
      <c r="AC475" s="50" t="str">
        <f t="shared" si="83"/>
        <v>SI</v>
      </c>
      <c r="AD475" s="50" t="str">
        <f t="shared" si="136"/>
        <v>Si</v>
      </c>
      <c r="AE475" s="50" t="s">
        <v>605</v>
      </c>
      <c r="AF475" s="55">
        <v>127.3</v>
      </c>
      <c r="AG475" s="55">
        <v>9200</v>
      </c>
      <c r="AH475" s="55">
        <v>5656</v>
      </c>
      <c r="AI475" s="55" t="str">
        <f t="shared" si="137"/>
        <v>Manufatto limitante</v>
      </c>
      <c r="AJ475" s="53">
        <v>85.01</v>
      </c>
      <c r="AK475" s="53">
        <f t="shared" si="138"/>
        <v>66.192212680861076</v>
      </c>
      <c r="AL475" s="53">
        <f t="shared" si="99"/>
        <v>5627</v>
      </c>
      <c r="AM475" s="50" t="s">
        <v>1420</v>
      </c>
      <c r="AN475" s="56" t="s">
        <v>236</v>
      </c>
      <c r="AO475" s="143" t="s">
        <v>2597</v>
      </c>
      <c r="AP475" s="58" t="s">
        <v>2606</v>
      </c>
      <c r="AQ475" s="58" t="s">
        <v>445</v>
      </c>
      <c r="AR475" s="162">
        <v>50036</v>
      </c>
      <c r="AS475" s="58" t="s">
        <v>2599</v>
      </c>
      <c r="AT475" s="50" t="s">
        <v>2600</v>
      </c>
      <c r="AU475" s="69"/>
      <c r="AV475" s="69"/>
      <c r="AW475" s="69"/>
      <c r="AX475" s="69"/>
      <c r="AY475" s="69"/>
      <c r="AZ475" s="69"/>
      <c r="BA475" s="69"/>
      <c r="BB475" s="69"/>
      <c r="BC475" s="69"/>
      <c r="BD475" s="69"/>
      <c r="BE475" s="69"/>
      <c r="BF475" s="1"/>
      <c r="BG475" s="1"/>
    </row>
    <row r="476" spans="1:59" ht="14.25" customHeight="1" x14ac:dyDescent="0.25">
      <c r="A476" s="1"/>
      <c r="B476" s="50"/>
      <c r="C476" s="70" t="s">
        <v>2607</v>
      </c>
      <c r="D476" s="50" t="s">
        <v>2608</v>
      </c>
      <c r="E476" s="50" t="str">
        <f t="shared" si="128"/>
        <v>PP0200660009001B</v>
      </c>
      <c r="F476" s="70"/>
      <c r="G476" s="70" t="s">
        <v>2592</v>
      </c>
      <c r="H476" s="50" t="s">
        <v>95</v>
      </c>
      <c r="I476" s="70" t="s">
        <v>2594</v>
      </c>
      <c r="J476" s="50" t="s">
        <v>2609</v>
      </c>
      <c r="K476" s="70" t="s">
        <v>2593</v>
      </c>
      <c r="L476" s="70" t="s">
        <v>2596</v>
      </c>
      <c r="M476" s="70"/>
      <c r="N476" s="72"/>
      <c r="O476" s="50" t="s">
        <v>151</v>
      </c>
      <c r="P476" s="70">
        <v>3257</v>
      </c>
      <c r="Q476" s="73">
        <v>19</v>
      </c>
      <c r="R476" s="73">
        <f t="shared" si="129"/>
        <v>3276</v>
      </c>
      <c r="S476" s="74">
        <f t="shared" si="139"/>
        <v>7.6599814814814815</v>
      </c>
      <c r="T476" s="74">
        <v>1.08</v>
      </c>
      <c r="U476" s="54">
        <f t="shared" si="130"/>
        <v>8.7399814814814825</v>
      </c>
      <c r="V476" s="74">
        <v>482.3</v>
      </c>
      <c r="W476" s="52">
        <f t="shared" si="93"/>
        <v>28.4375</v>
      </c>
      <c r="X476" s="54">
        <f t="shared" si="131"/>
        <v>55.183183284988736</v>
      </c>
      <c r="Y476" s="50" t="str">
        <f t="shared" si="132"/>
        <v>è in grado</v>
      </c>
      <c r="Z476" s="50" t="str">
        <f t="shared" si="133"/>
        <v>non sottende</v>
      </c>
      <c r="AA476" s="54">
        <f t="shared" si="134"/>
        <v>16.96</v>
      </c>
      <c r="AB476" s="50" t="str">
        <f t="shared" si="135"/>
        <v>A</v>
      </c>
      <c r="AC476" s="50" t="str">
        <f t="shared" si="83"/>
        <v>SI</v>
      </c>
      <c r="AD476" s="50" t="str">
        <f t="shared" si="136"/>
        <v>Si</v>
      </c>
      <c r="AE476" s="50" t="s">
        <v>147</v>
      </c>
      <c r="AF476" s="71">
        <v>74.62</v>
      </c>
      <c r="AG476" s="71">
        <v>5122</v>
      </c>
      <c r="AH476" s="71">
        <v>3216</v>
      </c>
      <c r="AI476" s="55" t="str">
        <f t="shared" si="137"/>
        <v>Manufatto limitante</v>
      </c>
      <c r="AJ476" s="73">
        <v>72.2</v>
      </c>
      <c r="AK476" s="53">
        <f t="shared" si="138"/>
        <v>37.862880886426588</v>
      </c>
      <c r="AL476" s="53">
        <f t="shared" si="99"/>
        <v>2733.7</v>
      </c>
      <c r="AM476" s="50" t="s">
        <v>1420</v>
      </c>
      <c r="AN476" s="56" t="s">
        <v>222</v>
      </c>
      <c r="AO476" s="143" t="s">
        <v>2597</v>
      </c>
      <c r="AP476" s="107" t="s">
        <v>2610</v>
      </c>
      <c r="AQ476" s="58" t="s">
        <v>445</v>
      </c>
      <c r="AR476" s="162">
        <v>50036</v>
      </c>
      <c r="AS476" s="58" t="s">
        <v>2599</v>
      </c>
      <c r="AT476" s="50" t="s">
        <v>2600</v>
      </c>
      <c r="AU476" s="1"/>
      <c r="AV476" s="1"/>
      <c r="AW476" s="1"/>
      <c r="AX476" s="1"/>
      <c r="AY476" s="1"/>
      <c r="AZ476" s="1"/>
      <c r="BA476" s="1"/>
      <c r="BB476" s="1"/>
      <c r="BC476" s="1"/>
      <c r="BD476" s="1"/>
      <c r="BE476" s="1"/>
      <c r="BF476" s="1"/>
      <c r="BG476" s="1"/>
    </row>
    <row r="477" spans="1:59" ht="14.25" customHeight="1" x14ac:dyDescent="0.25">
      <c r="A477" s="1"/>
      <c r="B477" s="50"/>
      <c r="C477" s="50" t="s">
        <v>2611</v>
      </c>
      <c r="D477" s="50" t="s">
        <v>2612</v>
      </c>
      <c r="E477" s="50" t="str">
        <f t="shared" si="128"/>
        <v>PP0200660002001B</v>
      </c>
      <c r="F477" s="50"/>
      <c r="G477" s="50" t="s">
        <v>2592</v>
      </c>
      <c r="H477" s="50" t="s">
        <v>2593</v>
      </c>
      <c r="I477" s="50" t="s">
        <v>2613</v>
      </c>
      <c r="J477" s="50" t="s">
        <v>2614</v>
      </c>
      <c r="K477" s="50" t="s">
        <v>2593</v>
      </c>
      <c r="L477" s="50" t="s">
        <v>2593</v>
      </c>
      <c r="M477" s="50"/>
      <c r="N477" s="52"/>
      <c r="O477" s="50" t="s">
        <v>159</v>
      </c>
      <c r="P477" s="50">
        <v>6140</v>
      </c>
      <c r="Q477" s="53">
        <v>649</v>
      </c>
      <c r="R477" s="53">
        <f t="shared" si="129"/>
        <v>6789</v>
      </c>
      <c r="S477" s="74">
        <f t="shared" si="139"/>
        <v>14.440370370370371</v>
      </c>
      <c r="T477" s="54">
        <v>29.75</v>
      </c>
      <c r="U477" s="54">
        <f t="shared" si="130"/>
        <v>44.190370370370374</v>
      </c>
      <c r="V477" s="54">
        <v>136.19999999999999</v>
      </c>
      <c r="W477" s="52">
        <f t="shared" si="93"/>
        <v>102.82111111111111</v>
      </c>
      <c r="X477" s="54">
        <f t="shared" si="131"/>
        <v>3.0821194495197539</v>
      </c>
      <c r="Y477" s="50" t="str">
        <f t="shared" si="132"/>
        <v>è in grado</v>
      </c>
      <c r="Z477" s="50" t="str">
        <f t="shared" si="133"/>
        <v>non sottende</v>
      </c>
      <c r="AA477" s="54">
        <f t="shared" si="134"/>
        <v>1.3246306962469876</v>
      </c>
      <c r="AB477" s="50" t="str">
        <f t="shared" si="135"/>
        <v>B</v>
      </c>
      <c r="AC477" s="50" t="str">
        <f t="shared" si="83"/>
        <v>SI</v>
      </c>
      <c r="AD477" s="50" t="str">
        <f t="shared" si="136"/>
        <v>Si</v>
      </c>
      <c r="AE477" s="50" t="s">
        <v>605</v>
      </c>
      <c r="AF477" s="55">
        <v>176.6</v>
      </c>
      <c r="AG477" s="55">
        <v>12398</v>
      </c>
      <c r="AH477" s="55">
        <v>10305</v>
      </c>
      <c r="AI477" s="55" t="str">
        <f t="shared" si="137"/>
        <v>Manufatto limitante</v>
      </c>
      <c r="AJ477" s="53">
        <v>98.96</v>
      </c>
      <c r="AK477" s="53">
        <f t="shared" si="138"/>
        <v>102.75666936135812</v>
      </c>
      <c r="AL477" s="53">
        <f t="shared" si="99"/>
        <v>10168.799999999999</v>
      </c>
      <c r="AM477" s="50" t="s">
        <v>1420</v>
      </c>
      <c r="AN477" s="56" t="s">
        <v>236</v>
      </c>
      <c r="AO477" s="143" t="s">
        <v>2597</v>
      </c>
      <c r="AP477" s="58" t="s">
        <v>2615</v>
      </c>
      <c r="AQ477" s="58" t="s">
        <v>445</v>
      </c>
      <c r="AR477" s="162">
        <v>50036</v>
      </c>
      <c r="AS477" s="58" t="s">
        <v>2599</v>
      </c>
      <c r="AT477" s="50" t="s">
        <v>2600</v>
      </c>
      <c r="AU477" s="1"/>
      <c r="AV477" s="1"/>
      <c r="AW477" s="1"/>
      <c r="AX477" s="1"/>
      <c r="AY477" s="1"/>
      <c r="AZ477" s="1"/>
      <c r="BA477" s="1"/>
      <c r="BB477" s="1"/>
      <c r="BC477" s="1"/>
      <c r="BD477" s="1"/>
      <c r="BE477" s="1"/>
      <c r="BF477" s="1"/>
      <c r="BG477" s="1"/>
    </row>
    <row r="478" spans="1:59" ht="14.25" customHeight="1" x14ac:dyDescent="0.25">
      <c r="A478" s="1"/>
      <c r="B478" s="50"/>
      <c r="C478" s="50" t="s">
        <v>2616</v>
      </c>
      <c r="D478" s="50" t="s">
        <v>2617</v>
      </c>
      <c r="E478" s="50" t="str">
        <f t="shared" si="128"/>
        <v>PP0200660004001B</v>
      </c>
      <c r="F478" s="50"/>
      <c r="G478" s="50" t="s">
        <v>2592</v>
      </c>
      <c r="H478" s="50" t="s">
        <v>2593</v>
      </c>
      <c r="I478" s="50" t="s">
        <v>2618</v>
      </c>
      <c r="J478" s="50" t="s">
        <v>2619</v>
      </c>
      <c r="K478" s="50" t="s">
        <v>2593</v>
      </c>
      <c r="L478" s="50" t="s">
        <v>2593</v>
      </c>
      <c r="M478" s="50"/>
      <c r="N478" s="52"/>
      <c r="O478" s="50" t="s">
        <v>159</v>
      </c>
      <c r="P478" s="50">
        <v>43</v>
      </c>
      <c r="Q478" s="53">
        <v>46</v>
      </c>
      <c r="R478" s="53">
        <f t="shared" si="129"/>
        <v>89</v>
      </c>
      <c r="S478" s="74">
        <f t="shared" si="139"/>
        <v>0.10112962962962964</v>
      </c>
      <c r="T478" s="54">
        <v>3.35</v>
      </c>
      <c r="U478" s="54">
        <f t="shared" si="130"/>
        <v>3.4511296296296297</v>
      </c>
      <c r="V478" s="54">
        <v>31.85</v>
      </c>
      <c r="W478" s="52">
        <f t="shared" si="93"/>
        <v>8.754236111111112</v>
      </c>
      <c r="X478" s="54">
        <f t="shared" si="131"/>
        <v>9.2288622619539495</v>
      </c>
      <c r="Y478" s="50" t="str">
        <f t="shared" si="132"/>
        <v>è in grado</v>
      </c>
      <c r="Z478" s="50" t="str">
        <f t="shared" si="133"/>
        <v>non sottende</v>
      </c>
      <c r="AA478" s="54">
        <f t="shared" si="134"/>
        <v>3.6382386305042793</v>
      </c>
      <c r="AB478" s="50" t="str">
        <f t="shared" si="135"/>
        <v>A</v>
      </c>
      <c r="AC478" s="50" t="str">
        <f t="shared" si="83"/>
        <v>SI</v>
      </c>
      <c r="AD478" s="50" t="str">
        <f t="shared" si="136"/>
        <v>Si</v>
      </c>
      <c r="AE478" s="50" t="s">
        <v>147</v>
      </c>
      <c r="AF478" s="55">
        <v>26.9</v>
      </c>
      <c r="AG478" s="55">
        <v>3410</v>
      </c>
      <c r="AH478" s="55">
        <v>3023</v>
      </c>
      <c r="AI478" s="55" t="str">
        <f t="shared" si="137"/>
        <v>Manufatto limitante</v>
      </c>
      <c r="AJ478" s="53">
        <v>171.07</v>
      </c>
      <c r="AK478" s="53">
        <f t="shared" si="138"/>
        <v>17.484947682235344</v>
      </c>
      <c r="AL478" s="53">
        <f t="shared" si="99"/>
        <v>2991.15</v>
      </c>
      <c r="AM478" s="50" t="s">
        <v>1420</v>
      </c>
      <c r="AN478" s="56" t="s">
        <v>236</v>
      </c>
      <c r="AO478" s="143" t="s">
        <v>2597</v>
      </c>
      <c r="AP478" s="58" t="s">
        <v>2620</v>
      </c>
      <c r="AQ478" s="58" t="s">
        <v>445</v>
      </c>
      <c r="AR478" s="162">
        <v>50036</v>
      </c>
      <c r="AS478" s="58" t="s">
        <v>2599</v>
      </c>
      <c r="AT478" s="50" t="s">
        <v>2600</v>
      </c>
      <c r="AU478" s="1"/>
      <c r="AV478" s="1"/>
      <c r="AW478" s="1"/>
      <c r="AX478" s="1"/>
      <c r="AY478" s="1"/>
      <c r="AZ478" s="1"/>
      <c r="BA478" s="1"/>
      <c r="BB478" s="1"/>
      <c r="BC478" s="1"/>
      <c r="BD478" s="1"/>
      <c r="BE478" s="1"/>
      <c r="BF478" s="1"/>
      <c r="BG478" s="1"/>
    </row>
    <row r="479" spans="1:59" ht="14.25" customHeight="1" x14ac:dyDescent="0.25">
      <c r="A479" s="1"/>
      <c r="B479" s="50"/>
      <c r="C479" s="50" t="s">
        <v>2621</v>
      </c>
      <c r="D479" s="50"/>
      <c r="E479" s="50" t="str">
        <f t="shared" si="128"/>
        <v>001B</v>
      </c>
      <c r="F479" s="50"/>
      <c r="G479" s="50" t="s">
        <v>2592</v>
      </c>
      <c r="H479" s="50" t="s">
        <v>1850</v>
      </c>
      <c r="I479" s="50" t="s">
        <v>2622</v>
      </c>
      <c r="J479" s="50" t="s">
        <v>2623</v>
      </c>
      <c r="K479" s="50" t="s">
        <v>1850</v>
      </c>
      <c r="L479" s="50" t="s">
        <v>2624</v>
      </c>
      <c r="M479" s="50"/>
      <c r="N479" s="52"/>
      <c r="O479" s="50" t="s">
        <v>159</v>
      </c>
      <c r="P479" s="50">
        <v>83</v>
      </c>
      <c r="Q479" s="53">
        <v>90</v>
      </c>
      <c r="R479" s="53">
        <f t="shared" si="129"/>
        <v>173</v>
      </c>
      <c r="S479" s="74">
        <f t="shared" si="139"/>
        <v>0.19520370370370374</v>
      </c>
      <c r="T479" s="54">
        <v>2.88</v>
      </c>
      <c r="U479" s="54">
        <f t="shared" si="130"/>
        <v>3.0752037037037034</v>
      </c>
      <c r="V479" s="54">
        <v>11</v>
      </c>
      <c r="W479" s="52">
        <f t="shared" si="93"/>
        <v>7.9320138888888891</v>
      </c>
      <c r="X479" s="54">
        <f t="shared" si="131"/>
        <v>3.5769988136889461</v>
      </c>
      <c r="Y479" s="50" t="str">
        <f t="shared" si="132"/>
        <v>è in grado</v>
      </c>
      <c r="Z479" s="50" t="str">
        <f t="shared" si="133"/>
        <v>non sottende</v>
      </c>
      <c r="AA479" s="54">
        <f t="shared" si="134"/>
        <v>1.3867852671575278</v>
      </c>
      <c r="AB479" s="50" t="str">
        <f t="shared" si="135"/>
        <v>B</v>
      </c>
      <c r="AC479" s="50" t="str">
        <f t="shared" si="83"/>
        <v>SI</v>
      </c>
      <c r="AD479" s="50" t="str">
        <f t="shared" si="136"/>
        <v>No</v>
      </c>
      <c r="AE479" s="50" t="s">
        <v>605</v>
      </c>
      <c r="AF479" s="55">
        <v>97.5</v>
      </c>
      <c r="AG479" s="55">
        <v>8932</v>
      </c>
      <c r="AH479" s="55">
        <v>5403</v>
      </c>
      <c r="AI479" s="55" t="str">
        <f t="shared" si="137"/>
        <v>Manufatto limitante</v>
      </c>
      <c r="AJ479" s="53">
        <v>94.2</v>
      </c>
      <c r="AK479" s="53">
        <v>55.06</v>
      </c>
      <c r="AL479" s="53">
        <f t="shared" si="99"/>
        <v>5392</v>
      </c>
      <c r="AM479" s="50" t="s">
        <v>1420</v>
      </c>
      <c r="AN479" s="56" t="s">
        <v>236</v>
      </c>
      <c r="AO479" s="57">
        <v>45619</v>
      </c>
      <c r="AP479" s="58" t="s">
        <v>2625</v>
      </c>
      <c r="AQ479" s="58" t="s">
        <v>445</v>
      </c>
      <c r="AR479" s="75">
        <v>51866</v>
      </c>
      <c r="AS479" s="58" t="s">
        <v>2626</v>
      </c>
      <c r="AT479" s="50" t="s">
        <v>2627</v>
      </c>
      <c r="AU479" s="1"/>
      <c r="AV479" s="1"/>
      <c r="AW479" s="1"/>
      <c r="AX479" s="1"/>
      <c r="AY479" s="1"/>
      <c r="AZ479" s="1"/>
      <c r="BA479" s="1"/>
      <c r="BB479" s="1"/>
      <c r="BC479" s="1"/>
      <c r="BD479" s="1"/>
      <c r="BE479" s="1"/>
      <c r="BF479" s="1"/>
      <c r="BG479" s="1"/>
    </row>
    <row r="480" spans="1:59" ht="14.25" customHeight="1" x14ac:dyDescent="0.25">
      <c r="A480" s="1"/>
      <c r="B480" s="50"/>
      <c r="C480" s="50" t="s">
        <v>2628</v>
      </c>
      <c r="D480" s="50" t="s">
        <v>2629</v>
      </c>
      <c r="E480" s="50" t="str">
        <f t="shared" si="128"/>
        <v>PP0200660010001B</v>
      </c>
      <c r="F480" s="50"/>
      <c r="G480" s="50" t="s">
        <v>2592</v>
      </c>
      <c r="H480" s="50" t="s">
        <v>95</v>
      </c>
      <c r="I480" s="50" t="s">
        <v>2630</v>
      </c>
      <c r="J480" s="50" t="s">
        <v>2631</v>
      </c>
      <c r="K480" s="50" t="s">
        <v>2593</v>
      </c>
      <c r="L480" s="50" t="s">
        <v>2632</v>
      </c>
      <c r="M480" s="50"/>
      <c r="N480" s="52"/>
      <c r="O480" s="50" t="s">
        <v>151</v>
      </c>
      <c r="P480" s="50">
        <v>2152</v>
      </c>
      <c r="Q480" s="53">
        <v>8</v>
      </c>
      <c r="R480" s="53">
        <f t="shared" si="129"/>
        <v>2160</v>
      </c>
      <c r="S480" s="74">
        <f t="shared" si="139"/>
        <v>5.0611851851851855</v>
      </c>
      <c r="T480" s="54">
        <v>0.34</v>
      </c>
      <c r="U480" s="54">
        <f t="shared" si="130"/>
        <v>5.4011851851851853</v>
      </c>
      <c r="V480" s="54">
        <v>194.6</v>
      </c>
      <c r="W480" s="52">
        <f t="shared" si="93"/>
        <v>18.75</v>
      </c>
      <c r="X480" s="54">
        <f t="shared" si="131"/>
        <v>36.02912940918317</v>
      </c>
      <c r="Y480" s="50" t="str">
        <f t="shared" si="132"/>
        <v>è in grado</v>
      </c>
      <c r="Z480" s="50" t="str">
        <f t="shared" si="133"/>
        <v>non sottende</v>
      </c>
      <c r="AA480" s="54">
        <f t="shared" si="134"/>
        <v>10.378666666666666</v>
      </c>
      <c r="AB480" s="50" t="str">
        <f t="shared" si="135"/>
        <v>A</v>
      </c>
      <c r="AC480" s="50" t="str">
        <f t="shared" si="83"/>
        <v>SI</v>
      </c>
      <c r="AD480" s="50" t="str">
        <f t="shared" si="136"/>
        <v>Si</v>
      </c>
      <c r="AE480" s="50" t="s">
        <v>147</v>
      </c>
      <c r="AF480" s="55">
        <v>30.4</v>
      </c>
      <c r="AG480" s="55">
        <v>2635</v>
      </c>
      <c r="AH480" s="55">
        <v>639</v>
      </c>
      <c r="AI480" s="55" t="str">
        <f t="shared" si="137"/>
        <v>Manufatto limitante</v>
      </c>
      <c r="AJ480" s="53">
        <v>37.67</v>
      </c>
      <c r="AK480" s="53">
        <f>((MIN(AG480:AH480))-V480)/AJ480</f>
        <v>11.797186089726571</v>
      </c>
      <c r="AL480" s="53">
        <f t="shared" si="99"/>
        <v>444.4</v>
      </c>
      <c r="AM480" s="50" t="s">
        <v>147</v>
      </c>
      <c r="AN480" s="56" t="s">
        <v>222</v>
      </c>
      <c r="AO480" s="143" t="s">
        <v>2597</v>
      </c>
      <c r="AP480" s="58" t="s">
        <v>2633</v>
      </c>
      <c r="AQ480" s="58" t="s">
        <v>445</v>
      </c>
      <c r="AR480" s="162">
        <v>50036</v>
      </c>
      <c r="AS480" s="58" t="s">
        <v>2599</v>
      </c>
      <c r="AT480" s="50" t="s">
        <v>2600</v>
      </c>
      <c r="AU480" s="1"/>
      <c r="AV480" s="1"/>
      <c r="AW480" s="1"/>
      <c r="AX480" s="1"/>
      <c r="AY480" s="1"/>
      <c r="AZ480" s="1"/>
      <c r="BA480" s="1"/>
      <c r="BB480" s="1"/>
      <c r="BC480" s="1"/>
      <c r="BD480" s="1"/>
      <c r="BE480" s="1"/>
      <c r="BF480" s="1"/>
      <c r="BG480" s="1"/>
    </row>
    <row r="481" spans="1:59" ht="14.25" customHeight="1" x14ac:dyDescent="0.25">
      <c r="A481" s="1"/>
      <c r="B481" s="50"/>
      <c r="C481" s="50" t="s">
        <v>2634</v>
      </c>
      <c r="D481" s="50" t="s">
        <v>2635</v>
      </c>
      <c r="E481" s="50" t="str">
        <f t="shared" si="128"/>
        <v>PP0200660011001B</v>
      </c>
      <c r="F481" s="50"/>
      <c r="G481" s="50" t="s">
        <v>2592</v>
      </c>
      <c r="H481" s="50" t="s">
        <v>95</v>
      </c>
      <c r="I481" s="50" t="s">
        <v>2630</v>
      </c>
      <c r="J481" s="50" t="s">
        <v>2636</v>
      </c>
      <c r="K481" s="50" t="s">
        <v>2593</v>
      </c>
      <c r="L481" s="50" t="s">
        <v>2632</v>
      </c>
      <c r="M481" s="50"/>
      <c r="N481" s="52"/>
      <c r="O481" s="50" t="s">
        <v>151</v>
      </c>
      <c r="P481" s="50">
        <v>3662</v>
      </c>
      <c r="Q481" s="53">
        <v>9</v>
      </c>
      <c r="R481" s="53">
        <f t="shared" si="129"/>
        <v>3671</v>
      </c>
      <c r="S481" s="74">
        <f t="shared" si="139"/>
        <v>8.6124814814814812</v>
      </c>
      <c r="T481" s="54">
        <v>0.37</v>
      </c>
      <c r="U481" s="54">
        <f t="shared" si="130"/>
        <v>8.9824814814814804</v>
      </c>
      <c r="V481" s="54">
        <v>919.97</v>
      </c>
      <c r="W481" s="52">
        <f t="shared" si="93"/>
        <v>31.866319444444443</v>
      </c>
      <c r="X481" s="54">
        <f t="shared" si="131"/>
        <v>102.41824621588526</v>
      </c>
      <c r="Y481" s="50" t="str">
        <f t="shared" si="132"/>
        <v>è in grado</v>
      </c>
      <c r="Z481" s="50" t="str">
        <f t="shared" si="133"/>
        <v>non sottende</v>
      </c>
      <c r="AA481" s="54">
        <f t="shared" si="134"/>
        <v>28.869666031054212</v>
      </c>
      <c r="AB481" s="50" t="str">
        <f t="shared" si="135"/>
        <v>A</v>
      </c>
      <c r="AC481" s="50" t="str">
        <f t="shared" si="83"/>
        <v>SI</v>
      </c>
      <c r="AD481" s="50" t="str">
        <f t="shared" si="136"/>
        <v>Si</v>
      </c>
      <c r="AE481" s="50" t="s">
        <v>147</v>
      </c>
      <c r="AF481" s="55">
        <v>28</v>
      </c>
      <c r="AG481" s="55">
        <v>2406</v>
      </c>
      <c r="AH481" s="55">
        <v>5877</v>
      </c>
      <c r="AI481" s="55" t="str">
        <f t="shared" si="137"/>
        <v xml:space="preserve"> </v>
      </c>
      <c r="AJ481" s="53">
        <v>20.3</v>
      </c>
      <c r="AK481" s="53">
        <v>13.16</v>
      </c>
      <c r="AL481" s="53">
        <f t="shared" si="99"/>
        <v>1486.03</v>
      </c>
      <c r="AM481" s="50" t="s">
        <v>147</v>
      </c>
      <c r="AN481" s="56" t="s">
        <v>222</v>
      </c>
      <c r="AO481" s="143" t="s">
        <v>2597</v>
      </c>
      <c r="AP481" s="58" t="s">
        <v>2637</v>
      </c>
      <c r="AQ481" s="58" t="s">
        <v>445</v>
      </c>
      <c r="AR481" s="162">
        <v>50036</v>
      </c>
      <c r="AS481" s="58" t="s">
        <v>2599</v>
      </c>
      <c r="AT481" s="50" t="s">
        <v>2600</v>
      </c>
      <c r="AU481" s="1"/>
      <c r="AV481" s="1"/>
      <c r="AW481" s="1"/>
      <c r="AX481" s="1"/>
      <c r="AY481" s="1"/>
      <c r="AZ481" s="1"/>
      <c r="BA481" s="1"/>
      <c r="BB481" s="1"/>
      <c r="BC481" s="1"/>
      <c r="BD481" s="1"/>
      <c r="BE481" s="1"/>
      <c r="BF481" s="1"/>
      <c r="BG481" s="1"/>
    </row>
    <row r="482" spans="1:59" ht="14.25" customHeight="1" x14ac:dyDescent="0.25">
      <c r="A482" s="1"/>
      <c r="B482" s="50"/>
      <c r="C482" s="50" t="s">
        <v>2638</v>
      </c>
      <c r="D482" s="50" t="s">
        <v>2639</v>
      </c>
      <c r="E482" s="50" t="str">
        <f t="shared" si="128"/>
        <v>PP0200660012001B</v>
      </c>
      <c r="F482" s="50"/>
      <c r="G482" s="50" t="s">
        <v>2592</v>
      </c>
      <c r="H482" s="50" t="s">
        <v>95</v>
      </c>
      <c r="I482" s="50" t="s">
        <v>2640</v>
      </c>
      <c r="J482" s="50" t="s">
        <v>2641</v>
      </c>
      <c r="K482" s="50" t="s">
        <v>2593</v>
      </c>
      <c r="L482" s="50" t="s">
        <v>2642</v>
      </c>
      <c r="M482" s="50"/>
      <c r="N482" s="52"/>
      <c r="O482" s="50" t="s">
        <v>151</v>
      </c>
      <c r="P482" s="50">
        <v>14</v>
      </c>
      <c r="Q482" s="53">
        <v>0</v>
      </c>
      <c r="R482" s="53">
        <f t="shared" si="129"/>
        <v>14</v>
      </c>
      <c r="S482" s="74">
        <f t="shared" si="139"/>
        <v>3.2925925925925928E-2</v>
      </c>
      <c r="T482" s="54">
        <v>0</v>
      </c>
      <c r="U482" s="54">
        <f t="shared" si="130"/>
        <v>3.2925925925925928E-2</v>
      </c>
      <c r="V482" s="54">
        <v>160.69999999999999</v>
      </c>
      <c r="W482" s="52">
        <f t="shared" si="93"/>
        <v>0.12152777777777778</v>
      </c>
      <c r="X482" s="54">
        <f t="shared" si="131"/>
        <v>4880.652418447693</v>
      </c>
      <c r="Y482" s="50" t="str">
        <f t="shared" si="132"/>
        <v>è in grado</v>
      </c>
      <c r="Z482" s="50" t="str">
        <f t="shared" si="133"/>
        <v>non sottende</v>
      </c>
      <c r="AA482" s="54">
        <f t="shared" si="134"/>
        <v>1322.3314285714284</v>
      </c>
      <c r="AB482" s="50" t="str">
        <f t="shared" si="135"/>
        <v>A</v>
      </c>
      <c r="AC482" s="50" t="str">
        <f t="shared" si="83"/>
        <v>SI</v>
      </c>
      <c r="AD482" s="50" t="str">
        <f t="shared" si="136"/>
        <v>Si</v>
      </c>
      <c r="AE482" s="50" t="s">
        <v>147</v>
      </c>
      <c r="AF482" s="55">
        <v>1.93</v>
      </c>
      <c r="AG482" s="55">
        <v>236</v>
      </c>
      <c r="AH482" s="55">
        <v>724</v>
      </c>
      <c r="AI482" s="55" t="str">
        <f t="shared" si="137"/>
        <v xml:space="preserve"> </v>
      </c>
      <c r="AJ482" s="53">
        <v>48.9</v>
      </c>
      <c r="AK482" s="53">
        <f>((MIN(AG482:AH482))-V482)/AJ482</f>
        <v>1.5398773006134971</v>
      </c>
      <c r="AL482" s="53">
        <f t="shared" si="99"/>
        <v>75.300000000000011</v>
      </c>
      <c r="AM482" s="50" t="s">
        <v>1420</v>
      </c>
      <c r="AN482" s="56" t="s">
        <v>222</v>
      </c>
      <c r="AO482" s="143" t="s">
        <v>2597</v>
      </c>
      <c r="AP482" s="58"/>
      <c r="AQ482" s="58" t="s">
        <v>445</v>
      </c>
      <c r="AR482" s="162">
        <v>50036</v>
      </c>
      <c r="AS482" s="58" t="s">
        <v>2599</v>
      </c>
      <c r="AT482" s="50" t="s">
        <v>2600</v>
      </c>
      <c r="AU482" s="1"/>
      <c r="AV482" s="1"/>
      <c r="AW482" s="1"/>
      <c r="AX482" s="1"/>
      <c r="AY482" s="1"/>
      <c r="AZ482" s="1"/>
      <c r="BA482" s="1"/>
      <c r="BB482" s="1"/>
      <c r="BC482" s="1"/>
      <c r="BD482" s="1"/>
      <c r="BE482" s="1"/>
      <c r="BF482" s="1"/>
      <c r="BG482" s="1"/>
    </row>
    <row r="483" spans="1:59" ht="14.25" customHeight="1" x14ac:dyDescent="0.25">
      <c r="A483" s="1"/>
      <c r="B483" s="50"/>
      <c r="C483" s="50" t="s">
        <v>2643</v>
      </c>
      <c r="D483" s="50" t="s">
        <v>2644</v>
      </c>
      <c r="E483" s="50" t="str">
        <f t="shared" si="128"/>
        <v>PP0200220006001B</v>
      </c>
      <c r="F483" s="50"/>
      <c r="G483" s="50" t="s">
        <v>2592</v>
      </c>
      <c r="H483" s="50" t="s">
        <v>2645</v>
      </c>
      <c r="I483" s="50" t="s">
        <v>2646</v>
      </c>
      <c r="J483" s="50" t="s">
        <v>2647</v>
      </c>
      <c r="K483" s="50" t="s">
        <v>127</v>
      </c>
      <c r="L483" s="50" t="s">
        <v>2648</v>
      </c>
      <c r="M483" s="50"/>
      <c r="N483" s="52"/>
      <c r="O483" s="50" t="s">
        <v>159</v>
      </c>
      <c r="P483" s="50">
        <v>362</v>
      </c>
      <c r="Q483" s="53">
        <v>0</v>
      </c>
      <c r="R483" s="53">
        <f t="shared" si="129"/>
        <v>362</v>
      </c>
      <c r="S483" s="74">
        <f t="shared" si="139"/>
        <v>0.85137037037037044</v>
      </c>
      <c r="T483" s="54">
        <v>0</v>
      </c>
      <c r="U483" s="54">
        <f t="shared" si="130"/>
        <v>0.85137037037037044</v>
      </c>
      <c r="V483" s="54">
        <v>6.5</v>
      </c>
      <c r="W483" s="52">
        <f t="shared" si="93"/>
        <v>3.1423611111111112</v>
      </c>
      <c r="X483" s="54">
        <f t="shared" si="131"/>
        <v>7.6347500761299862</v>
      </c>
      <c r="Y483" s="50" t="str">
        <f t="shared" si="132"/>
        <v>è in grado</v>
      </c>
      <c r="Z483" s="50" t="str">
        <f t="shared" si="133"/>
        <v>non sottende</v>
      </c>
      <c r="AA483" s="54">
        <f t="shared" si="134"/>
        <v>2.0685082872928175</v>
      </c>
      <c r="AB483" s="50" t="str">
        <f t="shared" si="135"/>
        <v>A</v>
      </c>
      <c r="AC483" s="50" t="str">
        <f t="shared" si="83"/>
        <v>SI</v>
      </c>
      <c r="AD483" s="50" t="str">
        <f t="shared" si="136"/>
        <v>No</v>
      </c>
      <c r="AE483" s="50" t="s">
        <v>147</v>
      </c>
      <c r="AF483" s="55">
        <v>43.68</v>
      </c>
      <c r="AG483" s="55">
        <v>3846</v>
      </c>
      <c r="AH483" s="55">
        <v>2510</v>
      </c>
      <c r="AI483" s="55" t="str">
        <f t="shared" si="137"/>
        <v>Manufatto limitante</v>
      </c>
      <c r="AJ483" s="53">
        <v>39.25</v>
      </c>
      <c r="AK483" s="53">
        <v>19.7</v>
      </c>
      <c r="AL483" s="53">
        <f t="shared" si="99"/>
        <v>2503.5</v>
      </c>
      <c r="AM483" s="50" t="s">
        <v>147</v>
      </c>
      <c r="AN483" s="56" t="s">
        <v>236</v>
      </c>
      <c r="AO483" s="57">
        <v>46742</v>
      </c>
      <c r="AP483" s="58" t="s">
        <v>1057</v>
      </c>
      <c r="AQ483" s="58" t="s">
        <v>255</v>
      </c>
      <c r="AR483" s="75">
        <v>50040</v>
      </c>
      <c r="AS483" s="58" t="s">
        <v>1058</v>
      </c>
      <c r="AT483" s="50"/>
      <c r="AU483" s="1"/>
      <c r="AV483" s="1"/>
      <c r="AW483" s="1"/>
      <c r="AX483" s="1"/>
      <c r="AY483" s="1"/>
      <c r="AZ483" s="1"/>
      <c r="BA483" s="1"/>
      <c r="BB483" s="1"/>
      <c r="BC483" s="1"/>
      <c r="BD483" s="1"/>
      <c r="BE483" s="1"/>
      <c r="BF483" s="1"/>
      <c r="BG483" s="1"/>
    </row>
    <row r="484" spans="1:59" ht="14.25" customHeight="1" x14ac:dyDescent="0.25">
      <c r="A484" s="1"/>
      <c r="B484" s="50"/>
      <c r="C484" s="50" t="s">
        <v>2649</v>
      </c>
      <c r="D484" s="50" t="s">
        <v>2650</v>
      </c>
      <c r="E484" s="50" t="str">
        <f t="shared" si="128"/>
        <v>PP0200660006001B</v>
      </c>
      <c r="F484" s="50"/>
      <c r="G484" s="50" t="s">
        <v>2592</v>
      </c>
      <c r="H484" s="50" t="s">
        <v>2593</v>
      </c>
      <c r="I484" s="50" t="s">
        <v>2651</v>
      </c>
      <c r="J484" s="1" t="s">
        <v>2652</v>
      </c>
      <c r="K484" s="50" t="s">
        <v>2593</v>
      </c>
      <c r="L484" s="50" t="s">
        <v>2653</v>
      </c>
      <c r="M484" s="50"/>
      <c r="N484" s="52"/>
      <c r="O484" s="50" t="s">
        <v>159</v>
      </c>
      <c r="P484" s="50">
        <v>64</v>
      </c>
      <c r="Q484" s="53">
        <v>0</v>
      </c>
      <c r="R484" s="53">
        <f t="shared" si="129"/>
        <v>64</v>
      </c>
      <c r="S484" s="54">
        <f t="shared" si="139"/>
        <v>0.15051851851851852</v>
      </c>
      <c r="T484" s="54">
        <v>0</v>
      </c>
      <c r="U484" s="54">
        <f t="shared" si="130"/>
        <v>0.15051851851851852</v>
      </c>
      <c r="V484" s="54">
        <v>9.35</v>
      </c>
      <c r="W484" s="52">
        <f t="shared" si="93"/>
        <v>0.55555555555555558</v>
      </c>
      <c r="X484" s="54">
        <f t="shared" si="131"/>
        <v>62.118602362204719</v>
      </c>
      <c r="Y484" s="50" t="str">
        <f t="shared" si="132"/>
        <v>è in grado</v>
      </c>
      <c r="Z484" s="50" t="str">
        <f t="shared" si="133"/>
        <v>non sottende</v>
      </c>
      <c r="AA484" s="54">
        <f t="shared" si="134"/>
        <v>16.829999999999998</v>
      </c>
      <c r="AB484" s="50" t="str">
        <f t="shared" si="135"/>
        <v>A</v>
      </c>
      <c r="AC484" s="50" t="str">
        <f t="shared" si="83"/>
        <v>SI</v>
      </c>
      <c r="AD484" s="50" t="str">
        <f t="shared" si="136"/>
        <v>No</v>
      </c>
      <c r="AE484" s="50" t="s">
        <v>147</v>
      </c>
      <c r="AF484" s="55">
        <v>2</v>
      </c>
      <c r="AG484" s="55">
        <v>281</v>
      </c>
      <c r="AH484" s="55">
        <v>489</v>
      </c>
      <c r="AI484" s="55" t="str">
        <f t="shared" si="137"/>
        <v xml:space="preserve"> </v>
      </c>
      <c r="AJ484" s="53">
        <v>271.58</v>
      </c>
      <c r="AK484" s="53">
        <f t="shared" ref="AK484:AK492" si="140">((MIN(AG484:AH484))-V484)/AJ484</f>
        <v>1.0002577509389499</v>
      </c>
      <c r="AL484" s="53">
        <f t="shared" si="99"/>
        <v>271.64999999999998</v>
      </c>
      <c r="AM484" s="50" t="s">
        <v>1420</v>
      </c>
      <c r="AN484" s="56" t="s">
        <v>222</v>
      </c>
      <c r="AO484" s="143" t="s">
        <v>2597</v>
      </c>
      <c r="AP484" s="58" t="s">
        <v>2654</v>
      </c>
      <c r="AQ484" s="58" t="s">
        <v>445</v>
      </c>
      <c r="AR484" s="162">
        <v>50036</v>
      </c>
      <c r="AS484" s="58" t="s">
        <v>2599</v>
      </c>
      <c r="AT484" s="50" t="s">
        <v>2600</v>
      </c>
      <c r="AU484" s="1"/>
      <c r="AV484" s="1"/>
      <c r="AW484" s="1"/>
      <c r="AX484" s="1"/>
      <c r="AY484" s="1"/>
      <c r="AZ484" s="1"/>
      <c r="BA484" s="1"/>
      <c r="BB484" s="1"/>
      <c r="BC484" s="1"/>
      <c r="BD484" s="1"/>
      <c r="BE484" s="1"/>
      <c r="BF484" s="1"/>
      <c r="BG484" s="1"/>
    </row>
    <row r="485" spans="1:59" ht="14.25" customHeight="1" x14ac:dyDescent="0.25">
      <c r="A485" s="1"/>
      <c r="B485" s="50"/>
      <c r="C485" s="50" t="s">
        <v>2655</v>
      </c>
      <c r="D485" s="50" t="s">
        <v>2656</v>
      </c>
      <c r="E485" s="50" t="str">
        <f t="shared" si="128"/>
        <v>PP0200660005001B</v>
      </c>
      <c r="F485" s="164" t="s">
        <v>2657</v>
      </c>
      <c r="G485" s="50" t="s">
        <v>2592</v>
      </c>
      <c r="H485" s="50" t="s">
        <v>2658</v>
      </c>
      <c r="I485" s="50" t="s">
        <v>2618</v>
      </c>
      <c r="J485" s="1" t="s">
        <v>2659</v>
      </c>
      <c r="K485" s="50" t="s">
        <v>2593</v>
      </c>
      <c r="L485" s="50" t="s">
        <v>2593</v>
      </c>
      <c r="M485" s="50"/>
      <c r="N485" s="52"/>
      <c r="O485" s="50" t="s">
        <v>159</v>
      </c>
      <c r="P485" s="50">
        <v>43</v>
      </c>
      <c r="Q485" s="53">
        <v>46</v>
      </c>
      <c r="R485" s="53">
        <f t="shared" si="129"/>
        <v>89</v>
      </c>
      <c r="S485" s="74">
        <f t="shared" si="139"/>
        <v>0.10112962962962964</v>
      </c>
      <c r="T485" s="54">
        <v>3.35</v>
      </c>
      <c r="U485" s="54">
        <f t="shared" si="130"/>
        <v>3.4511296296296297</v>
      </c>
      <c r="V485" s="54">
        <v>31.85</v>
      </c>
      <c r="W485" s="52">
        <f t="shared" si="93"/>
        <v>8.754236111111112</v>
      </c>
      <c r="X485" s="54">
        <f t="shared" si="131"/>
        <v>9.2288622619539495</v>
      </c>
      <c r="Y485" s="50" t="str">
        <f t="shared" si="132"/>
        <v>è in grado</v>
      </c>
      <c r="Z485" s="50" t="str">
        <f t="shared" si="133"/>
        <v>non sottende</v>
      </c>
      <c r="AA485" s="54">
        <f t="shared" si="134"/>
        <v>3.6382386305042793</v>
      </c>
      <c r="AB485" s="50" t="str">
        <f t="shared" si="135"/>
        <v>A</v>
      </c>
      <c r="AC485" s="50" t="str">
        <f t="shared" si="83"/>
        <v>SI</v>
      </c>
      <c r="AD485" s="50" t="str">
        <f t="shared" si="136"/>
        <v>Si</v>
      </c>
      <c r="AE485" s="50" t="s">
        <v>147</v>
      </c>
      <c r="AF485" s="55">
        <v>26.9</v>
      </c>
      <c r="AG485" s="55">
        <v>3410</v>
      </c>
      <c r="AH485" s="55">
        <v>3023</v>
      </c>
      <c r="AI485" s="55" t="str">
        <f t="shared" si="137"/>
        <v>Manufatto limitante</v>
      </c>
      <c r="AJ485" s="53">
        <v>171.07</v>
      </c>
      <c r="AK485" s="53">
        <f t="shared" si="140"/>
        <v>17.484947682235344</v>
      </c>
      <c r="AL485" s="53">
        <f t="shared" si="99"/>
        <v>2991.15</v>
      </c>
      <c r="AM485" s="50" t="s">
        <v>1420</v>
      </c>
      <c r="AN485" s="56" t="s">
        <v>236</v>
      </c>
      <c r="AO485" s="143" t="s">
        <v>2597</v>
      </c>
      <c r="AP485" s="4" t="s">
        <v>2660</v>
      </c>
      <c r="AQ485" s="58" t="s">
        <v>445</v>
      </c>
      <c r="AR485" s="162">
        <v>50036</v>
      </c>
      <c r="AS485" s="58" t="s">
        <v>2599</v>
      </c>
      <c r="AT485" s="50" t="s">
        <v>2600</v>
      </c>
      <c r="AU485" s="1"/>
      <c r="AV485" s="1"/>
      <c r="AW485" s="1"/>
      <c r="AX485" s="1"/>
      <c r="AY485" s="1"/>
      <c r="AZ485" s="1"/>
      <c r="BA485" s="1"/>
      <c r="BB485" s="1"/>
      <c r="BC485" s="1"/>
      <c r="BD485" s="1"/>
      <c r="BE485" s="1"/>
      <c r="BF485" s="1"/>
      <c r="BG485" s="1"/>
    </row>
    <row r="486" spans="1:59" ht="14.25" customHeight="1" x14ac:dyDescent="0.25">
      <c r="A486" s="1"/>
      <c r="B486" s="50"/>
      <c r="C486" s="50" t="s">
        <v>2661</v>
      </c>
      <c r="D486" s="50" t="s">
        <v>2662</v>
      </c>
      <c r="E486" s="50" t="str">
        <f t="shared" si="128"/>
        <v>PP0200660007001B</v>
      </c>
      <c r="F486" s="50"/>
      <c r="G486" s="50" t="s">
        <v>2592</v>
      </c>
      <c r="H486" s="50" t="s">
        <v>95</v>
      </c>
      <c r="I486" s="50" t="s">
        <v>2663</v>
      </c>
      <c r="J486" s="50" t="s">
        <v>2664</v>
      </c>
      <c r="K486" s="50" t="s">
        <v>2593</v>
      </c>
      <c r="L486" s="50" t="s">
        <v>2665</v>
      </c>
      <c r="M486" s="50"/>
      <c r="N486" s="52"/>
      <c r="O486" s="50" t="s">
        <v>159</v>
      </c>
      <c r="P486" s="50">
        <v>101</v>
      </c>
      <c r="Q486" s="53">
        <v>0</v>
      </c>
      <c r="R486" s="53">
        <f t="shared" si="129"/>
        <v>101</v>
      </c>
      <c r="S486" s="74">
        <f t="shared" si="139"/>
        <v>0.23753703703703705</v>
      </c>
      <c r="T486" s="54">
        <v>0</v>
      </c>
      <c r="U486" s="54">
        <f t="shared" si="130"/>
        <v>0.23753703703703705</v>
      </c>
      <c r="V486" s="54">
        <v>17</v>
      </c>
      <c r="W486" s="52">
        <f t="shared" si="93"/>
        <v>0.87673611111111116</v>
      </c>
      <c r="X486" s="54">
        <f t="shared" si="131"/>
        <v>71.567786699929826</v>
      </c>
      <c r="Y486" s="50" t="str">
        <f t="shared" si="132"/>
        <v>è in grado</v>
      </c>
      <c r="Z486" s="50" t="str">
        <f t="shared" si="133"/>
        <v>non sottende</v>
      </c>
      <c r="AA486" s="54">
        <f t="shared" si="134"/>
        <v>19.39009900990099</v>
      </c>
      <c r="AB486" s="50" t="str">
        <f t="shared" si="135"/>
        <v>A</v>
      </c>
      <c r="AC486" s="50" t="str">
        <f t="shared" si="83"/>
        <v>SI</v>
      </c>
      <c r="AD486" s="50" t="str">
        <f t="shared" si="136"/>
        <v>No</v>
      </c>
      <c r="AE486" s="50" t="s">
        <v>147</v>
      </c>
      <c r="AF486" s="55">
        <v>3.3</v>
      </c>
      <c r="AG486" s="55">
        <v>314</v>
      </c>
      <c r="AH486" s="55">
        <v>2017</v>
      </c>
      <c r="AI486" s="55" t="str">
        <f t="shared" si="137"/>
        <v xml:space="preserve"> </v>
      </c>
      <c r="AJ486" s="53">
        <v>188.9</v>
      </c>
      <c r="AK486" s="53">
        <f t="shared" si="140"/>
        <v>1.5722604552673372</v>
      </c>
      <c r="AL486" s="53">
        <f t="shared" si="99"/>
        <v>297</v>
      </c>
      <c r="AM486" s="50" t="s">
        <v>1420</v>
      </c>
      <c r="AN486" s="56" t="s">
        <v>236</v>
      </c>
      <c r="AO486" s="143" t="s">
        <v>2597</v>
      </c>
      <c r="AP486" s="58" t="s">
        <v>2666</v>
      </c>
      <c r="AQ486" s="58" t="s">
        <v>445</v>
      </c>
      <c r="AR486" s="162">
        <v>50036</v>
      </c>
      <c r="AS486" s="58" t="s">
        <v>2599</v>
      </c>
      <c r="AT486" s="50" t="s">
        <v>2600</v>
      </c>
      <c r="AU486" s="1"/>
      <c r="AV486" s="1"/>
      <c r="AW486" s="1"/>
      <c r="AX486" s="1"/>
      <c r="AY486" s="1"/>
      <c r="AZ486" s="1"/>
      <c r="BA486" s="1"/>
      <c r="BB486" s="1"/>
      <c r="BC486" s="1"/>
      <c r="BD486" s="1"/>
      <c r="BE486" s="1"/>
      <c r="BF486" s="1"/>
      <c r="BG486" s="1"/>
    </row>
    <row r="487" spans="1:59" ht="14.25" customHeight="1" x14ac:dyDescent="0.25">
      <c r="A487" s="1"/>
      <c r="B487" s="131"/>
      <c r="C487" s="50" t="s">
        <v>2667</v>
      </c>
      <c r="D487" s="50" t="s">
        <v>2668</v>
      </c>
      <c r="E487" s="50" t="str">
        <f t="shared" si="128"/>
        <v>PP0200680002001B</v>
      </c>
      <c r="F487" s="50"/>
      <c r="G487" s="50" t="s">
        <v>2669</v>
      </c>
      <c r="H487" s="50" t="s">
        <v>95</v>
      </c>
      <c r="I487" s="50" t="s">
        <v>2670</v>
      </c>
      <c r="J487" s="50" t="s">
        <v>2671</v>
      </c>
      <c r="K487" s="50" t="s">
        <v>2669</v>
      </c>
      <c r="L487" s="50" t="s">
        <v>2672</v>
      </c>
      <c r="M487" s="50"/>
      <c r="N487" s="52"/>
      <c r="O487" s="50" t="s">
        <v>151</v>
      </c>
      <c r="P487" s="50">
        <v>1140</v>
      </c>
      <c r="Q487" s="53">
        <v>4</v>
      </c>
      <c r="R487" s="53">
        <f t="shared" si="129"/>
        <v>1144</v>
      </c>
      <c r="S487" s="74">
        <v>2.68</v>
      </c>
      <c r="T487" s="54">
        <v>0.05</v>
      </c>
      <c r="U487" s="54">
        <f t="shared" si="130"/>
        <v>2.73</v>
      </c>
      <c r="V487" s="54">
        <v>72.2</v>
      </c>
      <c r="W487" s="52">
        <f t="shared" si="93"/>
        <v>9.9305555555555554</v>
      </c>
      <c r="X487" s="54">
        <f t="shared" si="131"/>
        <v>26.446886446886449</v>
      </c>
      <c r="Y487" s="50" t="str">
        <f t="shared" si="132"/>
        <v>è in grado</v>
      </c>
      <c r="Z487" s="50" t="str">
        <f t="shared" si="133"/>
        <v>non sottende</v>
      </c>
      <c r="AA487" s="54">
        <f t="shared" si="134"/>
        <v>7.2704895104895106</v>
      </c>
      <c r="AB487" s="50" t="str">
        <f t="shared" si="135"/>
        <v>A</v>
      </c>
      <c r="AC487" s="50" t="str">
        <f t="shared" si="83"/>
        <v>SI</v>
      </c>
      <c r="AD487" s="50" t="str">
        <f t="shared" si="136"/>
        <v>Si</v>
      </c>
      <c r="AE487" s="50" t="s">
        <v>147</v>
      </c>
      <c r="AF487" s="55">
        <v>99</v>
      </c>
      <c r="AG487" s="55">
        <v>2260</v>
      </c>
      <c r="AH487" s="55">
        <v>1036.8</v>
      </c>
      <c r="AI487" s="55" t="str">
        <f t="shared" si="137"/>
        <v>Manufatto limitante</v>
      </c>
      <c r="AJ487" s="53">
        <v>100.7</v>
      </c>
      <c r="AK487" s="53">
        <f t="shared" si="140"/>
        <v>9.5789473684210513</v>
      </c>
      <c r="AL487" s="53">
        <f t="shared" si="99"/>
        <v>964.59999999999991</v>
      </c>
      <c r="AM487" s="50" t="s">
        <v>1420</v>
      </c>
      <c r="AN487" s="56" t="s">
        <v>236</v>
      </c>
      <c r="AO487" s="165">
        <v>46236</v>
      </c>
      <c r="AP487" s="58" t="s">
        <v>2673</v>
      </c>
      <c r="AQ487" s="58" t="s">
        <v>238</v>
      </c>
      <c r="AR487" s="58">
        <f>2025+19</f>
        <v>2044</v>
      </c>
      <c r="AS487" s="58" t="s">
        <v>2674</v>
      </c>
      <c r="AT487" s="58"/>
      <c r="AU487" s="1"/>
      <c r="AV487" s="1"/>
      <c r="AW487" s="1"/>
      <c r="AX487" s="1"/>
      <c r="AY487" s="1"/>
      <c r="AZ487" s="1"/>
      <c r="BA487" s="1"/>
      <c r="BB487" s="1"/>
      <c r="BC487" s="1"/>
      <c r="BD487" s="1"/>
      <c r="BE487" s="1"/>
      <c r="BF487" s="1"/>
      <c r="BG487" s="1"/>
    </row>
    <row r="488" spans="1:59" ht="14.25" customHeight="1" x14ac:dyDescent="0.25">
      <c r="A488" s="1"/>
      <c r="B488" s="131"/>
      <c r="C488" s="50" t="s">
        <v>2675</v>
      </c>
      <c r="D488" s="50" t="s">
        <v>2676</v>
      </c>
      <c r="E488" s="50" t="str">
        <f t="shared" si="128"/>
        <v>PP0200680003001B</v>
      </c>
      <c r="F488" s="50"/>
      <c r="G488" s="50" t="s">
        <v>2669</v>
      </c>
      <c r="H488" s="50" t="s">
        <v>95</v>
      </c>
      <c r="I488" s="50" t="s">
        <v>2677</v>
      </c>
      <c r="J488" s="50" t="s">
        <v>2678</v>
      </c>
      <c r="K488" s="50" t="s">
        <v>2669</v>
      </c>
      <c r="L488" s="50" t="s">
        <v>2679</v>
      </c>
      <c r="M488" s="50"/>
      <c r="N488" s="52"/>
      <c r="O488" s="50" t="s">
        <v>159</v>
      </c>
      <c r="P488" s="50">
        <v>252</v>
      </c>
      <c r="Q488" s="53">
        <v>0</v>
      </c>
      <c r="R488" s="53">
        <f t="shared" si="129"/>
        <v>252</v>
      </c>
      <c r="S488" s="74">
        <v>0.59</v>
      </c>
      <c r="T488" s="54">
        <v>0</v>
      </c>
      <c r="U488" s="54">
        <f t="shared" si="130"/>
        <v>0.59</v>
      </c>
      <c r="V488" s="54">
        <v>10.5</v>
      </c>
      <c r="W488" s="52">
        <f t="shared" si="93"/>
        <v>2.1875</v>
      </c>
      <c r="X488" s="54">
        <f t="shared" si="131"/>
        <v>17.796610169491526</v>
      </c>
      <c r="Y488" s="50" t="str">
        <f t="shared" si="132"/>
        <v>è in grado</v>
      </c>
      <c r="Z488" s="50" t="str">
        <f t="shared" si="133"/>
        <v>non sottende</v>
      </c>
      <c r="AA488" s="54">
        <f t="shared" si="134"/>
        <v>4.8</v>
      </c>
      <c r="AB488" s="50" t="str">
        <f t="shared" si="135"/>
        <v>A</v>
      </c>
      <c r="AC488" s="50" t="str">
        <f t="shared" si="83"/>
        <v>SI</v>
      </c>
      <c r="AD488" s="50" t="str">
        <f t="shared" si="136"/>
        <v>No</v>
      </c>
      <c r="AE488" s="50" t="s">
        <v>147</v>
      </c>
      <c r="AF488" s="55">
        <v>11.39</v>
      </c>
      <c r="AG488" s="55">
        <v>942</v>
      </c>
      <c r="AH488" s="55">
        <v>1331.1</v>
      </c>
      <c r="AI488" s="55" t="str">
        <f t="shared" si="137"/>
        <v xml:space="preserve"> </v>
      </c>
      <c r="AJ488" s="53">
        <v>221.29</v>
      </c>
      <c r="AK488" s="53">
        <f t="shared" si="140"/>
        <v>4.2094084685254645</v>
      </c>
      <c r="AL488" s="53">
        <f t="shared" si="99"/>
        <v>931.5</v>
      </c>
      <c r="AM488" s="50" t="s">
        <v>1420</v>
      </c>
      <c r="AN488" s="56" t="s">
        <v>236</v>
      </c>
      <c r="AO488" s="165">
        <v>46236</v>
      </c>
      <c r="AP488" s="58" t="s">
        <v>2673</v>
      </c>
      <c r="AQ488" s="58" t="s">
        <v>255</v>
      </c>
      <c r="AR488" s="58" t="s">
        <v>92</v>
      </c>
      <c r="AS488" s="58" t="s">
        <v>2680</v>
      </c>
      <c r="AT488" s="58"/>
      <c r="AU488" s="69"/>
      <c r="AV488" s="69"/>
      <c r="AW488" s="69"/>
      <c r="AX488" s="69"/>
      <c r="AY488" s="69"/>
      <c r="AZ488" s="69"/>
      <c r="BA488" s="69"/>
      <c r="BB488" s="69"/>
      <c r="BC488" s="69"/>
      <c r="BD488" s="69"/>
      <c r="BE488" s="69"/>
      <c r="BF488" s="1"/>
      <c r="BG488" s="1"/>
    </row>
    <row r="489" spans="1:59" ht="14.25" customHeight="1" x14ac:dyDescent="0.25">
      <c r="A489" s="1"/>
      <c r="B489" s="133"/>
      <c r="C489" s="70" t="s">
        <v>2681</v>
      </c>
      <c r="D489" s="50"/>
      <c r="E489" s="50"/>
      <c r="F489" s="70" t="s">
        <v>2682</v>
      </c>
      <c r="G489" s="50" t="s">
        <v>2669</v>
      </c>
      <c r="H489" s="50" t="s">
        <v>95</v>
      </c>
      <c r="I489" s="50" t="s">
        <v>2683</v>
      </c>
      <c r="J489" s="50" t="s">
        <v>2684</v>
      </c>
      <c r="K489" s="50" t="s">
        <v>2669</v>
      </c>
      <c r="L489" s="70" t="s">
        <v>2672</v>
      </c>
      <c r="M489" s="70"/>
      <c r="N489" s="52"/>
      <c r="O489" s="70" t="s">
        <v>151</v>
      </c>
      <c r="P489" s="50">
        <v>616</v>
      </c>
      <c r="Q489" s="53">
        <v>0</v>
      </c>
      <c r="R489" s="53">
        <f t="shared" si="129"/>
        <v>616</v>
      </c>
      <c r="S489" s="74">
        <v>1.45</v>
      </c>
      <c r="T489" s="54">
        <v>0</v>
      </c>
      <c r="U489" s="54">
        <f t="shared" si="130"/>
        <v>1.45</v>
      </c>
      <c r="V489" s="54">
        <v>21.1</v>
      </c>
      <c r="W489" s="52">
        <f t="shared" si="93"/>
        <v>5.3472222222222223</v>
      </c>
      <c r="X489" s="54">
        <f t="shared" si="131"/>
        <v>14.551724137931036</v>
      </c>
      <c r="Y489" s="50" t="str">
        <f t="shared" si="132"/>
        <v>è in grado</v>
      </c>
      <c r="Z489" s="50" t="str">
        <f t="shared" si="133"/>
        <v>non sottende</v>
      </c>
      <c r="AA489" s="54">
        <f t="shared" si="134"/>
        <v>3.9459740259740261</v>
      </c>
      <c r="AB489" s="50" t="str">
        <f t="shared" si="135"/>
        <v>A</v>
      </c>
      <c r="AC489" s="50" t="str">
        <f t="shared" si="83"/>
        <v>SI</v>
      </c>
      <c r="AD489" s="50" t="str">
        <f t="shared" si="136"/>
        <v>Si</v>
      </c>
      <c r="AE489" s="50" t="s">
        <v>147</v>
      </c>
      <c r="AF489" s="55">
        <v>38.29</v>
      </c>
      <c r="AG489" s="55">
        <v>1286</v>
      </c>
      <c r="AH489" s="55">
        <v>1211</v>
      </c>
      <c r="AI489" s="55" t="str">
        <f t="shared" si="137"/>
        <v>Manufatto limitante</v>
      </c>
      <c r="AJ489" s="53">
        <v>138.68</v>
      </c>
      <c r="AK489" s="53">
        <f t="shared" si="140"/>
        <v>8.5801845976348439</v>
      </c>
      <c r="AL489" s="53">
        <v>1189.9000000000001</v>
      </c>
      <c r="AM489" s="50" t="s">
        <v>1420</v>
      </c>
      <c r="AO489" s="166"/>
      <c r="AP489" s="107"/>
      <c r="AQ489" s="58" t="s">
        <v>238</v>
      </c>
      <c r="AR489" s="58">
        <f>2025+19</f>
        <v>2044</v>
      </c>
      <c r="AS489" s="58" t="s">
        <v>2674</v>
      </c>
      <c r="AT489" s="58"/>
      <c r="AU489" s="1"/>
      <c r="AV489" s="1"/>
      <c r="AW489" s="1"/>
      <c r="AX489" s="1"/>
      <c r="AY489" s="1"/>
      <c r="AZ489" s="1"/>
      <c r="BA489" s="1"/>
      <c r="BB489" s="1"/>
      <c r="BC489" s="1"/>
      <c r="BD489" s="1"/>
      <c r="BE489" s="1"/>
      <c r="BF489" s="1"/>
      <c r="BG489" s="1"/>
    </row>
    <row r="490" spans="1:59" ht="14.25" customHeight="1" x14ac:dyDescent="0.25">
      <c r="A490" s="1"/>
      <c r="B490" s="70"/>
      <c r="C490" s="70" t="s">
        <v>2685</v>
      </c>
      <c r="D490" s="50" t="s">
        <v>2686</v>
      </c>
      <c r="E490" s="50" t="str">
        <f t="shared" ref="E490:E495" si="141">D490&amp;""&amp;$E$1</f>
        <v>PP0200680001001B</v>
      </c>
      <c r="F490" s="70"/>
      <c r="G490" s="70" t="s">
        <v>2669</v>
      </c>
      <c r="H490" s="70" t="s">
        <v>95</v>
      </c>
      <c r="I490" s="70" t="s">
        <v>2687</v>
      </c>
      <c r="J490" s="50" t="s">
        <v>2688</v>
      </c>
      <c r="K490" s="70" t="s">
        <v>2669</v>
      </c>
      <c r="L490" s="70" t="s">
        <v>2689</v>
      </c>
      <c r="M490" s="70"/>
      <c r="N490" s="72"/>
      <c r="O490" s="70" t="s">
        <v>151</v>
      </c>
      <c r="P490" s="70">
        <v>96</v>
      </c>
      <c r="Q490" s="73">
        <v>0</v>
      </c>
      <c r="R490" s="73">
        <f t="shared" si="129"/>
        <v>96</v>
      </c>
      <c r="S490" s="74">
        <v>0.23</v>
      </c>
      <c r="T490" s="74">
        <v>0</v>
      </c>
      <c r="U490" s="74">
        <f t="shared" si="130"/>
        <v>0.23</v>
      </c>
      <c r="V490" s="74">
        <v>27.29</v>
      </c>
      <c r="W490" s="52">
        <f t="shared" si="93"/>
        <v>0.83333333333333337</v>
      </c>
      <c r="X490" s="74">
        <f t="shared" si="131"/>
        <v>118.65217391304347</v>
      </c>
      <c r="Y490" s="70" t="str">
        <f t="shared" si="132"/>
        <v>è in grado</v>
      </c>
      <c r="Z490" s="70" t="str">
        <f t="shared" si="133"/>
        <v>non sottende</v>
      </c>
      <c r="AA490" s="74">
        <f t="shared" si="134"/>
        <v>32.747999999999998</v>
      </c>
      <c r="AB490" s="70" t="str">
        <f t="shared" si="135"/>
        <v>A</v>
      </c>
      <c r="AC490" s="50" t="str">
        <f t="shared" si="83"/>
        <v>SI</v>
      </c>
      <c r="AD490" s="70" t="str">
        <f t="shared" si="136"/>
        <v>Si</v>
      </c>
      <c r="AE490" s="70" t="s">
        <v>147</v>
      </c>
      <c r="AF490" s="71">
        <v>2.67</v>
      </c>
      <c r="AG490" s="71">
        <v>208</v>
      </c>
      <c r="AH490" s="71">
        <v>1451.3</v>
      </c>
      <c r="AI490" s="55" t="str">
        <f t="shared" si="137"/>
        <v xml:space="preserve"> </v>
      </c>
      <c r="AJ490" s="73">
        <v>91.63</v>
      </c>
      <c r="AK490" s="53">
        <f t="shared" si="140"/>
        <v>1.972170686456401</v>
      </c>
      <c r="AL490" s="53">
        <f t="shared" ref="AL490:AL492" si="142">MIN(AG490:AH490)-V490</f>
        <v>180.71</v>
      </c>
      <c r="AM490" s="70" t="s">
        <v>1420</v>
      </c>
      <c r="AN490" s="56" t="s">
        <v>222</v>
      </c>
      <c r="AO490" s="167">
        <v>46236</v>
      </c>
      <c r="AP490" s="107" t="s">
        <v>2673</v>
      </c>
      <c r="AQ490" s="58" t="s">
        <v>255</v>
      </c>
      <c r="AR490" s="58" t="s">
        <v>626</v>
      </c>
      <c r="AS490" s="58" t="s">
        <v>2680</v>
      </c>
      <c r="AT490" s="58" t="s">
        <v>2690</v>
      </c>
      <c r="AU490" s="1"/>
      <c r="AV490" s="1"/>
      <c r="AW490" s="1"/>
      <c r="AX490" s="1"/>
      <c r="AY490" s="1"/>
      <c r="AZ490" s="1"/>
      <c r="BA490" s="1"/>
      <c r="BB490" s="1"/>
      <c r="BC490" s="1"/>
      <c r="BD490" s="1"/>
      <c r="BE490" s="1"/>
      <c r="BF490" s="1"/>
      <c r="BG490" s="1"/>
    </row>
    <row r="491" spans="1:59" ht="13.5" customHeight="1" x14ac:dyDescent="0.25">
      <c r="A491" s="1"/>
      <c r="B491" s="50"/>
      <c r="C491" s="50" t="s">
        <v>2691</v>
      </c>
      <c r="D491" s="50" t="s">
        <v>2692</v>
      </c>
      <c r="E491" s="50" t="str">
        <f t="shared" si="141"/>
        <v>PP0200720013001B</v>
      </c>
      <c r="F491" s="50"/>
      <c r="G491" s="50" t="s">
        <v>177</v>
      </c>
      <c r="H491" s="50" t="s">
        <v>2693</v>
      </c>
      <c r="I491" s="50" t="s">
        <v>2694</v>
      </c>
      <c r="J491" s="50" t="s">
        <v>2695</v>
      </c>
      <c r="K491" s="50" t="s">
        <v>2693</v>
      </c>
      <c r="L491" s="70" t="s">
        <v>2696</v>
      </c>
      <c r="M491" s="50"/>
      <c r="N491" s="52"/>
      <c r="O491" s="50" t="s">
        <v>159</v>
      </c>
      <c r="P491" s="50">
        <v>854</v>
      </c>
      <c r="Q491" s="53">
        <v>0</v>
      </c>
      <c r="R491" s="53">
        <f t="shared" si="129"/>
        <v>854</v>
      </c>
      <c r="S491" s="54">
        <v>2.0099999999999998</v>
      </c>
      <c r="T491" s="54">
        <v>0</v>
      </c>
      <c r="U491" s="54">
        <f t="shared" si="130"/>
        <v>2.0099999999999998</v>
      </c>
      <c r="V491" s="54">
        <v>8</v>
      </c>
      <c r="W491" s="52">
        <f t="shared" si="93"/>
        <v>7.4131944444444446</v>
      </c>
      <c r="X491" s="54">
        <f t="shared" si="131"/>
        <v>3.9800995024875627</v>
      </c>
      <c r="Y491" s="50" t="str">
        <f t="shared" si="132"/>
        <v>è in grado</v>
      </c>
      <c r="Z491" s="50" t="str">
        <f t="shared" si="133"/>
        <v>non sottende</v>
      </c>
      <c r="AA491" s="54">
        <f t="shared" si="134"/>
        <v>1.0791569086651054</v>
      </c>
      <c r="AB491" s="50" t="str">
        <f t="shared" si="135"/>
        <v>B</v>
      </c>
      <c r="AC491" s="50" t="str">
        <f t="shared" si="83"/>
        <v>SI</v>
      </c>
      <c r="AD491" s="50" t="str">
        <f t="shared" si="136"/>
        <v>No</v>
      </c>
      <c r="AE491" s="50" t="s">
        <v>605</v>
      </c>
      <c r="AF491" s="55">
        <v>34.479999999999997</v>
      </c>
      <c r="AG491" s="55">
        <v>2882</v>
      </c>
      <c r="AH491" s="55">
        <v>6127</v>
      </c>
      <c r="AI491" s="55" t="str">
        <f t="shared" si="137"/>
        <v xml:space="preserve"> </v>
      </c>
      <c r="AJ491" s="53">
        <v>162.1</v>
      </c>
      <c r="AK491" s="53">
        <f t="shared" si="140"/>
        <v>17.729796421961751</v>
      </c>
      <c r="AL491" s="53">
        <f t="shared" si="142"/>
        <v>2874</v>
      </c>
      <c r="AM491" s="50" t="s">
        <v>190</v>
      </c>
      <c r="AN491" s="56" t="s">
        <v>236</v>
      </c>
      <c r="AO491" s="62">
        <v>46329</v>
      </c>
      <c r="AP491" s="58" t="s">
        <v>2697</v>
      </c>
      <c r="AQ491" s="58" t="s">
        <v>1113</v>
      </c>
      <c r="AR491" s="58">
        <v>2041</v>
      </c>
      <c r="AS491" s="58" t="s">
        <v>2698</v>
      </c>
      <c r="AT491" s="64"/>
      <c r="AU491" s="69"/>
      <c r="AV491" s="69"/>
      <c r="AW491" s="69"/>
      <c r="AX491" s="69"/>
      <c r="AY491" s="69"/>
      <c r="AZ491" s="69"/>
      <c r="BA491" s="69"/>
      <c r="BB491" s="69"/>
      <c r="BC491" s="69"/>
      <c r="BD491" s="69"/>
      <c r="BE491" s="69"/>
      <c r="BF491" s="1"/>
      <c r="BG491" s="1"/>
    </row>
    <row r="492" spans="1:59" ht="14.25" customHeight="1" x14ac:dyDescent="0.25">
      <c r="A492" s="1"/>
      <c r="B492" s="50"/>
      <c r="C492" s="70" t="s">
        <v>2699</v>
      </c>
      <c r="D492" s="50" t="s">
        <v>2700</v>
      </c>
      <c r="E492" s="50" t="str">
        <f t="shared" si="141"/>
        <v>PP0200720012001B</v>
      </c>
      <c r="F492" s="70"/>
      <c r="G492" s="50" t="s">
        <v>177</v>
      </c>
      <c r="H492" s="70" t="s">
        <v>2693</v>
      </c>
      <c r="I492" s="70" t="s">
        <v>2701</v>
      </c>
      <c r="J492" s="50" t="s">
        <v>2702</v>
      </c>
      <c r="K492" s="50" t="s">
        <v>2693</v>
      </c>
      <c r="L492" s="70" t="s">
        <v>2703</v>
      </c>
      <c r="M492" s="50"/>
      <c r="N492" s="72"/>
      <c r="O492" s="50" t="s">
        <v>118</v>
      </c>
      <c r="P492" s="70">
        <v>1537</v>
      </c>
      <c r="Q492" s="124">
        <v>1</v>
      </c>
      <c r="R492" s="135">
        <f t="shared" si="129"/>
        <v>1538</v>
      </c>
      <c r="S492" s="125">
        <v>3.61</v>
      </c>
      <c r="T492" s="125">
        <v>0.01</v>
      </c>
      <c r="U492" s="136">
        <f t="shared" si="130"/>
        <v>3.6199999999999997</v>
      </c>
      <c r="V492" s="125">
        <v>15</v>
      </c>
      <c r="W492" s="137">
        <f t="shared" si="93"/>
        <v>13.350694444444445</v>
      </c>
      <c r="X492" s="136">
        <f t="shared" si="131"/>
        <v>4.1436464088397793</v>
      </c>
      <c r="Y492" s="50" t="str">
        <f t="shared" si="132"/>
        <v>è in grado</v>
      </c>
      <c r="Z492" s="50" t="str">
        <f t="shared" si="133"/>
        <v>non sottende</v>
      </c>
      <c r="AA492" s="54">
        <f t="shared" si="134"/>
        <v>1.1235370611183355</v>
      </c>
      <c r="AB492" s="50" t="str">
        <f t="shared" si="135"/>
        <v>B</v>
      </c>
      <c r="AC492" s="50" t="str">
        <f t="shared" si="83"/>
        <v>SI</v>
      </c>
      <c r="AD492" s="50" t="str">
        <f t="shared" si="136"/>
        <v>No</v>
      </c>
      <c r="AE492" s="50" t="s">
        <v>605</v>
      </c>
      <c r="AF492" s="71">
        <v>30.05</v>
      </c>
      <c r="AG492" s="127">
        <v>2838</v>
      </c>
      <c r="AH492" s="127">
        <v>5098</v>
      </c>
      <c r="AI492" s="139" t="str">
        <f t="shared" si="137"/>
        <v xml:space="preserve"> </v>
      </c>
      <c r="AJ492" s="124">
        <v>172.2</v>
      </c>
      <c r="AK492" s="135">
        <f t="shared" si="140"/>
        <v>16.393728222996518</v>
      </c>
      <c r="AL492" s="135">
        <f t="shared" si="142"/>
        <v>2823</v>
      </c>
      <c r="AM492" s="50" t="s">
        <v>190</v>
      </c>
      <c r="AN492" s="56" t="s">
        <v>236</v>
      </c>
      <c r="AO492" s="62">
        <v>46329</v>
      </c>
      <c r="AP492" s="107" t="s">
        <v>2697</v>
      </c>
      <c r="AQ492" s="58" t="s">
        <v>1113</v>
      </c>
      <c r="AR492" s="58">
        <v>2041</v>
      </c>
      <c r="AS492" s="58" t="s">
        <v>2698</v>
      </c>
      <c r="AT492" s="64"/>
      <c r="AU492" s="1"/>
      <c r="AV492" s="1"/>
      <c r="AW492" s="1"/>
      <c r="AX492" s="1"/>
      <c r="AY492" s="1"/>
      <c r="AZ492" s="1"/>
      <c r="BA492" s="1"/>
      <c r="BB492" s="1"/>
      <c r="BC492" s="1"/>
      <c r="BD492" s="1"/>
      <c r="BE492" s="1"/>
      <c r="BF492" s="1"/>
      <c r="BG492" s="1"/>
    </row>
    <row r="493" spans="1:59" ht="14.25" customHeight="1" x14ac:dyDescent="0.25">
      <c r="A493" s="1"/>
      <c r="B493" s="168"/>
      <c r="C493" s="169"/>
      <c r="D493" s="169"/>
      <c r="E493" s="21" t="str">
        <f t="shared" si="141"/>
        <v>001B</v>
      </c>
      <c r="F493" s="169"/>
      <c r="G493" s="169"/>
      <c r="H493" s="169"/>
      <c r="I493" s="169"/>
      <c r="J493" s="169"/>
      <c r="K493" s="169"/>
      <c r="L493" s="169"/>
      <c r="M493" s="169"/>
      <c r="N493" s="170"/>
      <c r="O493" s="169"/>
      <c r="P493" s="171"/>
      <c r="Q493" s="169"/>
      <c r="R493" s="169"/>
      <c r="S493" s="169"/>
      <c r="T493" s="169"/>
      <c r="U493" s="169"/>
      <c r="V493" s="169"/>
      <c r="W493" s="169"/>
      <c r="X493" s="169"/>
      <c r="Y493" s="172"/>
      <c r="Z493" s="169"/>
      <c r="AA493" s="169"/>
      <c r="AB493" s="169"/>
      <c r="AC493" s="21" t="str">
        <f t="shared" si="83"/>
        <v>NO</v>
      </c>
      <c r="AD493" s="169"/>
      <c r="AE493" s="169"/>
      <c r="AF493" s="173"/>
      <c r="AG493" s="170"/>
      <c r="AH493" s="170"/>
      <c r="AI493" s="170"/>
      <c r="AJ493" s="169"/>
      <c r="AK493" s="169"/>
      <c r="AL493" s="169"/>
      <c r="AM493" s="172"/>
      <c r="AN493" s="169"/>
      <c r="AO493" s="174"/>
      <c r="AP493" s="175"/>
      <c r="AQ493" s="175"/>
      <c r="AR493" s="175"/>
      <c r="AS493" s="29"/>
      <c r="AT493" s="21"/>
      <c r="AU493" s="176"/>
      <c r="AV493" s="176"/>
      <c r="AW493" s="176"/>
      <c r="AX493" s="176"/>
      <c r="AY493" s="176"/>
      <c r="AZ493" s="176"/>
      <c r="BA493" s="176"/>
      <c r="BB493" s="176"/>
      <c r="BC493" s="176"/>
      <c r="BD493" s="176"/>
      <c r="BE493" s="176"/>
      <c r="BF493" s="1"/>
      <c r="BG493" s="1"/>
    </row>
    <row r="494" spans="1:59" ht="14.25" customHeight="1" x14ac:dyDescent="0.25">
      <c r="A494" s="1"/>
      <c r="B494" s="168"/>
      <c r="C494" s="169"/>
      <c r="D494" s="169"/>
      <c r="E494" s="21" t="str">
        <f t="shared" si="141"/>
        <v>001B</v>
      </c>
      <c r="F494" s="169"/>
      <c r="G494" s="169"/>
      <c r="H494" s="169"/>
      <c r="I494" s="169"/>
      <c r="J494" s="169"/>
      <c r="K494" s="169"/>
      <c r="L494" s="169"/>
      <c r="M494" s="169"/>
      <c r="N494" s="170"/>
      <c r="O494" s="169"/>
      <c r="P494" s="171"/>
      <c r="Q494" s="169"/>
      <c r="R494" s="169"/>
      <c r="S494" s="169"/>
      <c r="T494" s="169"/>
      <c r="U494" s="169"/>
      <c r="V494" s="169"/>
      <c r="W494" s="169"/>
      <c r="X494" s="169"/>
      <c r="Y494" s="172"/>
      <c r="Z494" s="169"/>
      <c r="AA494" s="169"/>
      <c r="AB494" s="169"/>
      <c r="AC494" s="21" t="str">
        <f t="shared" si="83"/>
        <v>NO</v>
      </c>
      <c r="AD494" s="169"/>
      <c r="AE494" s="169"/>
      <c r="AF494" s="173"/>
      <c r="AG494" s="170"/>
      <c r="AH494" s="170"/>
      <c r="AI494" s="170"/>
      <c r="AJ494" s="169"/>
      <c r="AK494" s="169"/>
      <c r="AL494" s="169"/>
      <c r="AM494" s="172"/>
      <c r="AN494" s="169"/>
      <c r="AO494" s="174"/>
      <c r="AP494" s="175"/>
      <c r="AQ494" s="175"/>
      <c r="AR494" s="175"/>
      <c r="AS494" s="29"/>
      <c r="AT494" s="21"/>
      <c r="AU494" s="177"/>
      <c r="AV494" s="177"/>
      <c r="AW494" s="177"/>
      <c r="AX494" s="177"/>
      <c r="AY494" s="177"/>
      <c r="AZ494" s="177"/>
      <c r="BA494" s="177"/>
      <c r="BB494" s="177"/>
      <c r="BC494" s="177"/>
      <c r="BD494" s="177"/>
      <c r="BE494" s="177"/>
      <c r="BF494" s="1"/>
      <c r="BG494" s="1"/>
    </row>
    <row r="495" spans="1:59" ht="14.25" customHeight="1" x14ac:dyDescent="0.25">
      <c r="A495" s="1"/>
      <c r="B495" s="42"/>
      <c r="C495" s="38"/>
      <c r="D495" s="38"/>
      <c r="E495" s="21" t="str">
        <f t="shared" si="141"/>
        <v>001B</v>
      </c>
      <c r="F495" s="38"/>
      <c r="G495" s="38"/>
      <c r="H495" s="38"/>
      <c r="I495" s="38"/>
      <c r="J495" s="21"/>
      <c r="K495" s="38"/>
      <c r="L495" s="38"/>
      <c r="M495" s="38"/>
      <c r="N495" s="178"/>
      <c r="O495" s="38"/>
      <c r="P495" s="38"/>
      <c r="Q495" s="38"/>
      <c r="R495" s="38"/>
      <c r="S495" s="38"/>
      <c r="T495" s="38"/>
      <c r="U495" s="38"/>
      <c r="V495" s="38"/>
      <c r="W495" s="38"/>
      <c r="X495" s="38"/>
      <c r="Y495" s="38"/>
      <c r="Z495" s="38"/>
      <c r="AA495" s="38"/>
      <c r="AB495" s="38"/>
      <c r="AC495" s="21" t="str">
        <f t="shared" si="83"/>
        <v>NO</v>
      </c>
      <c r="AD495" s="38"/>
      <c r="AE495" s="38"/>
      <c r="AF495" s="178"/>
      <c r="AG495" s="178"/>
      <c r="AH495" s="178"/>
      <c r="AI495" s="178"/>
      <c r="AJ495" s="38"/>
      <c r="AK495" s="38"/>
      <c r="AL495" s="38"/>
      <c r="AM495" s="38"/>
      <c r="AN495" s="38"/>
      <c r="AO495" s="179"/>
      <c r="AP495" s="180"/>
      <c r="AQ495" s="181"/>
      <c r="AR495" s="180"/>
      <c r="AS495" s="29"/>
      <c r="AT495" s="80"/>
      <c r="AU495" s="38"/>
      <c r="AV495" s="38"/>
      <c r="AW495" s="38"/>
      <c r="AX495" s="38"/>
      <c r="AY495" s="38"/>
      <c r="AZ495" s="38"/>
      <c r="BA495" s="38"/>
      <c r="BB495" s="38"/>
      <c r="BC495" s="38"/>
      <c r="BD495" s="38"/>
      <c r="BE495" s="38"/>
      <c r="BF495" s="1"/>
      <c r="BG495" s="1"/>
    </row>
    <row r="496" spans="1:59" ht="15.75" customHeight="1" x14ac:dyDescent="0.25"/>
    <row r="497" spans="14:14" ht="15.75" customHeight="1" x14ac:dyDescent="0.25"/>
    <row r="498" spans="14:14" ht="15.75" customHeight="1" x14ac:dyDescent="0.25"/>
    <row r="499" spans="14:14" ht="15.75" customHeight="1" x14ac:dyDescent="0.25"/>
    <row r="500" spans="14:14" ht="15.75" customHeight="1" x14ac:dyDescent="0.25"/>
    <row r="501" spans="14:14" ht="15.75" customHeight="1" x14ac:dyDescent="0.25">
      <c r="N501" s="24"/>
    </row>
    <row r="502" spans="14:14" ht="15.75" customHeight="1" x14ac:dyDescent="0.25"/>
    <row r="503" spans="14:14" ht="15.75" customHeight="1" x14ac:dyDescent="0.25"/>
    <row r="504" spans="14:14" ht="15.75" customHeight="1" x14ac:dyDescent="0.25"/>
    <row r="505" spans="14:14" ht="15.75" customHeight="1" x14ac:dyDescent="0.25"/>
    <row r="506" spans="14:14" ht="15.75" customHeight="1" x14ac:dyDescent="0.25"/>
    <row r="507" spans="14:14" ht="15.75" customHeight="1" x14ac:dyDescent="0.25"/>
    <row r="508" spans="14:14" ht="15.75" customHeight="1" x14ac:dyDescent="0.25"/>
    <row r="509" spans="14:14" ht="15.75" customHeight="1" x14ac:dyDescent="0.25"/>
    <row r="510" spans="14:14" ht="15.75" customHeight="1" x14ac:dyDescent="0.25"/>
    <row r="511" spans="14:14" ht="15.75" customHeight="1" x14ac:dyDescent="0.25"/>
    <row r="512" spans="14:14"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spans="1:59" ht="15.75" customHeight="1" x14ac:dyDescent="0.25"/>
    <row r="594" spans="1:59" ht="15.75" customHeight="1" x14ac:dyDescent="0.25"/>
    <row r="595" spans="1:59" ht="15.75" customHeight="1" x14ac:dyDescent="0.25"/>
    <row r="596" spans="1:59" ht="15.75" customHeight="1" x14ac:dyDescent="0.25"/>
    <row r="597" spans="1:59" ht="15.75" customHeight="1" x14ac:dyDescent="0.25"/>
    <row r="598" spans="1:59" ht="15.75" customHeight="1" x14ac:dyDescent="0.25"/>
    <row r="599" spans="1:59" ht="15.75" customHeight="1" x14ac:dyDescent="0.25"/>
    <row r="600" spans="1:59" ht="15.75" customHeight="1" x14ac:dyDescent="0.25"/>
    <row r="601" spans="1:59" ht="15.75" customHeight="1" x14ac:dyDescent="0.25"/>
    <row r="602" spans="1:59" ht="15.75" customHeight="1" x14ac:dyDescent="0.25"/>
    <row r="603" spans="1:59" ht="15.75" customHeight="1" x14ac:dyDescent="0.25"/>
    <row r="604" spans="1:59" ht="15.75" customHeight="1" x14ac:dyDescent="0.25"/>
    <row r="605" spans="1:59" ht="15.75" customHeight="1" x14ac:dyDescent="0.25"/>
    <row r="606" spans="1:59" ht="14.25" customHeight="1" x14ac:dyDescent="0.25">
      <c r="A606" s="1"/>
      <c r="B606" s="182"/>
      <c r="C606" s="38"/>
      <c r="D606" s="38"/>
      <c r="E606" s="38"/>
      <c r="F606" s="38"/>
      <c r="G606" s="38"/>
      <c r="H606" s="38"/>
      <c r="I606" s="38"/>
      <c r="J606" s="38"/>
      <c r="K606" s="38"/>
      <c r="L606" s="38"/>
      <c r="M606" s="38"/>
      <c r="N606" s="178"/>
      <c r="O606" s="38"/>
      <c r="P606" s="38"/>
      <c r="Q606" s="38"/>
      <c r="R606" s="38"/>
      <c r="S606" s="38"/>
      <c r="T606" s="38"/>
      <c r="U606" s="38"/>
      <c r="V606" s="38"/>
      <c r="W606" s="38"/>
      <c r="X606" s="38"/>
      <c r="Y606" s="38"/>
      <c r="Z606" s="38"/>
      <c r="AA606" s="38"/>
      <c r="AB606" s="38"/>
      <c r="AC606" s="38"/>
      <c r="AD606" s="38"/>
      <c r="AE606" s="38"/>
      <c r="AF606" s="178"/>
      <c r="AG606" s="178"/>
      <c r="AH606" s="178"/>
      <c r="AI606" s="178"/>
      <c r="AJ606" s="38"/>
      <c r="AK606" s="38"/>
      <c r="AL606" s="38"/>
      <c r="AM606" s="38"/>
      <c r="AN606" s="38"/>
      <c r="AO606" s="179"/>
      <c r="AP606" s="180"/>
      <c r="AQ606" s="181"/>
      <c r="AR606" s="180"/>
      <c r="AS606" s="181"/>
      <c r="AT606" s="183"/>
      <c r="AU606" s="38"/>
      <c r="AV606" s="38"/>
      <c r="AW606" s="38"/>
      <c r="AX606" s="38"/>
      <c r="AY606" s="38"/>
      <c r="AZ606" s="38"/>
      <c r="BA606" s="38"/>
      <c r="BB606" s="38"/>
      <c r="BC606" s="38"/>
      <c r="BD606" s="38"/>
      <c r="BE606" s="38"/>
      <c r="BF606" s="1"/>
      <c r="BG606" s="1"/>
    </row>
    <row r="607" spans="1:59" ht="14.25" customHeight="1" x14ac:dyDescent="0.25">
      <c r="A607" s="1"/>
      <c r="B607" s="182"/>
      <c r="C607" s="38"/>
      <c r="D607" s="38"/>
      <c r="E607" s="38"/>
      <c r="F607" s="38"/>
      <c r="G607" s="38"/>
      <c r="H607" s="38"/>
      <c r="I607" s="38"/>
      <c r="J607" s="38"/>
      <c r="K607" s="38"/>
      <c r="L607" s="38"/>
      <c r="M607" s="38"/>
      <c r="N607" s="178"/>
      <c r="O607" s="38"/>
      <c r="P607" s="38"/>
      <c r="Q607" s="38"/>
      <c r="R607" s="38"/>
      <c r="S607" s="38"/>
      <c r="T607" s="38"/>
      <c r="U607" s="38"/>
      <c r="V607" s="38"/>
      <c r="W607" s="38"/>
      <c r="X607" s="38"/>
      <c r="Y607" s="38"/>
      <c r="Z607" s="38"/>
      <c r="AA607" s="38"/>
      <c r="AB607" s="38"/>
      <c r="AC607" s="38"/>
      <c r="AD607" s="38"/>
      <c r="AE607" s="38"/>
      <c r="AF607" s="178"/>
      <c r="AG607" s="178"/>
      <c r="AH607" s="178"/>
      <c r="AI607" s="178"/>
      <c r="AJ607" s="38"/>
      <c r="AK607" s="38"/>
      <c r="AL607" s="38"/>
      <c r="AM607" s="38"/>
      <c r="AN607" s="38"/>
      <c r="AO607" s="179"/>
      <c r="AP607" s="180"/>
      <c r="AQ607" s="181"/>
      <c r="AR607" s="180"/>
      <c r="AS607" s="181"/>
      <c r="AT607" s="183"/>
      <c r="AU607" s="38"/>
      <c r="AV607" s="38"/>
      <c r="AW607" s="38"/>
      <c r="AX607" s="38"/>
      <c r="AY607" s="38"/>
      <c r="AZ607" s="38"/>
      <c r="BA607" s="38"/>
      <c r="BB607" s="38"/>
      <c r="BC607" s="38"/>
      <c r="BD607" s="38"/>
      <c r="BE607" s="38"/>
      <c r="BF607" s="1"/>
      <c r="BG607" s="1"/>
    </row>
    <row r="608" spans="1:59" ht="14.25" customHeight="1" x14ac:dyDescent="0.25">
      <c r="A608" s="1"/>
      <c r="B608" s="182"/>
      <c r="C608" s="38"/>
      <c r="D608" s="38"/>
      <c r="E608" s="38"/>
      <c r="F608" s="38"/>
      <c r="G608" s="38"/>
      <c r="H608" s="38"/>
      <c r="I608" s="38"/>
      <c r="J608" s="38"/>
      <c r="K608" s="38"/>
      <c r="L608" s="38"/>
      <c r="M608" s="38"/>
      <c r="N608" s="178"/>
      <c r="O608" s="38"/>
      <c r="P608" s="38"/>
      <c r="Q608" s="38"/>
      <c r="R608" s="38"/>
      <c r="S608" s="38"/>
      <c r="T608" s="38"/>
      <c r="U608" s="38"/>
      <c r="V608" s="38"/>
      <c r="W608" s="38"/>
      <c r="X608" s="38"/>
      <c r="Y608" s="38"/>
      <c r="Z608" s="38"/>
      <c r="AA608" s="38"/>
      <c r="AB608" s="38"/>
      <c r="AC608" s="38"/>
      <c r="AD608" s="38"/>
      <c r="AE608" s="38"/>
      <c r="AF608" s="178"/>
      <c r="AG608" s="178"/>
      <c r="AH608" s="178"/>
      <c r="AI608" s="178"/>
      <c r="AJ608" s="38"/>
      <c r="AK608" s="38"/>
      <c r="AL608" s="38"/>
      <c r="AM608" s="38"/>
      <c r="AN608" s="38"/>
      <c r="AO608" s="179"/>
      <c r="AP608" s="180"/>
      <c r="AQ608" s="181"/>
      <c r="AR608" s="180"/>
      <c r="AS608" s="181"/>
      <c r="AT608" s="183"/>
      <c r="AU608" s="38"/>
      <c r="AV608" s="38"/>
      <c r="AW608" s="38"/>
      <c r="AX608" s="38"/>
      <c r="AY608" s="38"/>
      <c r="AZ608" s="38"/>
      <c r="BA608" s="38"/>
      <c r="BB608" s="38"/>
      <c r="BC608" s="38"/>
      <c r="BD608" s="38"/>
      <c r="BE608" s="38"/>
      <c r="BF608" s="1"/>
      <c r="BG608" s="1"/>
    </row>
    <row r="609" spans="1:59" ht="14.25" customHeight="1" x14ac:dyDescent="0.25">
      <c r="A609" s="1"/>
      <c r="B609" s="182"/>
      <c r="C609" s="38"/>
      <c r="D609" s="38"/>
      <c r="E609" s="38"/>
      <c r="F609" s="38"/>
      <c r="G609" s="38"/>
      <c r="H609" s="38"/>
      <c r="I609" s="38"/>
      <c r="J609" s="38"/>
      <c r="K609" s="38"/>
      <c r="L609" s="38"/>
      <c r="M609" s="38"/>
      <c r="N609" s="178"/>
      <c r="O609" s="38"/>
      <c r="P609" s="38"/>
      <c r="Q609" s="38"/>
      <c r="R609" s="38"/>
      <c r="S609" s="38"/>
      <c r="T609" s="38"/>
      <c r="U609" s="38"/>
      <c r="V609" s="38"/>
      <c r="W609" s="38"/>
      <c r="X609" s="38"/>
      <c r="Y609" s="38"/>
      <c r="Z609" s="38"/>
      <c r="AA609" s="38"/>
      <c r="AB609" s="38"/>
      <c r="AC609" s="38"/>
      <c r="AD609" s="38"/>
      <c r="AE609" s="38"/>
      <c r="AF609" s="178"/>
      <c r="AG609" s="178"/>
      <c r="AH609" s="178"/>
      <c r="AI609" s="178"/>
      <c r="AJ609" s="38"/>
      <c r="AK609" s="38"/>
      <c r="AL609" s="38"/>
      <c r="AM609" s="38"/>
      <c r="AN609" s="38"/>
      <c r="AO609" s="179"/>
      <c r="AP609" s="180"/>
      <c r="AQ609" s="181"/>
      <c r="AR609" s="180"/>
      <c r="AS609" s="181"/>
      <c r="AT609" s="183"/>
      <c r="AU609" s="38"/>
      <c r="AV609" s="38"/>
      <c r="AW609" s="38"/>
      <c r="AX609" s="38"/>
      <c r="AY609" s="38"/>
      <c r="AZ609" s="38"/>
      <c r="BA609" s="38"/>
      <c r="BB609" s="38"/>
      <c r="BC609" s="38"/>
      <c r="BD609" s="38"/>
      <c r="BE609" s="38"/>
      <c r="BF609" s="1"/>
      <c r="BG609" s="1"/>
    </row>
    <row r="610" spans="1:59" ht="14.25" customHeight="1" x14ac:dyDescent="0.25">
      <c r="A610" s="1"/>
      <c r="B610" s="182"/>
      <c r="C610" s="38"/>
      <c r="D610" s="38"/>
      <c r="E610" s="38"/>
      <c r="F610" s="38"/>
      <c r="G610" s="38"/>
      <c r="H610" s="38"/>
      <c r="I610" s="38"/>
      <c r="J610" s="38"/>
      <c r="K610" s="38"/>
      <c r="L610" s="38"/>
      <c r="M610" s="38"/>
      <c r="N610" s="178"/>
      <c r="O610" s="38"/>
      <c r="P610" s="38"/>
      <c r="Q610" s="38"/>
      <c r="R610" s="38"/>
      <c r="S610" s="38"/>
      <c r="T610" s="38"/>
      <c r="U610" s="38"/>
      <c r="V610" s="38"/>
      <c r="W610" s="38"/>
      <c r="X610" s="38"/>
      <c r="Y610" s="38"/>
      <c r="Z610" s="38"/>
      <c r="AA610" s="38"/>
      <c r="AB610" s="38"/>
      <c r="AC610" s="38"/>
      <c r="AD610" s="38"/>
      <c r="AE610" s="38"/>
      <c r="AF610" s="178"/>
      <c r="AG610" s="178"/>
      <c r="AH610" s="178"/>
      <c r="AI610" s="178"/>
      <c r="AJ610" s="38"/>
      <c r="AK610" s="38"/>
      <c r="AL610" s="38"/>
      <c r="AM610" s="38"/>
      <c r="AN610" s="38"/>
      <c r="AO610" s="179"/>
      <c r="AP610" s="180"/>
      <c r="AQ610" s="181"/>
      <c r="AR610" s="180"/>
      <c r="AS610" s="181"/>
      <c r="AT610" s="183"/>
      <c r="AU610" s="38"/>
      <c r="AV610" s="38"/>
      <c r="AW610" s="38"/>
      <c r="AX610" s="38"/>
      <c r="AY610" s="38"/>
      <c r="AZ610" s="38"/>
      <c r="BA610" s="38"/>
      <c r="BB610" s="38"/>
      <c r="BC610" s="38"/>
      <c r="BD610" s="38"/>
      <c r="BE610" s="38"/>
      <c r="BF610" s="1"/>
      <c r="BG610" s="1"/>
    </row>
    <row r="611" spans="1:59" ht="14.25" customHeight="1" x14ac:dyDescent="0.25">
      <c r="A611" s="1"/>
      <c r="B611" s="182"/>
      <c r="C611" s="38"/>
      <c r="D611" s="38"/>
      <c r="E611" s="38"/>
      <c r="F611" s="38"/>
      <c r="G611" s="38"/>
      <c r="H611" s="38"/>
      <c r="I611" s="38"/>
      <c r="J611" s="38"/>
      <c r="K611" s="38"/>
      <c r="L611" s="38"/>
      <c r="M611" s="38"/>
      <c r="N611" s="178"/>
      <c r="O611" s="38"/>
      <c r="P611" s="38"/>
      <c r="Q611" s="38"/>
      <c r="R611" s="38"/>
      <c r="S611" s="38"/>
      <c r="T611" s="38"/>
      <c r="U611" s="38"/>
      <c r="V611" s="38"/>
      <c r="W611" s="38"/>
      <c r="X611" s="38"/>
      <c r="Y611" s="38"/>
      <c r="Z611" s="38"/>
      <c r="AA611" s="38"/>
      <c r="AB611" s="38"/>
      <c r="AC611" s="38"/>
      <c r="AD611" s="38"/>
      <c r="AE611" s="38"/>
      <c r="AF611" s="178"/>
      <c r="AG611" s="178"/>
      <c r="AH611" s="178"/>
      <c r="AI611" s="178"/>
      <c r="AJ611" s="38"/>
      <c r="AK611" s="38"/>
      <c r="AL611" s="38"/>
      <c r="AM611" s="38"/>
      <c r="AN611" s="38"/>
      <c r="AO611" s="179"/>
      <c r="AP611" s="180"/>
      <c r="AQ611" s="181"/>
      <c r="AR611" s="180"/>
      <c r="AS611" s="181"/>
      <c r="AT611" s="183"/>
      <c r="AU611" s="38"/>
      <c r="AV611" s="38"/>
      <c r="AW611" s="38"/>
      <c r="AX611" s="38"/>
      <c r="AY611" s="38"/>
      <c r="AZ611" s="38"/>
      <c r="BA611" s="38"/>
      <c r="BB611" s="38"/>
      <c r="BC611" s="38"/>
      <c r="BD611" s="38"/>
      <c r="BE611" s="38"/>
      <c r="BF611" s="1"/>
      <c r="BG611" s="1"/>
    </row>
    <row r="612" spans="1:59" ht="14.25" customHeight="1" x14ac:dyDescent="0.25">
      <c r="A612" s="1"/>
      <c r="B612" s="182"/>
      <c r="C612" s="38"/>
      <c r="D612" s="38"/>
      <c r="E612" s="38"/>
      <c r="F612" s="38"/>
      <c r="G612" s="38"/>
      <c r="H612" s="38"/>
      <c r="I612" s="38"/>
      <c r="J612" s="38"/>
      <c r="K612" s="38"/>
      <c r="L612" s="38"/>
      <c r="M612" s="38"/>
      <c r="N612" s="178"/>
      <c r="O612" s="38"/>
      <c r="P612" s="38"/>
      <c r="Q612" s="38"/>
      <c r="R612" s="38"/>
      <c r="S612" s="38"/>
      <c r="T612" s="38"/>
      <c r="U612" s="38"/>
      <c r="V612" s="38"/>
      <c r="W612" s="38"/>
      <c r="X612" s="38"/>
      <c r="Y612" s="38"/>
      <c r="Z612" s="38"/>
      <c r="AA612" s="38"/>
      <c r="AB612" s="38"/>
      <c r="AC612" s="38"/>
      <c r="AD612" s="38"/>
      <c r="AE612" s="38"/>
      <c r="AF612" s="178"/>
      <c r="AG612" s="178"/>
      <c r="AH612" s="178"/>
      <c r="AI612" s="178"/>
      <c r="AJ612" s="38"/>
      <c r="AK612" s="38"/>
      <c r="AL612" s="38"/>
      <c r="AM612" s="38"/>
      <c r="AN612" s="38"/>
      <c r="AO612" s="179"/>
      <c r="AP612" s="180"/>
      <c r="AQ612" s="181"/>
      <c r="AR612" s="180"/>
      <c r="AS612" s="181"/>
      <c r="AT612" s="183"/>
      <c r="AU612" s="38"/>
      <c r="AV612" s="38"/>
      <c r="AW612" s="38"/>
      <c r="AX612" s="38"/>
      <c r="AY612" s="38"/>
      <c r="AZ612" s="38"/>
      <c r="BA612" s="38"/>
      <c r="BB612" s="38"/>
      <c r="BC612" s="38"/>
      <c r="BD612" s="38"/>
      <c r="BE612" s="38"/>
      <c r="BF612" s="1"/>
      <c r="BG612" s="1"/>
    </row>
    <row r="613" spans="1:59" ht="14.25" customHeight="1" x14ac:dyDescent="0.25">
      <c r="A613" s="1"/>
      <c r="B613" s="182"/>
      <c r="C613" s="38"/>
      <c r="D613" s="38"/>
      <c r="E613" s="38"/>
      <c r="F613" s="38"/>
      <c r="G613" s="38"/>
      <c r="H613" s="38"/>
      <c r="I613" s="38"/>
      <c r="J613" s="38"/>
      <c r="K613" s="38"/>
      <c r="L613" s="38"/>
      <c r="M613" s="38"/>
      <c r="N613" s="178"/>
      <c r="O613" s="38"/>
      <c r="P613" s="38"/>
      <c r="Q613" s="38"/>
      <c r="R613" s="38"/>
      <c r="S613" s="38"/>
      <c r="T613" s="38"/>
      <c r="U613" s="38"/>
      <c r="V613" s="38"/>
      <c r="W613" s="38"/>
      <c r="X613" s="38"/>
      <c r="Y613" s="38"/>
      <c r="Z613" s="38"/>
      <c r="AA613" s="38"/>
      <c r="AB613" s="38"/>
      <c r="AC613" s="38"/>
      <c r="AD613" s="38"/>
      <c r="AE613" s="38"/>
      <c r="AF613" s="178"/>
      <c r="AG613" s="178"/>
      <c r="AH613" s="178"/>
      <c r="AI613" s="178"/>
      <c r="AJ613" s="38"/>
      <c r="AK613" s="38"/>
      <c r="AL613" s="38"/>
      <c r="AM613" s="38"/>
      <c r="AN613" s="38"/>
      <c r="AO613" s="179"/>
      <c r="AP613" s="180"/>
      <c r="AQ613" s="181"/>
      <c r="AR613" s="180"/>
      <c r="AS613" s="181"/>
      <c r="AT613" s="183"/>
      <c r="AU613" s="38"/>
      <c r="AV613" s="38"/>
      <c r="AW613" s="38"/>
      <c r="AX613" s="38"/>
      <c r="AY613" s="38"/>
      <c r="AZ613" s="38"/>
      <c r="BA613" s="38"/>
      <c r="BB613" s="38"/>
      <c r="BC613" s="38"/>
      <c r="BD613" s="38"/>
      <c r="BE613" s="38"/>
      <c r="BF613" s="1"/>
      <c r="BG613" s="1"/>
    </row>
    <row r="614" spans="1:59" ht="14.25" customHeight="1" x14ac:dyDescent="0.25">
      <c r="A614" s="1"/>
      <c r="B614" s="182"/>
      <c r="C614" s="38"/>
      <c r="D614" s="38"/>
      <c r="E614" s="38"/>
      <c r="F614" s="38"/>
      <c r="G614" s="38"/>
      <c r="H614" s="38"/>
      <c r="I614" s="38"/>
      <c r="J614" s="38"/>
      <c r="K614" s="38"/>
      <c r="L614" s="38"/>
      <c r="M614" s="38"/>
      <c r="N614" s="178"/>
      <c r="O614" s="38"/>
      <c r="P614" s="38"/>
      <c r="Q614" s="38"/>
      <c r="R614" s="38"/>
      <c r="S614" s="38"/>
      <c r="T614" s="38"/>
      <c r="U614" s="38"/>
      <c r="V614" s="38"/>
      <c r="W614" s="38"/>
      <c r="X614" s="38"/>
      <c r="Y614" s="38"/>
      <c r="Z614" s="38"/>
      <c r="AA614" s="38"/>
      <c r="AB614" s="38"/>
      <c r="AC614" s="38"/>
      <c r="AD614" s="38"/>
      <c r="AE614" s="38"/>
      <c r="AF614" s="178"/>
      <c r="AG614" s="178"/>
      <c r="AH614" s="178"/>
      <c r="AI614" s="178"/>
      <c r="AJ614" s="38"/>
      <c r="AK614" s="38"/>
      <c r="AL614" s="38"/>
      <c r="AM614" s="38"/>
      <c r="AN614" s="38"/>
      <c r="AO614" s="179"/>
      <c r="AP614" s="180"/>
      <c r="AQ614" s="181"/>
      <c r="AR614" s="180"/>
      <c r="AS614" s="181"/>
      <c r="AT614" s="183"/>
      <c r="AU614" s="38"/>
      <c r="AV614" s="38"/>
      <c r="AW614" s="38"/>
      <c r="AX614" s="38"/>
      <c r="AY614" s="38"/>
      <c r="AZ614" s="38"/>
      <c r="BA614" s="38"/>
      <c r="BB614" s="38"/>
      <c r="BC614" s="38"/>
      <c r="BD614" s="38"/>
      <c r="BE614" s="38"/>
      <c r="BF614" s="1"/>
      <c r="BG614" s="1"/>
    </row>
    <row r="615" spans="1:59" ht="14.25" customHeight="1" x14ac:dyDescent="0.25">
      <c r="A615" s="1"/>
      <c r="B615" s="182"/>
      <c r="C615" s="38"/>
      <c r="D615" s="38"/>
      <c r="E615" s="38"/>
      <c r="F615" s="38"/>
      <c r="G615" s="38"/>
      <c r="H615" s="38"/>
      <c r="I615" s="38"/>
      <c r="J615" s="38"/>
      <c r="K615" s="38"/>
      <c r="L615" s="38"/>
      <c r="M615" s="38"/>
      <c r="N615" s="178"/>
      <c r="O615" s="38"/>
      <c r="P615" s="38"/>
      <c r="Q615" s="38"/>
      <c r="R615" s="38"/>
      <c r="S615" s="38"/>
      <c r="T615" s="38"/>
      <c r="U615" s="38"/>
      <c r="V615" s="38"/>
      <c r="W615" s="38"/>
      <c r="X615" s="38"/>
      <c r="Y615" s="38"/>
      <c r="Z615" s="38"/>
      <c r="AA615" s="38"/>
      <c r="AB615" s="38"/>
      <c r="AC615" s="38"/>
      <c r="AD615" s="38"/>
      <c r="AE615" s="38"/>
      <c r="AF615" s="178"/>
      <c r="AG615" s="178"/>
      <c r="AH615" s="178"/>
      <c r="AI615" s="178"/>
      <c r="AJ615" s="38"/>
      <c r="AK615" s="38"/>
      <c r="AL615" s="38"/>
      <c r="AM615" s="38"/>
      <c r="AN615" s="38"/>
      <c r="AO615" s="179"/>
      <c r="AP615" s="180"/>
      <c r="AQ615" s="181"/>
      <c r="AR615" s="180"/>
      <c r="AS615" s="181"/>
      <c r="AT615" s="183"/>
      <c r="AU615" s="38"/>
      <c r="AV615" s="38"/>
      <c r="AW615" s="38"/>
      <c r="AX615" s="38"/>
      <c r="AY615" s="38"/>
      <c r="AZ615" s="38"/>
      <c r="BA615" s="38"/>
      <c r="BB615" s="38"/>
      <c r="BC615" s="38"/>
      <c r="BD615" s="38"/>
      <c r="BE615" s="38"/>
      <c r="BF615" s="1"/>
      <c r="BG615" s="1"/>
    </row>
    <row r="616" spans="1:59" ht="14.25" customHeight="1" x14ac:dyDescent="0.25">
      <c r="A616" s="1"/>
      <c r="B616" s="182"/>
      <c r="C616" s="38"/>
      <c r="D616" s="38"/>
      <c r="E616" s="38"/>
      <c r="F616" s="38"/>
      <c r="G616" s="38"/>
      <c r="H616" s="38"/>
      <c r="I616" s="38"/>
      <c r="J616" s="38"/>
      <c r="K616" s="38"/>
      <c r="L616" s="38"/>
      <c r="M616" s="38"/>
      <c r="N616" s="178"/>
      <c r="O616" s="38"/>
      <c r="P616" s="38"/>
      <c r="Q616" s="38"/>
      <c r="R616" s="38"/>
      <c r="S616" s="38"/>
      <c r="T616" s="38"/>
      <c r="U616" s="38"/>
      <c r="V616" s="38"/>
      <c r="W616" s="38"/>
      <c r="X616" s="38"/>
      <c r="Y616" s="38"/>
      <c r="Z616" s="38"/>
      <c r="AA616" s="38"/>
      <c r="AB616" s="38"/>
      <c r="AC616" s="38"/>
      <c r="AD616" s="38"/>
      <c r="AE616" s="38"/>
      <c r="AF616" s="178"/>
      <c r="AG616" s="178"/>
      <c r="AH616" s="178"/>
      <c r="AI616" s="178"/>
      <c r="AJ616" s="38"/>
      <c r="AK616" s="38"/>
      <c r="AL616" s="38"/>
      <c r="AM616" s="38"/>
      <c r="AN616" s="38"/>
      <c r="AO616" s="179"/>
      <c r="AP616" s="180"/>
      <c r="AQ616" s="181"/>
      <c r="AR616" s="180"/>
      <c r="AS616" s="181"/>
      <c r="AT616" s="183"/>
      <c r="AU616" s="38"/>
      <c r="AV616" s="38"/>
      <c r="AW616" s="38"/>
      <c r="AX616" s="38"/>
      <c r="AY616" s="38"/>
      <c r="AZ616" s="38"/>
      <c r="BA616" s="38"/>
      <c r="BB616" s="38"/>
      <c r="BC616" s="38"/>
      <c r="BD616" s="38"/>
      <c r="BE616" s="38"/>
      <c r="BF616" s="1"/>
      <c r="BG616" s="1"/>
    </row>
    <row r="617" spans="1:59" ht="14.25" customHeight="1" x14ac:dyDescent="0.25">
      <c r="A617" s="1"/>
      <c r="B617" s="182"/>
      <c r="C617" s="38"/>
      <c r="D617" s="38"/>
      <c r="E617" s="38"/>
      <c r="F617" s="38"/>
      <c r="G617" s="38"/>
      <c r="H617" s="38"/>
      <c r="I617" s="38"/>
      <c r="J617" s="38"/>
      <c r="K617" s="38"/>
      <c r="L617" s="38"/>
      <c r="M617" s="38"/>
      <c r="N617" s="178"/>
      <c r="O617" s="38"/>
      <c r="P617" s="38"/>
      <c r="Q617" s="38"/>
      <c r="R617" s="38"/>
      <c r="S617" s="38"/>
      <c r="T617" s="38"/>
      <c r="U617" s="38"/>
      <c r="V617" s="38"/>
      <c r="W617" s="38"/>
      <c r="X617" s="38"/>
      <c r="Y617" s="38"/>
      <c r="Z617" s="38"/>
      <c r="AA617" s="38"/>
      <c r="AB617" s="38"/>
      <c r="AC617" s="38"/>
      <c r="AD617" s="38"/>
      <c r="AE617" s="38"/>
      <c r="AF617" s="178"/>
      <c r="AG617" s="178"/>
      <c r="AH617" s="178"/>
      <c r="AI617" s="178"/>
      <c r="AJ617" s="38"/>
      <c r="AK617" s="38"/>
      <c r="AL617" s="38"/>
      <c r="AM617" s="38"/>
      <c r="AN617" s="38"/>
      <c r="AO617" s="179"/>
      <c r="AP617" s="180"/>
      <c r="AQ617" s="181"/>
      <c r="AR617" s="180"/>
      <c r="AS617" s="181"/>
      <c r="AT617" s="183"/>
      <c r="AU617" s="38"/>
      <c r="AV617" s="38"/>
      <c r="AW617" s="38"/>
      <c r="AX617" s="38"/>
      <c r="AY617" s="38"/>
      <c r="AZ617" s="38"/>
      <c r="BA617" s="38"/>
      <c r="BB617" s="38"/>
      <c r="BC617" s="38"/>
      <c r="BD617" s="38"/>
      <c r="BE617" s="38"/>
      <c r="BF617" s="1"/>
      <c r="BG617" s="1"/>
    </row>
    <row r="618" spans="1:59" ht="14.25" customHeight="1" x14ac:dyDescent="0.25">
      <c r="A618" s="1"/>
      <c r="B618" s="182"/>
      <c r="C618" s="38"/>
      <c r="D618" s="38"/>
      <c r="E618" s="38"/>
      <c r="F618" s="38"/>
      <c r="G618" s="38"/>
      <c r="H618" s="38"/>
      <c r="I618" s="38"/>
      <c r="J618" s="38"/>
      <c r="K618" s="38"/>
      <c r="L618" s="38"/>
      <c r="M618" s="38"/>
      <c r="N618" s="178"/>
      <c r="O618" s="38"/>
      <c r="P618" s="38"/>
      <c r="Q618" s="38"/>
      <c r="R618" s="38"/>
      <c r="S618" s="38"/>
      <c r="T618" s="38"/>
      <c r="U618" s="38"/>
      <c r="V618" s="38"/>
      <c r="W618" s="38"/>
      <c r="X618" s="38"/>
      <c r="Y618" s="38"/>
      <c r="Z618" s="38"/>
      <c r="AA618" s="38"/>
      <c r="AB618" s="38"/>
      <c r="AC618" s="38"/>
      <c r="AD618" s="38"/>
      <c r="AE618" s="38"/>
      <c r="AF618" s="178"/>
      <c r="AG618" s="178"/>
      <c r="AH618" s="178"/>
      <c r="AI618" s="178"/>
      <c r="AJ618" s="38"/>
      <c r="AK618" s="38"/>
      <c r="AL618" s="38"/>
      <c r="AM618" s="38"/>
      <c r="AN618" s="38"/>
      <c r="AO618" s="179"/>
      <c r="AP618" s="180"/>
      <c r="AQ618" s="181"/>
      <c r="AR618" s="180"/>
      <c r="AS618" s="181"/>
      <c r="AT618" s="183"/>
      <c r="AU618" s="38"/>
      <c r="AV618" s="38"/>
      <c r="AW618" s="38"/>
      <c r="AX618" s="38"/>
      <c r="AY618" s="38"/>
      <c r="AZ618" s="38"/>
      <c r="BA618" s="38"/>
      <c r="BB618" s="38"/>
      <c r="BC618" s="38"/>
      <c r="BD618" s="38"/>
      <c r="BE618" s="38"/>
      <c r="BF618" s="1"/>
      <c r="BG618" s="1"/>
    </row>
    <row r="619" spans="1:59" ht="14.25" customHeight="1" x14ac:dyDescent="0.25">
      <c r="A619" s="1"/>
      <c r="B619" s="182"/>
      <c r="C619" s="38"/>
      <c r="D619" s="38"/>
      <c r="E619" s="38"/>
      <c r="F619" s="38"/>
      <c r="G619" s="38"/>
      <c r="H619" s="38"/>
      <c r="I619" s="38"/>
      <c r="J619" s="38"/>
      <c r="K619" s="38"/>
      <c r="L619" s="38"/>
      <c r="M619" s="38"/>
      <c r="N619" s="178"/>
      <c r="O619" s="38"/>
      <c r="P619" s="38"/>
      <c r="Q619" s="38"/>
      <c r="R619" s="38"/>
      <c r="S619" s="38"/>
      <c r="T619" s="38"/>
      <c r="U619" s="38"/>
      <c r="V619" s="38"/>
      <c r="W619" s="38"/>
      <c r="X619" s="38"/>
      <c r="Y619" s="38"/>
      <c r="Z619" s="38"/>
      <c r="AA619" s="38"/>
      <c r="AB619" s="38"/>
      <c r="AC619" s="38"/>
      <c r="AD619" s="38"/>
      <c r="AE619" s="38"/>
      <c r="AF619" s="178"/>
      <c r="AG619" s="178"/>
      <c r="AH619" s="178"/>
      <c r="AI619" s="178"/>
      <c r="AJ619" s="38"/>
      <c r="AK619" s="38"/>
      <c r="AL619" s="38"/>
      <c r="AM619" s="38"/>
      <c r="AN619" s="38"/>
      <c r="AO619" s="179"/>
      <c r="AP619" s="180"/>
      <c r="AQ619" s="181"/>
      <c r="AR619" s="180"/>
      <c r="AS619" s="181"/>
      <c r="AT619" s="183"/>
      <c r="AU619" s="38"/>
      <c r="AV619" s="38"/>
      <c r="AW619" s="38"/>
      <c r="AX619" s="38"/>
      <c r="AY619" s="38"/>
      <c r="AZ619" s="38"/>
      <c r="BA619" s="38"/>
      <c r="BB619" s="38"/>
      <c r="BC619" s="38"/>
      <c r="BD619" s="38"/>
      <c r="BE619" s="38"/>
      <c r="BF619" s="1"/>
      <c r="BG619" s="1"/>
    </row>
    <row r="620" spans="1:59" ht="14.25" customHeight="1" x14ac:dyDescent="0.25">
      <c r="A620" s="1"/>
      <c r="B620" s="182"/>
      <c r="C620" s="38"/>
      <c r="D620" s="38"/>
      <c r="E620" s="38"/>
      <c r="F620" s="38"/>
      <c r="G620" s="38"/>
      <c r="H620" s="38"/>
      <c r="I620" s="38"/>
      <c r="J620" s="38"/>
      <c r="K620" s="38"/>
      <c r="L620" s="38"/>
      <c r="M620" s="38"/>
      <c r="N620" s="178"/>
      <c r="O620" s="38"/>
      <c r="P620" s="38"/>
      <c r="Q620" s="38"/>
      <c r="R620" s="38"/>
      <c r="S620" s="38"/>
      <c r="T620" s="38"/>
      <c r="U620" s="38"/>
      <c r="V620" s="38"/>
      <c r="W620" s="38"/>
      <c r="X620" s="38"/>
      <c r="Y620" s="38"/>
      <c r="Z620" s="38"/>
      <c r="AA620" s="38"/>
      <c r="AB620" s="38"/>
      <c r="AC620" s="38"/>
      <c r="AD620" s="38"/>
      <c r="AE620" s="38"/>
      <c r="AF620" s="178"/>
      <c r="AG620" s="178"/>
      <c r="AH620" s="178"/>
      <c r="AI620" s="178"/>
      <c r="AJ620" s="38"/>
      <c r="AK620" s="38"/>
      <c r="AL620" s="38"/>
      <c r="AM620" s="38"/>
      <c r="AN620" s="38"/>
      <c r="AO620" s="179"/>
      <c r="AP620" s="180"/>
      <c r="AQ620" s="181"/>
      <c r="AR620" s="180"/>
      <c r="AS620" s="181"/>
      <c r="AT620" s="183"/>
      <c r="AU620" s="38"/>
      <c r="AV620" s="38"/>
      <c r="AW620" s="38"/>
      <c r="AX620" s="38"/>
      <c r="AY620" s="38"/>
      <c r="AZ620" s="38"/>
      <c r="BA620" s="38"/>
      <c r="BB620" s="38"/>
      <c r="BC620" s="38"/>
      <c r="BD620" s="38"/>
      <c r="BE620" s="38"/>
      <c r="BF620" s="1"/>
      <c r="BG620" s="1"/>
    </row>
    <row r="621" spans="1:59" ht="14.25" customHeight="1" x14ac:dyDescent="0.25">
      <c r="A621" s="1"/>
      <c r="B621" s="182"/>
      <c r="C621" s="38"/>
      <c r="D621" s="38"/>
      <c r="E621" s="38"/>
      <c r="F621" s="38"/>
      <c r="G621" s="38"/>
      <c r="H621" s="38"/>
      <c r="I621" s="38"/>
      <c r="J621" s="38"/>
      <c r="K621" s="38"/>
      <c r="L621" s="38"/>
      <c r="M621" s="38"/>
      <c r="N621" s="178"/>
      <c r="O621" s="38"/>
      <c r="P621" s="38"/>
      <c r="Q621" s="38"/>
      <c r="R621" s="38"/>
      <c r="S621" s="38"/>
      <c r="T621" s="38"/>
      <c r="U621" s="38"/>
      <c r="V621" s="38"/>
      <c r="W621" s="38"/>
      <c r="X621" s="38"/>
      <c r="Y621" s="38"/>
      <c r="Z621" s="38"/>
      <c r="AA621" s="38"/>
      <c r="AB621" s="38"/>
      <c r="AC621" s="38"/>
      <c r="AD621" s="38"/>
      <c r="AE621" s="38"/>
      <c r="AF621" s="178"/>
      <c r="AG621" s="178"/>
      <c r="AH621" s="178"/>
      <c r="AI621" s="178"/>
      <c r="AJ621" s="38"/>
      <c r="AK621" s="38"/>
      <c r="AL621" s="38"/>
      <c r="AM621" s="38"/>
      <c r="AN621" s="38"/>
      <c r="AO621" s="179"/>
      <c r="AP621" s="180"/>
      <c r="AQ621" s="181"/>
      <c r="AR621" s="180"/>
      <c r="AS621" s="181"/>
      <c r="AT621" s="183"/>
      <c r="AU621" s="38"/>
      <c r="AV621" s="38"/>
      <c r="AW621" s="38"/>
      <c r="AX621" s="38"/>
      <c r="AY621" s="38"/>
      <c r="AZ621" s="38"/>
      <c r="BA621" s="38"/>
      <c r="BB621" s="38"/>
      <c r="BC621" s="38"/>
      <c r="BD621" s="38"/>
      <c r="BE621" s="38"/>
      <c r="BF621" s="1"/>
      <c r="BG621" s="1"/>
    </row>
    <row r="622" spans="1:59" ht="14.25" customHeight="1" x14ac:dyDescent="0.25">
      <c r="A622" s="1"/>
      <c r="B622" s="182"/>
      <c r="C622" s="38"/>
      <c r="D622" s="38"/>
      <c r="E622" s="38"/>
      <c r="F622" s="38"/>
      <c r="G622" s="38"/>
      <c r="H622" s="38"/>
      <c r="I622" s="38"/>
      <c r="J622" s="38"/>
      <c r="K622" s="38"/>
      <c r="L622" s="38"/>
      <c r="M622" s="38"/>
      <c r="N622" s="178"/>
      <c r="O622" s="38"/>
      <c r="P622" s="38"/>
      <c r="Q622" s="38"/>
      <c r="R622" s="38"/>
      <c r="S622" s="38"/>
      <c r="T622" s="38"/>
      <c r="U622" s="38"/>
      <c r="V622" s="38"/>
      <c r="W622" s="38"/>
      <c r="X622" s="38"/>
      <c r="Y622" s="38"/>
      <c r="Z622" s="38"/>
      <c r="AA622" s="38"/>
      <c r="AB622" s="38"/>
      <c r="AC622" s="38"/>
      <c r="AD622" s="38"/>
      <c r="AE622" s="38"/>
      <c r="AF622" s="178"/>
      <c r="AG622" s="178"/>
      <c r="AH622" s="178"/>
      <c r="AI622" s="178"/>
      <c r="AJ622" s="38"/>
      <c r="AK622" s="38"/>
      <c r="AL622" s="38"/>
      <c r="AM622" s="38"/>
      <c r="AN622" s="38"/>
      <c r="AO622" s="179"/>
      <c r="AP622" s="180"/>
      <c r="AQ622" s="181"/>
      <c r="AR622" s="180"/>
      <c r="AS622" s="181"/>
      <c r="AT622" s="183"/>
      <c r="AU622" s="38"/>
      <c r="AV622" s="38"/>
      <c r="AW622" s="38"/>
      <c r="AX622" s="38"/>
      <c r="AY622" s="38"/>
      <c r="AZ622" s="38"/>
      <c r="BA622" s="38"/>
      <c r="BB622" s="38"/>
      <c r="BC622" s="38"/>
      <c r="BD622" s="38"/>
      <c r="BE622" s="38"/>
      <c r="BF622" s="1"/>
      <c r="BG622" s="1"/>
    </row>
    <row r="623" spans="1:59" ht="14.25" customHeight="1" x14ac:dyDescent="0.25">
      <c r="A623" s="1"/>
      <c r="B623" s="182"/>
      <c r="C623" s="38"/>
      <c r="D623" s="38"/>
      <c r="E623" s="38"/>
      <c r="F623" s="38"/>
      <c r="G623" s="38"/>
      <c r="H623" s="38"/>
      <c r="I623" s="38"/>
      <c r="J623" s="38"/>
      <c r="K623" s="38"/>
      <c r="L623" s="38"/>
      <c r="M623" s="38"/>
      <c r="N623" s="178"/>
      <c r="O623" s="38"/>
      <c r="P623" s="38"/>
      <c r="Q623" s="38"/>
      <c r="R623" s="38"/>
      <c r="S623" s="38"/>
      <c r="T623" s="38"/>
      <c r="U623" s="38"/>
      <c r="V623" s="38"/>
      <c r="W623" s="38"/>
      <c r="X623" s="38"/>
      <c r="Y623" s="38"/>
      <c r="Z623" s="38"/>
      <c r="AA623" s="38"/>
      <c r="AB623" s="38"/>
      <c r="AC623" s="38"/>
      <c r="AD623" s="38"/>
      <c r="AE623" s="38"/>
      <c r="AF623" s="178"/>
      <c r="AG623" s="178"/>
      <c r="AH623" s="178"/>
      <c r="AI623" s="178"/>
      <c r="AJ623" s="38"/>
      <c r="AK623" s="38"/>
      <c r="AL623" s="38"/>
      <c r="AM623" s="38"/>
      <c r="AN623" s="38"/>
      <c r="AO623" s="179"/>
      <c r="AP623" s="180"/>
      <c r="AQ623" s="181"/>
      <c r="AR623" s="180"/>
      <c r="AS623" s="181"/>
      <c r="AT623" s="183"/>
      <c r="AU623" s="38"/>
      <c r="AV623" s="38"/>
      <c r="AW623" s="38"/>
      <c r="AX623" s="38"/>
      <c r="AY623" s="38"/>
      <c r="AZ623" s="38"/>
      <c r="BA623" s="38"/>
      <c r="BB623" s="38"/>
      <c r="BC623" s="38"/>
      <c r="BD623" s="38"/>
      <c r="BE623" s="38"/>
      <c r="BF623" s="1"/>
      <c r="BG623" s="1"/>
    </row>
    <row r="624" spans="1:59" ht="14.25" customHeight="1" x14ac:dyDescent="0.25">
      <c r="A624" s="1"/>
      <c r="B624" s="182"/>
      <c r="C624" s="38"/>
      <c r="D624" s="38"/>
      <c r="E624" s="38"/>
      <c r="F624" s="38"/>
      <c r="G624" s="38"/>
      <c r="H624" s="38"/>
      <c r="I624" s="38"/>
      <c r="J624" s="38"/>
      <c r="K624" s="38"/>
      <c r="L624" s="38"/>
      <c r="M624" s="38"/>
      <c r="N624" s="178"/>
      <c r="O624" s="38"/>
      <c r="P624" s="38"/>
      <c r="Q624" s="38"/>
      <c r="R624" s="38"/>
      <c r="S624" s="38"/>
      <c r="T624" s="38"/>
      <c r="U624" s="38"/>
      <c r="V624" s="38"/>
      <c r="W624" s="38"/>
      <c r="X624" s="38"/>
      <c r="Y624" s="38"/>
      <c r="Z624" s="38"/>
      <c r="AA624" s="38"/>
      <c r="AB624" s="38"/>
      <c r="AC624" s="38"/>
      <c r="AD624" s="38"/>
      <c r="AE624" s="38"/>
      <c r="AF624" s="178"/>
      <c r="AG624" s="178"/>
      <c r="AH624" s="178"/>
      <c r="AI624" s="178"/>
      <c r="AJ624" s="38"/>
      <c r="AK624" s="38"/>
      <c r="AL624" s="38"/>
      <c r="AM624" s="38"/>
      <c r="AN624" s="38"/>
      <c r="AO624" s="179"/>
      <c r="AP624" s="180"/>
      <c r="AQ624" s="181"/>
      <c r="AR624" s="180"/>
      <c r="AS624" s="181"/>
      <c r="AT624" s="183"/>
      <c r="AU624" s="38"/>
      <c r="AV624" s="38"/>
      <c r="AW624" s="38"/>
      <c r="AX624" s="38"/>
      <c r="AY624" s="38"/>
      <c r="AZ624" s="38"/>
      <c r="BA624" s="38"/>
      <c r="BB624" s="38"/>
      <c r="BC624" s="38"/>
      <c r="BD624" s="38"/>
      <c r="BE624" s="38"/>
      <c r="BF624" s="1"/>
      <c r="BG624" s="1"/>
    </row>
    <row r="625" spans="1:59" ht="14.25" customHeight="1" x14ac:dyDescent="0.25">
      <c r="A625" s="1"/>
      <c r="B625" s="182"/>
      <c r="C625" s="38"/>
      <c r="D625" s="38"/>
      <c r="E625" s="38"/>
      <c r="F625" s="38"/>
      <c r="G625" s="38"/>
      <c r="H625" s="38"/>
      <c r="I625" s="38"/>
      <c r="J625" s="38"/>
      <c r="K625" s="38"/>
      <c r="L625" s="38"/>
      <c r="M625" s="38"/>
      <c r="N625" s="178"/>
      <c r="O625" s="38"/>
      <c r="P625" s="38"/>
      <c r="Q625" s="38"/>
      <c r="R625" s="38"/>
      <c r="S625" s="38"/>
      <c r="T625" s="38"/>
      <c r="U625" s="38"/>
      <c r="V625" s="38"/>
      <c r="W625" s="38"/>
      <c r="X625" s="38"/>
      <c r="Y625" s="38"/>
      <c r="Z625" s="38"/>
      <c r="AA625" s="38"/>
      <c r="AB625" s="38"/>
      <c r="AC625" s="38"/>
      <c r="AD625" s="38"/>
      <c r="AE625" s="38"/>
      <c r="AF625" s="178"/>
      <c r="AG625" s="178"/>
      <c r="AH625" s="178"/>
      <c r="AI625" s="178"/>
      <c r="AJ625" s="38"/>
      <c r="AK625" s="38"/>
      <c r="AL625" s="38"/>
      <c r="AM625" s="38"/>
      <c r="AN625" s="38"/>
      <c r="AO625" s="179"/>
      <c r="AP625" s="180"/>
      <c r="AQ625" s="181"/>
      <c r="AR625" s="180"/>
      <c r="AS625" s="181"/>
      <c r="AT625" s="183"/>
      <c r="AU625" s="38"/>
      <c r="AV625" s="38"/>
      <c r="AW625" s="38"/>
      <c r="AX625" s="38"/>
      <c r="AY625" s="38"/>
      <c r="AZ625" s="38"/>
      <c r="BA625" s="38"/>
      <c r="BB625" s="38"/>
      <c r="BC625" s="38"/>
      <c r="BD625" s="38"/>
      <c r="BE625" s="38"/>
      <c r="BF625" s="1"/>
      <c r="BG625" s="1"/>
    </row>
    <row r="626" spans="1:59" ht="14.25" customHeight="1" x14ac:dyDescent="0.25">
      <c r="A626" s="1"/>
      <c r="B626" s="182"/>
      <c r="C626" s="38"/>
      <c r="D626" s="38"/>
      <c r="E626" s="38"/>
      <c r="F626" s="38"/>
      <c r="G626" s="38"/>
      <c r="H626" s="38"/>
      <c r="I626" s="38"/>
      <c r="J626" s="38"/>
      <c r="K626" s="38"/>
      <c r="L626" s="38"/>
      <c r="M626" s="38"/>
      <c r="N626" s="178"/>
      <c r="O626" s="38"/>
      <c r="P626" s="38"/>
      <c r="Q626" s="38"/>
      <c r="R626" s="38"/>
      <c r="S626" s="38"/>
      <c r="T626" s="38"/>
      <c r="U626" s="38"/>
      <c r="V626" s="38"/>
      <c r="W626" s="38"/>
      <c r="X626" s="38"/>
      <c r="Y626" s="38"/>
      <c r="Z626" s="38"/>
      <c r="AA626" s="38"/>
      <c r="AB626" s="38"/>
      <c r="AC626" s="38"/>
      <c r="AD626" s="38"/>
      <c r="AE626" s="38"/>
      <c r="AF626" s="178"/>
      <c r="AG626" s="178"/>
      <c r="AH626" s="178"/>
      <c r="AI626" s="178"/>
      <c r="AJ626" s="38"/>
      <c r="AK626" s="38"/>
      <c r="AL626" s="38"/>
      <c r="AM626" s="38"/>
      <c r="AN626" s="38"/>
      <c r="AO626" s="179"/>
      <c r="AP626" s="180"/>
      <c r="AQ626" s="181"/>
      <c r="AR626" s="180"/>
      <c r="AS626" s="181"/>
      <c r="AT626" s="183"/>
      <c r="AU626" s="38"/>
      <c r="AV626" s="38"/>
      <c r="AW626" s="38"/>
      <c r="AX626" s="38"/>
      <c r="AY626" s="38"/>
      <c r="AZ626" s="38"/>
      <c r="BA626" s="38"/>
      <c r="BB626" s="38"/>
      <c r="BC626" s="38"/>
      <c r="BD626" s="38"/>
      <c r="BE626" s="38"/>
      <c r="BF626" s="1"/>
      <c r="BG626" s="1"/>
    </row>
    <row r="627" spans="1:59" ht="14.25" customHeight="1" x14ac:dyDescent="0.25">
      <c r="A627" s="1"/>
      <c r="B627" s="182"/>
      <c r="C627" s="38"/>
      <c r="D627" s="38"/>
      <c r="E627" s="38"/>
      <c r="F627" s="38"/>
      <c r="G627" s="38"/>
      <c r="H627" s="38"/>
      <c r="I627" s="38"/>
      <c r="J627" s="38"/>
      <c r="K627" s="38"/>
      <c r="L627" s="38"/>
      <c r="M627" s="38"/>
      <c r="N627" s="178"/>
      <c r="O627" s="38"/>
      <c r="P627" s="38"/>
      <c r="Q627" s="38"/>
      <c r="R627" s="38"/>
      <c r="S627" s="38"/>
      <c r="T627" s="38"/>
      <c r="U627" s="38"/>
      <c r="V627" s="38"/>
      <c r="W627" s="38"/>
      <c r="X627" s="38"/>
      <c r="Y627" s="38"/>
      <c r="Z627" s="38"/>
      <c r="AA627" s="38"/>
      <c r="AB627" s="38"/>
      <c r="AC627" s="38"/>
      <c r="AD627" s="38"/>
      <c r="AE627" s="38"/>
      <c r="AF627" s="178"/>
      <c r="AG627" s="178"/>
      <c r="AH627" s="178"/>
      <c r="AI627" s="178"/>
      <c r="AJ627" s="38"/>
      <c r="AK627" s="38"/>
      <c r="AL627" s="38"/>
      <c r="AM627" s="38"/>
      <c r="AN627" s="38"/>
      <c r="AO627" s="179"/>
      <c r="AP627" s="180"/>
      <c r="AQ627" s="181"/>
      <c r="AR627" s="180"/>
      <c r="AS627" s="181"/>
      <c r="AT627" s="183"/>
      <c r="AU627" s="38"/>
      <c r="AV627" s="38"/>
      <c r="AW627" s="38"/>
      <c r="AX627" s="38"/>
      <c r="AY627" s="38"/>
      <c r="AZ627" s="38"/>
      <c r="BA627" s="38"/>
      <c r="BB627" s="38"/>
      <c r="BC627" s="38"/>
      <c r="BD627" s="38"/>
      <c r="BE627" s="38"/>
      <c r="BF627" s="1"/>
      <c r="BG627" s="1"/>
    </row>
    <row r="628" spans="1:59" ht="14.25" customHeight="1" x14ac:dyDescent="0.25">
      <c r="A628" s="1"/>
      <c r="B628" s="182"/>
      <c r="C628" s="38"/>
      <c r="D628" s="38"/>
      <c r="E628" s="38"/>
      <c r="F628" s="38"/>
      <c r="G628" s="38"/>
      <c r="H628" s="38"/>
      <c r="I628" s="38"/>
      <c r="J628" s="38"/>
      <c r="K628" s="38"/>
      <c r="L628" s="38"/>
      <c r="M628" s="38"/>
      <c r="N628" s="178"/>
      <c r="O628" s="38"/>
      <c r="P628" s="38"/>
      <c r="Q628" s="38"/>
      <c r="R628" s="38"/>
      <c r="S628" s="38"/>
      <c r="T628" s="38"/>
      <c r="U628" s="38"/>
      <c r="V628" s="38"/>
      <c r="W628" s="38"/>
      <c r="X628" s="38"/>
      <c r="Y628" s="38"/>
      <c r="Z628" s="38"/>
      <c r="AA628" s="38"/>
      <c r="AB628" s="38"/>
      <c r="AC628" s="38"/>
      <c r="AD628" s="38"/>
      <c r="AE628" s="38"/>
      <c r="AF628" s="178"/>
      <c r="AG628" s="178"/>
      <c r="AH628" s="178"/>
      <c r="AI628" s="178"/>
      <c r="AJ628" s="38"/>
      <c r="AK628" s="38"/>
      <c r="AL628" s="38"/>
      <c r="AM628" s="38"/>
      <c r="AN628" s="38"/>
      <c r="AO628" s="179"/>
      <c r="AP628" s="180"/>
      <c r="AQ628" s="181"/>
      <c r="AR628" s="180"/>
      <c r="AS628" s="181"/>
      <c r="AT628" s="183"/>
      <c r="AU628" s="38"/>
      <c r="AV628" s="38"/>
      <c r="AW628" s="38"/>
      <c r="AX628" s="38"/>
      <c r="AY628" s="38"/>
      <c r="AZ628" s="38"/>
      <c r="BA628" s="38"/>
      <c r="BB628" s="38"/>
      <c r="BC628" s="38"/>
      <c r="BD628" s="38"/>
      <c r="BE628" s="38"/>
      <c r="BF628" s="1"/>
      <c r="BG628" s="1"/>
    </row>
    <row r="629" spans="1:59" ht="14.25" customHeight="1" x14ac:dyDescent="0.25">
      <c r="A629" s="1"/>
      <c r="B629" s="182"/>
      <c r="C629" s="38"/>
      <c r="D629" s="38"/>
      <c r="E629" s="38"/>
      <c r="F629" s="38"/>
      <c r="G629" s="38"/>
      <c r="H629" s="38"/>
      <c r="I629" s="38"/>
      <c r="J629" s="38"/>
      <c r="K629" s="38"/>
      <c r="L629" s="38"/>
      <c r="M629" s="38"/>
      <c r="N629" s="178"/>
      <c r="O629" s="38"/>
      <c r="P629" s="38"/>
      <c r="Q629" s="38"/>
      <c r="R629" s="38"/>
      <c r="S629" s="38"/>
      <c r="T629" s="38"/>
      <c r="U629" s="38"/>
      <c r="V629" s="38"/>
      <c r="W629" s="38"/>
      <c r="X629" s="38"/>
      <c r="Y629" s="38"/>
      <c r="Z629" s="38"/>
      <c r="AA629" s="38"/>
      <c r="AB629" s="38"/>
      <c r="AC629" s="38"/>
      <c r="AD629" s="38"/>
      <c r="AE629" s="38"/>
      <c r="AF629" s="178"/>
      <c r="AG629" s="178"/>
      <c r="AH629" s="178"/>
      <c r="AI629" s="178"/>
      <c r="AJ629" s="38"/>
      <c r="AK629" s="38"/>
      <c r="AL629" s="38"/>
      <c r="AM629" s="38"/>
      <c r="AN629" s="38"/>
      <c r="AO629" s="179"/>
      <c r="AP629" s="180"/>
      <c r="AQ629" s="181"/>
      <c r="AR629" s="180"/>
      <c r="AS629" s="181"/>
      <c r="AT629" s="183"/>
      <c r="AU629" s="38"/>
      <c r="AV629" s="38"/>
      <c r="AW629" s="38"/>
      <c r="AX629" s="38"/>
      <c r="AY629" s="38"/>
      <c r="AZ629" s="38"/>
      <c r="BA629" s="38"/>
      <c r="BB629" s="38"/>
      <c r="BC629" s="38"/>
      <c r="BD629" s="38"/>
      <c r="BE629" s="38"/>
      <c r="BF629" s="1"/>
      <c r="BG629" s="1"/>
    </row>
    <row r="630" spans="1:59" ht="14.25" customHeight="1" x14ac:dyDescent="0.25">
      <c r="A630" s="1"/>
      <c r="B630" s="182"/>
      <c r="C630" s="38"/>
      <c r="D630" s="38"/>
      <c r="E630" s="38"/>
      <c r="F630" s="38"/>
      <c r="G630" s="38"/>
      <c r="H630" s="38"/>
      <c r="I630" s="38"/>
      <c r="J630" s="38"/>
      <c r="K630" s="38"/>
      <c r="L630" s="38"/>
      <c r="M630" s="38"/>
      <c r="N630" s="178"/>
      <c r="O630" s="38"/>
      <c r="P630" s="38"/>
      <c r="Q630" s="38"/>
      <c r="R630" s="38"/>
      <c r="S630" s="38"/>
      <c r="T630" s="38"/>
      <c r="U630" s="38"/>
      <c r="V630" s="38"/>
      <c r="W630" s="38"/>
      <c r="X630" s="38"/>
      <c r="Y630" s="38"/>
      <c r="Z630" s="38"/>
      <c r="AA630" s="38"/>
      <c r="AB630" s="38"/>
      <c r="AC630" s="38"/>
      <c r="AD630" s="38"/>
      <c r="AE630" s="38"/>
      <c r="AF630" s="178"/>
      <c r="AG630" s="178"/>
      <c r="AH630" s="178"/>
      <c r="AI630" s="178"/>
      <c r="AJ630" s="38"/>
      <c r="AK630" s="38"/>
      <c r="AL630" s="38"/>
      <c r="AM630" s="38"/>
      <c r="AN630" s="38"/>
      <c r="AO630" s="179"/>
      <c r="AP630" s="180"/>
      <c r="AQ630" s="181"/>
      <c r="AR630" s="180"/>
      <c r="AS630" s="181"/>
      <c r="AT630" s="183"/>
      <c r="AU630" s="38"/>
      <c r="AV630" s="38"/>
      <c r="AW630" s="38"/>
      <c r="AX630" s="38"/>
      <c r="AY630" s="38"/>
      <c r="AZ630" s="38"/>
      <c r="BA630" s="38"/>
      <c r="BB630" s="38"/>
      <c r="BC630" s="38"/>
      <c r="BD630" s="38"/>
      <c r="BE630" s="38"/>
      <c r="BF630" s="1"/>
      <c r="BG630" s="1"/>
    </row>
    <row r="631" spans="1:59" ht="14.25" customHeight="1" x14ac:dyDescent="0.25">
      <c r="A631" s="1"/>
      <c r="B631" s="182"/>
      <c r="C631" s="38"/>
      <c r="D631" s="38"/>
      <c r="E631" s="38"/>
      <c r="F631" s="38"/>
      <c r="G631" s="38"/>
      <c r="H631" s="38"/>
      <c r="I631" s="38"/>
      <c r="J631" s="38"/>
      <c r="K631" s="38"/>
      <c r="L631" s="38"/>
      <c r="M631" s="38"/>
      <c r="N631" s="178"/>
      <c r="O631" s="38"/>
      <c r="P631" s="38"/>
      <c r="Q631" s="38"/>
      <c r="R631" s="38"/>
      <c r="S631" s="38"/>
      <c r="T631" s="38"/>
      <c r="U631" s="38"/>
      <c r="V631" s="38"/>
      <c r="W631" s="38"/>
      <c r="X631" s="38"/>
      <c r="Y631" s="38"/>
      <c r="Z631" s="38"/>
      <c r="AA631" s="38"/>
      <c r="AB631" s="38"/>
      <c r="AC631" s="38"/>
      <c r="AD631" s="38"/>
      <c r="AE631" s="38"/>
      <c r="AF631" s="178"/>
      <c r="AG631" s="178"/>
      <c r="AH631" s="178"/>
      <c r="AI631" s="178"/>
      <c r="AJ631" s="38"/>
      <c r="AK631" s="38"/>
      <c r="AL631" s="38"/>
      <c r="AM631" s="38"/>
      <c r="AN631" s="38"/>
      <c r="AO631" s="179"/>
      <c r="AP631" s="180"/>
      <c r="AQ631" s="181"/>
      <c r="AR631" s="180"/>
      <c r="AS631" s="181"/>
      <c r="AT631" s="183"/>
      <c r="AU631" s="38"/>
      <c r="AV631" s="38"/>
      <c r="AW631" s="38"/>
      <c r="AX631" s="38"/>
      <c r="AY631" s="38"/>
      <c r="AZ631" s="38"/>
      <c r="BA631" s="38"/>
      <c r="BB631" s="38"/>
      <c r="BC631" s="38"/>
      <c r="BD631" s="38"/>
      <c r="BE631" s="38"/>
      <c r="BF631" s="1"/>
      <c r="BG631" s="1"/>
    </row>
    <row r="632" spans="1:59" ht="14.25" customHeight="1" x14ac:dyDescent="0.25">
      <c r="A632" s="1"/>
      <c r="B632" s="182"/>
      <c r="C632" s="38"/>
      <c r="D632" s="38"/>
      <c r="E632" s="38"/>
      <c r="F632" s="38"/>
      <c r="G632" s="38"/>
      <c r="H632" s="38"/>
      <c r="I632" s="38"/>
      <c r="J632" s="38"/>
      <c r="K632" s="38"/>
      <c r="L632" s="38"/>
      <c r="M632" s="38"/>
      <c r="N632" s="178"/>
      <c r="O632" s="38"/>
      <c r="P632" s="38"/>
      <c r="Q632" s="38"/>
      <c r="R632" s="38"/>
      <c r="S632" s="38"/>
      <c r="T632" s="38"/>
      <c r="U632" s="38"/>
      <c r="V632" s="38"/>
      <c r="W632" s="38"/>
      <c r="X632" s="38"/>
      <c r="Y632" s="38"/>
      <c r="Z632" s="38"/>
      <c r="AA632" s="38"/>
      <c r="AB632" s="38"/>
      <c r="AC632" s="38"/>
      <c r="AD632" s="38"/>
      <c r="AE632" s="38"/>
      <c r="AF632" s="178"/>
      <c r="AG632" s="178"/>
      <c r="AH632" s="178"/>
      <c r="AI632" s="178"/>
      <c r="AJ632" s="38"/>
      <c r="AK632" s="38"/>
      <c r="AL632" s="38"/>
      <c r="AM632" s="38"/>
      <c r="AN632" s="38"/>
      <c r="AO632" s="179"/>
      <c r="AP632" s="180"/>
      <c r="AQ632" s="181"/>
      <c r="AR632" s="180"/>
      <c r="AS632" s="181"/>
      <c r="AT632" s="183"/>
      <c r="AU632" s="38"/>
      <c r="AV632" s="38"/>
      <c r="AW632" s="38"/>
      <c r="AX632" s="38"/>
      <c r="AY632" s="38"/>
      <c r="AZ632" s="38"/>
      <c r="BA632" s="38"/>
      <c r="BB632" s="38"/>
      <c r="BC632" s="38"/>
      <c r="BD632" s="38"/>
      <c r="BE632" s="38"/>
      <c r="BF632" s="1"/>
      <c r="BG632" s="1"/>
    </row>
    <row r="633" spans="1:59" ht="14.25" customHeight="1" x14ac:dyDescent="0.25">
      <c r="A633" s="1"/>
      <c r="B633" s="182"/>
      <c r="C633" s="38"/>
      <c r="D633" s="38"/>
      <c r="E633" s="38"/>
      <c r="F633" s="38"/>
      <c r="G633" s="38"/>
      <c r="H633" s="38"/>
      <c r="I633" s="38"/>
      <c r="J633" s="38"/>
      <c r="K633" s="38"/>
      <c r="L633" s="38"/>
      <c r="M633" s="38"/>
      <c r="N633" s="178"/>
      <c r="O633" s="38"/>
      <c r="P633" s="38"/>
      <c r="Q633" s="38"/>
      <c r="R633" s="38"/>
      <c r="S633" s="38"/>
      <c r="T633" s="38"/>
      <c r="U633" s="38"/>
      <c r="V633" s="38"/>
      <c r="W633" s="38"/>
      <c r="X633" s="38"/>
      <c r="Y633" s="38"/>
      <c r="Z633" s="38"/>
      <c r="AA633" s="38"/>
      <c r="AB633" s="38"/>
      <c r="AC633" s="38"/>
      <c r="AD633" s="38"/>
      <c r="AE633" s="38"/>
      <c r="AF633" s="178"/>
      <c r="AG633" s="178"/>
      <c r="AH633" s="178"/>
      <c r="AI633" s="178"/>
      <c r="AJ633" s="38"/>
      <c r="AK633" s="38"/>
      <c r="AL633" s="38"/>
      <c r="AM633" s="38"/>
      <c r="AN633" s="38"/>
      <c r="AO633" s="179"/>
      <c r="AP633" s="180"/>
      <c r="AQ633" s="181"/>
      <c r="AR633" s="180"/>
      <c r="AS633" s="181"/>
      <c r="AT633" s="183"/>
      <c r="AU633" s="38"/>
      <c r="AV633" s="38"/>
      <c r="AW633" s="38"/>
      <c r="AX633" s="38"/>
      <c r="AY633" s="38"/>
      <c r="AZ633" s="38"/>
      <c r="BA633" s="38"/>
      <c r="BB633" s="38"/>
      <c r="BC633" s="38"/>
      <c r="BD633" s="38"/>
      <c r="BE633" s="38"/>
      <c r="BF633" s="1"/>
      <c r="BG633" s="1"/>
    </row>
    <row r="634" spans="1:59" ht="14.25" customHeight="1" x14ac:dyDescent="0.25">
      <c r="A634" s="1"/>
      <c r="B634" s="182"/>
      <c r="C634" s="38"/>
      <c r="D634" s="38"/>
      <c r="E634" s="38"/>
      <c r="F634" s="38"/>
      <c r="G634" s="38"/>
      <c r="H634" s="38"/>
      <c r="I634" s="38"/>
      <c r="J634" s="38"/>
      <c r="K634" s="38"/>
      <c r="L634" s="38"/>
      <c r="M634" s="38"/>
      <c r="N634" s="178"/>
      <c r="O634" s="38"/>
      <c r="P634" s="38"/>
      <c r="Q634" s="38"/>
      <c r="R634" s="38"/>
      <c r="S634" s="38"/>
      <c r="T634" s="38"/>
      <c r="U634" s="38"/>
      <c r="V634" s="38"/>
      <c r="W634" s="38"/>
      <c r="X634" s="38"/>
      <c r="Y634" s="38"/>
      <c r="Z634" s="38"/>
      <c r="AA634" s="38"/>
      <c r="AB634" s="38"/>
      <c r="AC634" s="38"/>
      <c r="AD634" s="38"/>
      <c r="AE634" s="38"/>
      <c r="AF634" s="178"/>
      <c r="AG634" s="178"/>
      <c r="AH634" s="178"/>
      <c r="AI634" s="178"/>
      <c r="AJ634" s="38"/>
      <c r="AK634" s="38"/>
      <c r="AL634" s="38"/>
      <c r="AM634" s="38"/>
      <c r="AN634" s="38"/>
      <c r="AO634" s="179"/>
      <c r="AP634" s="180"/>
      <c r="AQ634" s="181"/>
      <c r="AR634" s="180"/>
      <c r="AS634" s="181"/>
      <c r="AT634" s="183"/>
      <c r="AU634" s="38"/>
      <c r="AV634" s="38"/>
      <c r="AW634" s="38"/>
      <c r="AX634" s="38"/>
      <c r="AY634" s="38"/>
      <c r="AZ634" s="38"/>
      <c r="BA634" s="38"/>
      <c r="BB634" s="38"/>
      <c r="BC634" s="38"/>
      <c r="BD634" s="38"/>
      <c r="BE634" s="38"/>
      <c r="BF634" s="1"/>
      <c r="BG634" s="1"/>
    </row>
    <row r="635" spans="1:59" ht="14.25" customHeight="1" x14ac:dyDescent="0.25">
      <c r="A635" s="1"/>
      <c r="B635" s="182"/>
      <c r="C635" s="38"/>
      <c r="D635" s="38"/>
      <c r="E635" s="38"/>
      <c r="F635" s="38"/>
      <c r="G635" s="38"/>
      <c r="H635" s="38"/>
      <c r="I635" s="38"/>
      <c r="J635" s="38"/>
      <c r="K635" s="38"/>
      <c r="L635" s="38"/>
      <c r="M635" s="38"/>
      <c r="N635" s="178"/>
      <c r="O635" s="38"/>
      <c r="P635" s="38"/>
      <c r="Q635" s="38"/>
      <c r="R635" s="38"/>
      <c r="S635" s="38"/>
      <c r="T635" s="38"/>
      <c r="U635" s="38"/>
      <c r="V635" s="38"/>
      <c r="W635" s="38"/>
      <c r="X635" s="38"/>
      <c r="Y635" s="38"/>
      <c r="Z635" s="38"/>
      <c r="AA635" s="38"/>
      <c r="AB635" s="38"/>
      <c r="AC635" s="38"/>
      <c r="AD635" s="38"/>
      <c r="AE635" s="38"/>
      <c r="AF635" s="178"/>
      <c r="AG635" s="178"/>
      <c r="AH635" s="178"/>
      <c r="AI635" s="178"/>
      <c r="AJ635" s="38"/>
      <c r="AK635" s="38"/>
      <c r="AL635" s="38"/>
      <c r="AM635" s="38"/>
      <c r="AN635" s="38"/>
      <c r="AO635" s="179"/>
      <c r="AP635" s="180"/>
      <c r="AQ635" s="181"/>
      <c r="AR635" s="180"/>
      <c r="AS635" s="181"/>
      <c r="AT635" s="183"/>
      <c r="AU635" s="38"/>
      <c r="AV635" s="38"/>
      <c r="AW635" s="38"/>
      <c r="AX635" s="38"/>
      <c r="AY635" s="38"/>
      <c r="AZ635" s="38"/>
      <c r="BA635" s="38"/>
      <c r="BB635" s="38"/>
      <c r="BC635" s="38"/>
      <c r="BD635" s="38"/>
      <c r="BE635" s="38"/>
      <c r="BF635" s="1"/>
      <c r="BG635" s="1"/>
    </row>
    <row r="636" spans="1:59" ht="14.25" customHeight="1" x14ac:dyDescent="0.25">
      <c r="A636" s="1"/>
      <c r="B636" s="182"/>
      <c r="C636" s="38"/>
      <c r="D636" s="38"/>
      <c r="E636" s="38"/>
      <c r="F636" s="38"/>
      <c r="G636" s="38"/>
      <c r="H636" s="38"/>
      <c r="I636" s="38"/>
      <c r="J636" s="38"/>
      <c r="K636" s="38"/>
      <c r="L636" s="38"/>
      <c r="M636" s="38"/>
      <c r="N636" s="178"/>
      <c r="O636" s="38"/>
      <c r="P636" s="38"/>
      <c r="Q636" s="38"/>
      <c r="R636" s="38"/>
      <c r="S636" s="38"/>
      <c r="T636" s="38"/>
      <c r="U636" s="38"/>
      <c r="V636" s="38"/>
      <c r="W636" s="38"/>
      <c r="X636" s="38"/>
      <c r="Y636" s="38"/>
      <c r="Z636" s="38"/>
      <c r="AA636" s="38"/>
      <c r="AB636" s="38"/>
      <c r="AC636" s="38"/>
      <c r="AD636" s="38"/>
      <c r="AE636" s="38"/>
      <c r="AF636" s="178"/>
      <c r="AG636" s="178"/>
      <c r="AH636" s="178"/>
      <c r="AI636" s="178"/>
      <c r="AJ636" s="38"/>
      <c r="AK636" s="38"/>
      <c r="AL636" s="38"/>
      <c r="AM636" s="38"/>
      <c r="AN636" s="38"/>
      <c r="AO636" s="179"/>
      <c r="AP636" s="180"/>
      <c r="AQ636" s="181"/>
      <c r="AR636" s="180"/>
      <c r="AS636" s="181"/>
      <c r="AT636" s="183"/>
      <c r="AU636" s="38"/>
      <c r="AV636" s="38"/>
      <c r="AW636" s="38"/>
      <c r="AX636" s="38"/>
      <c r="AY636" s="38"/>
      <c r="AZ636" s="38"/>
      <c r="BA636" s="38"/>
      <c r="BB636" s="38"/>
      <c r="BC636" s="38"/>
      <c r="BD636" s="38"/>
      <c r="BE636" s="38"/>
      <c r="BF636" s="1"/>
      <c r="BG636" s="1"/>
    </row>
    <row r="637" spans="1:59" ht="14.25" customHeight="1" x14ac:dyDescent="0.25">
      <c r="A637" s="1"/>
      <c r="B637" s="182"/>
      <c r="C637" s="38"/>
      <c r="D637" s="38"/>
      <c r="E637" s="38"/>
      <c r="F637" s="38"/>
      <c r="G637" s="38"/>
      <c r="H637" s="38"/>
      <c r="I637" s="38"/>
      <c r="J637" s="38"/>
      <c r="K637" s="38"/>
      <c r="L637" s="38"/>
      <c r="M637" s="38"/>
      <c r="N637" s="178"/>
      <c r="O637" s="38"/>
      <c r="P637" s="38"/>
      <c r="Q637" s="38"/>
      <c r="R637" s="38"/>
      <c r="S637" s="38"/>
      <c r="T637" s="38"/>
      <c r="U637" s="38"/>
      <c r="V637" s="38"/>
      <c r="W637" s="38"/>
      <c r="X637" s="38"/>
      <c r="Y637" s="38"/>
      <c r="Z637" s="38"/>
      <c r="AA637" s="38"/>
      <c r="AB637" s="38"/>
      <c r="AC637" s="38"/>
      <c r="AD637" s="38"/>
      <c r="AE637" s="38"/>
      <c r="AF637" s="178"/>
      <c r="AG637" s="178"/>
      <c r="AH637" s="178"/>
      <c r="AI637" s="178"/>
      <c r="AJ637" s="38"/>
      <c r="AK637" s="38"/>
      <c r="AL637" s="38"/>
      <c r="AM637" s="38"/>
      <c r="AN637" s="38"/>
      <c r="AO637" s="179"/>
      <c r="AP637" s="180"/>
      <c r="AQ637" s="181"/>
      <c r="AR637" s="180"/>
      <c r="AS637" s="181"/>
      <c r="AT637" s="183"/>
      <c r="AU637" s="38"/>
      <c r="AV637" s="38"/>
      <c r="AW637" s="38"/>
      <c r="AX637" s="38"/>
      <c r="AY637" s="38"/>
      <c r="AZ637" s="38"/>
      <c r="BA637" s="38"/>
      <c r="BB637" s="38"/>
      <c r="BC637" s="38"/>
      <c r="BD637" s="38"/>
      <c r="BE637" s="38"/>
      <c r="BF637" s="1"/>
      <c r="BG637" s="1"/>
    </row>
    <row r="638" spans="1:59" ht="14.25" customHeight="1" x14ac:dyDescent="0.25">
      <c r="A638" s="1"/>
      <c r="B638" s="182"/>
      <c r="C638" s="38"/>
      <c r="D638" s="38"/>
      <c r="E638" s="38"/>
      <c r="F638" s="38"/>
      <c r="G638" s="38"/>
      <c r="H638" s="38"/>
      <c r="I638" s="38"/>
      <c r="J638" s="38"/>
      <c r="K638" s="38"/>
      <c r="L638" s="38"/>
      <c r="M638" s="38"/>
      <c r="N638" s="178"/>
      <c r="O638" s="38"/>
      <c r="P638" s="38"/>
      <c r="Q638" s="38"/>
      <c r="R638" s="38"/>
      <c r="S638" s="38"/>
      <c r="T638" s="38"/>
      <c r="U638" s="38"/>
      <c r="V638" s="38"/>
      <c r="W638" s="38"/>
      <c r="X638" s="38"/>
      <c r="Y638" s="38"/>
      <c r="Z638" s="38"/>
      <c r="AA638" s="38"/>
      <c r="AB638" s="38"/>
      <c r="AC638" s="38"/>
      <c r="AD638" s="38"/>
      <c r="AE638" s="38"/>
      <c r="AF638" s="178"/>
      <c r="AG638" s="178"/>
      <c r="AH638" s="178"/>
      <c r="AI638" s="178"/>
      <c r="AJ638" s="38"/>
      <c r="AK638" s="38"/>
      <c r="AL638" s="38"/>
      <c r="AM638" s="38"/>
      <c r="AN638" s="38"/>
      <c r="AO638" s="179"/>
      <c r="AP638" s="180"/>
      <c r="AQ638" s="181"/>
      <c r="AR638" s="180"/>
      <c r="AS638" s="181"/>
      <c r="AT638" s="183"/>
      <c r="AU638" s="38"/>
      <c r="AV638" s="38"/>
      <c r="AW638" s="38"/>
      <c r="AX638" s="38"/>
      <c r="AY638" s="38"/>
      <c r="AZ638" s="38"/>
      <c r="BA638" s="38"/>
      <c r="BB638" s="38"/>
      <c r="BC638" s="38"/>
      <c r="BD638" s="38"/>
      <c r="BE638" s="38"/>
      <c r="BF638" s="1"/>
      <c r="BG638" s="1"/>
    </row>
    <row r="639" spans="1:59" ht="14.25" customHeight="1" x14ac:dyDescent="0.25">
      <c r="A639" s="1"/>
      <c r="B639" s="182"/>
      <c r="C639" s="38"/>
      <c r="D639" s="38"/>
      <c r="E639" s="38"/>
      <c r="F639" s="38"/>
      <c r="G639" s="38"/>
      <c r="H639" s="38"/>
      <c r="I639" s="38"/>
      <c r="J639" s="38"/>
      <c r="K639" s="38"/>
      <c r="L639" s="38"/>
      <c r="M639" s="38"/>
      <c r="N639" s="178"/>
      <c r="O639" s="38"/>
      <c r="P639" s="38"/>
      <c r="Q639" s="38"/>
      <c r="R639" s="38"/>
      <c r="S639" s="38"/>
      <c r="T639" s="38"/>
      <c r="U639" s="38"/>
      <c r="V639" s="38"/>
      <c r="W639" s="38"/>
      <c r="X639" s="38"/>
      <c r="Y639" s="38"/>
      <c r="Z639" s="38"/>
      <c r="AA639" s="38"/>
      <c r="AB639" s="38"/>
      <c r="AC639" s="38"/>
      <c r="AD639" s="38"/>
      <c r="AE639" s="38"/>
      <c r="AF639" s="178"/>
      <c r="AG639" s="178"/>
      <c r="AH639" s="178"/>
      <c r="AI639" s="178"/>
      <c r="AJ639" s="38"/>
      <c r="AK639" s="38"/>
      <c r="AL639" s="38"/>
      <c r="AM639" s="38"/>
      <c r="AN639" s="38"/>
      <c r="AO639" s="179"/>
      <c r="AP639" s="180"/>
      <c r="AQ639" s="181"/>
      <c r="AR639" s="180"/>
      <c r="AS639" s="181"/>
      <c r="AT639" s="183"/>
      <c r="AU639" s="38"/>
      <c r="AV639" s="38"/>
      <c r="AW639" s="38"/>
      <c r="AX639" s="38"/>
      <c r="AY639" s="38"/>
      <c r="AZ639" s="38"/>
      <c r="BA639" s="38"/>
      <c r="BB639" s="38"/>
      <c r="BC639" s="38"/>
      <c r="BD639" s="38"/>
      <c r="BE639" s="38"/>
      <c r="BF639" s="1"/>
      <c r="BG639" s="1"/>
    </row>
    <row r="640" spans="1:59" ht="14.25" customHeight="1" x14ac:dyDescent="0.25">
      <c r="A640" s="1"/>
      <c r="B640" s="182"/>
      <c r="C640" s="38"/>
      <c r="D640" s="38"/>
      <c r="E640" s="38"/>
      <c r="F640" s="38"/>
      <c r="G640" s="38"/>
      <c r="H640" s="38"/>
      <c r="I640" s="38"/>
      <c r="J640" s="38"/>
      <c r="K640" s="38"/>
      <c r="L640" s="38"/>
      <c r="M640" s="38"/>
      <c r="N640" s="178"/>
      <c r="O640" s="38"/>
      <c r="P640" s="38"/>
      <c r="Q640" s="38"/>
      <c r="R640" s="38"/>
      <c r="S640" s="38"/>
      <c r="T640" s="38"/>
      <c r="U640" s="38"/>
      <c r="V640" s="38"/>
      <c r="W640" s="38"/>
      <c r="X640" s="38"/>
      <c r="Y640" s="38"/>
      <c r="Z640" s="38"/>
      <c r="AA640" s="38"/>
      <c r="AB640" s="38"/>
      <c r="AC640" s="38"/>
      <c r="AD640" s="38"/>
      <c r="AE640" s="38"/>
      <c r="AF640" s="178"/>
      <c r="AG640" s="178"/>
      <c r="AH640" s="178"/>
      <c r="AI640" s="178"/>
      <c r="AJ640" s="38"/>
      <c r="AK640" s="38"/>
      <c r="AL640" s="38"/>
      <c r="AM640" s="38"/>
      <c r="AN640" s="38"/>
      <c r="AO640" s="179"/>
      <c r="AP640" s="180"/>
      <c r="AQ640" s="181"/>
      <c r="AR640" s="180"/>
      <c r="AS640" s="181"/>
      <c r="AT640" s="183"/>
      <c r="AU640" s="38"/>
      <c r="AV640" s="38"/>
      <c r="AW640" s="38"/>
      <c r="AX640" s="38"/>
      <c r="AY640" s="38"/>
      <c r="AZ640" s="38"/>
      <c r="BA640" s="38"/>
      <c r="BB640" s="38"/>
      <c r="BC640" s="38"/>
      <c r="BD640" s="38"/>
      <c r="BE640" s="38"/>
      <c r="BF640" s="1"/>
      <c r="BG640" s="1"/>
    </row>
    <row r="641" spans="1:59" ht="14.25" customHeight="1" x14ac:dyDescent="0.25">
      <c r="A641" s="1"/>
      <c r="B641" s="182"/>
      <c r="C641" s="38"/>
      <c r="D641" s="38"/>
      <c r="E641" s="38"/>
      <c r="F641" s="38"/>
      <c r="G641" s="38"/>
      <c r="H641" s="38"/>
      <c r="I641" s="38"/>
      <c r="J641" s="38"/>
      <c r="K641" s="38"/>
      <c r="L641" s="38"/>
      <c r="M641" s="38"/>
      <c r="N641" s="178"/>
      <c r="O641" s="38"/>
      <c r="P641" s="38"/>
      <c r="Q641" s="38"/>
      <c r="R641" s="38"/>
      <c r="S641" s="38"/>
      <c r="T641" s="38"/>
      <c r="U641" s="38"/>
      <c r="V641" s="38"/>
      <c r="W641" s="38"/>
      <c r="X641" s="38"/>
      <c r="Y641" s="38"/>
      <c r="Z641" s="38"/>
      <c r="AA641" s="38"/>
      <c r="AB641" s="38"/>
      <c r="AC641" s="38"/>
      <c r="AD641" s="38"/>
      <c r="AE641" s="38"/>
      <c r="AF641" s="178"/>
      <c r="AG641" s="178"/>
      <c r="AH641" s="178"/>
      <c r="AI641" s="178"/>
      <c r="AJ641" s="38"/>
      <c r="AK641" s="38"/>
      <c r="AL641" s="38"/>
      <c r="AM641" s="38"/>
      <c r="AN641" s="38"/>
      <c r="AO641" s="179"/>
      <c r="AP641" s="180"/>
      <c r="AQ641" s="181"/>
      <c r="AR641" s="180"/>
      <c r="AS641" s="181"/>
      <c r="AT641" s="183"/>
      <c r="AU641" s="38"/>
      <c r="AV641" s="38"/>
      <c r="AW641" s="38"/>
      <c r="AX641" s="38"/>
      <c r="AY641" s="38"/>
      <c r="AZ641" s="38"/>
      <c r="BA641" s="38"/>
      <c r="BB641" s="38"/>
      <c r="BC641" s="38"/>
      <c r="BD641" s="38"/>
      <c r="BE641" s="38"/>
      <c r="BF641" s="1"/>
      <c r="BG641" s="1"/>
    </row>
    <row r="642" spans="1:59" ht="14.25" customHeight="1" x14ac:dyDescent="0.25">
      <c r="A642" s="1"/>
      <c r="B642" s="182"/>
      <c r="C642" s="38"/>
      <c r="D642" s="38"/>
      <c r="E642" s="38"/>
      <c r="F642" s="38"/>
      <c r="G642" s="38"/>
      <c r="H642" s="38"/>
      <c r="I642" s="38"/>
      <c r="J642" s="38"/>
      <c r="K642" s="38"/>
      <c r="L642" s="38"/>
      <c r="M642" s="38"/>
      <c r="N642" s="178"/>
      <c r="O642" s="38"/>
      <c r="P642" s="38"/>
      <c r="Q642" s="38"/>
      <c r="R642" s="38"/>
      <c r="S642" s="38"/>
      <c r="T642" s="38"/>
      <c r="U642" s="38"/>
      <c r="V642" s="38"/>
      <c r="W642" s="38"/>
      <c r="X642" s="38"/>
      <c r="Y642" s="38"/>
      <c r="Z642" s="38"/>
      <c r="AA642" s="38"/>
      <c r="AB642" s="38"/>
      <c r="AC642" s="38"/>
      <c r="AD642" s="38"/>
      <c r="AE642" s="38"/>
      <c r="AF642" s="178"/>
      <c r="AG642" s="178"/>
      <c r="AH642" s="178"/>
      <c r="AI642" s="178"/>
      <c r="AJ642" s="38"/>
      <c r="AK642" s="38"/>
      <c r="AL642" s="38"/>
      <c r="AM642" s="38"/>
      <c r="AN642" s="38"/>
      <c r="AO642" s="179"/>
      <c r="AP642" s="180"/>
      <c r="AQ642" s="181"/>
      <c r="AR642" s="180"/>
      <c r="AS642" s="181"/>
      <c r="AT642" s="183"/>
      <c r="AU642" s="38"/>
      <c r="AV642" s="38"/>
      <c r="AW642" s="38"/>
      <c r="AX642" s="38"/>
      <c r="AY642" s="38"/>
      <c r="AZ642" s="38"/>
      <c r="BA642" s="38"/>
      <c r="BB642" s="38"/>
      <c r="BC642" s="38"/>
      <c r="BD642" s="38"/>
      <c r="BE642" s="38"/>
      <c r="BF642" s="1"/>
      <c r="BG642" s="1"/>
    </row>
    <row r="643" spans="1:59" ht="14.25" customHeight="1" x14ac:dyDescent="0.25">
      <c r="A643" s="1"/>
      <c r="B643" s="182"/>
      <c r="C643" s="38"/>
      <c r="D643" s="38"/>
      <c r="E643" s="38"/>
      <c r="F643" s="38"/>
      <c r="G643" s="38"/>
      <c r="H643" s="38"/>
      <c r="I643" s="38"/>
      <c r="J643" s="38"/>
      <c r="K643" s="38"/>
      <c r="L643" s="38"/>
      <c r="M643" s="38"/>
      <c r="N643" s="178"/>
      <c r="O643" s="38"/>
      <c r="P643" s="38"/>
      <c r="Q643" s="38"/>
      <c r="R643" s="38"/>
      <c r="S643" s="38"/>
      <c r="T643" s="38"/>
      <c r="U643" s="38"/>
      <c r="V643" s="38"/>
      <c r="W643" s="38"/>
      <c r="X643" s="38"/>
      <c r="Y643" s="38"/>
      <c r="Z643" s="38"/>
      <c r="AA643" s="38"/>
      <c r="AB643" s="38"/>
      <c r="AC643" s="38"/>
      <c r="AD643" s="38"/>
      <c r="AE643" s="38"/>
      <c r="AF643" s="178"/>
      <c r="AG643" s="178"/>
      <c r="AH643" s="178"/>
      <c r="AI643" s="178"/>
      <c r="AJ643" s="38"/>
      <c r="AK643" s="38"/>
      <c r="AL643" s="38"/>
      <c r="AM643" s="38"/>
      <c r="AN643" s="38"/>
      <c r="AO643" s="179"/>
      <c r="AP643" s="180"/>
      <c r="AQ643" s="181"/>
      <c r="AR643" s="180"/>
      <c r="AS643" s="181"/>
      <c r="AT643" s="183"/>
      <c r="AU643" s="38"/>
      <c r="AV643" s="38"/>
      <c r="AW643" s="38"/>
      <c r="AX643" s="38"/>
      <c r="AY643" s="38"/>
      <c r="AZ643" s="38"/>
      <c r="BA643" s="38"/>
      <c r="BB643" s="38"/>
      <c r="BC643" s="38"/>
      <c r="BD643" s="38"/>
      <c r="BE643" s="38"/>
      <c r="BF643" s="1"/>
      <c r="BG643" s="1"/>
    </row>
    <row r="644" spans="1:59" ht="14.25" customHeight="1" x14ac:dyDescent="0.25">
      <c r="A644" s="1"/>
      <c r="B644" s="182"/>
      <c r="C644" s="38"/>
      <c r="D644" s="38"/>
      <c r="E644" s="38"/>
      <c r="F644" s="38"/>
      <c r="G644" s="38"/>
      <c r="H644" s="38"/>
      <c r="I644" s="38"/>
      <c r="J644" s="38"/>
      <c r="K644" s="38"/>
      <c r="L644" s="38"/>
      <c r="M644" s="38"/>
      <c r="N644" s="178"/>
      <c r="O644" s="38"/>
      <c r="P644" s="38"/>
      <c r="Q644" s="38"/>
      <c r="R644" s="38"/>
      <c r="S644" s="38"/>
      <c r="T644" s="38"/>
      <c r="U644" s="38"/>
      <c r="V644" s="38"/>
      <c r="W644" s="38"/>
      <c r="X644" s="38"/>
      <c r="Y644" s="38"/>
      <c r="Z644" s="38"/>
      <c r="AA644" s="38"/>
      <c r="AB644" s="38"/>
      <c r="AC644" s="38"/>
      <c r="AD644" s="38"/>
      <c r="AE644" s="38"/>
      <c r="AF644" s="178"/>
      <c r="AG644" s="178"/>
      <c r="AH644" s="178"/>
      <c r="AI644" s="178"/>
      <c r="AJ644" s="38"/>
      <c r="AK644" s="38"/>
      <c r="AL644" s="38"/>
      <c r="AM644" s="38"/>
      <c r="AN644" s="38"/>
      <c r="AO644" s="179"/>
      <c r="AP644" s="180"/>
      <c r="AQ644" s="181"/>
      <c r="AR644" s="180"/>
      <c r="AS644" s="181"/>
      <c r="AT644" s="183"/>
      <c r="AU644" s="38"/>
      <c r="AV644" s="38"/>
      <c r="AW644" s="38"/>
      <c r="AX644" s="38"/>
      <c r="AY644" s="38"/>
      <c r="AZ644" s="38"/>
      <c r="BA644" s="38"/>
      <c r="BB644" s="38"/>
      <c r="BC644" s="38"/>
      <c r="BD644" s="38"/>
      <c r="BE644" s="38"/>
      <c r="BF644" s="1"/>
      <c r="BG644" s="1"/>
    </row>
    <row r="645" spans="1:59" ht="14.25" customHeight="1" x14ac:dyDescent="0.25">
      <c r="A645" s="1"/>
      <c r="B645" s="182"/>
      <c r="C645" s="38"/>
      <c r="D645" s="38"/>
      <c r="E645" s="38"/>
      <c r="F645" s="38"/>
      <c r="G645" s="38"/>
      <c r="H645" s="38"/>
      <c r="I645" s="38"/>
      <c r="J645" s="38"/>
      <c r="K645" s="38"/>
      <c r="L645" s="38"/>
      <c r="M645" s="38"/>
      <c r="N645" s="178"/>
      <c r="O645" s="38"/>
      <c r="P645" s="38"/>
      <c r="Q645" s="38"/>
      <c r="R645" s="38"/>
      <c r="S645" s="38"/>
      <c r="T645" s="38"/>
      <c r="U645" s="38"/>
      <c r="V645" s="38"/>
      <c r="W645" s="38"/>
      <c r="X645" s="38"/>
      <c r="Y645" s="38"/>
      <c r="Z645" s="38"/>
      <c r="AA645" s="38"/>
      <c r="AB645" s="38"/>
      <c r="AC645" s="38"/>
      <c r="AD645" s="38"/>
      <c r="AE645" s="38"/>
      <c r="AF645" s="178"/>
      <c r="AG645" s="178"/>
      <c r="AH645" s="178"/>
      <c r="AI645" s="178"/>
      <c r="AJ645" s="38"/>
      <c r="AK645" s="38"/>
      <c r="AL645" s="38"/>
      <c r="AM645" s="38"/>
      <c r="AN645" s="38"/>
      <c r="AO645" s="179"/>
      <c r="AP645" s="180"/>
      <c r="AQ645" s="181"/>
      <c r="AR645" s="180"/>
      <c r="AS645" s="181"/>
      <c r="AT645" s="183"/>
      <c r="AU645" s="38"/>
      <c r="AV645" s="38"/>
      <c r="AW645" s="38"/>
      <c r="AX645" s="38"/>
      <c r="AY645" s="38"/>
      <c r="AZ645" s="38"/>
      <c r="BA645" s="38"/>
      <c r="BB645" s="38"/>
      <c r="BC645" s="38"/>
      <c r="BD645" s="38"/>
      <c r="BE645" s="38"/>
      <c r="BF645" s="1"/>
      <c r="BG645" s="1"/>
    </row>
    <row r="646" spans="1:59" ht="14.25" customHeight="1" x14ac:dyDescent="0.25">
      <c r="A646" s="1"/>
      <c r="B646" s="182"/>
      <c r="C646" s="38"/>
      <c r="D646" s="38"/>
      <c r="E646" s="38"/>
      <c r="F646" s="38"/>
      <c r="G646" s="38"/>
      <c r="H646" s="38"/>
      <c r="I646" s="38"/>
      <c r="J646" s="38"/>
      <c r="K646" s="38"/>
      <c r="L646" s="38"/>
      <c r="M646" s="38"/>
      <c r="N646" s="178"/>
      <c r="O646" s="38"/>
      <c r="P646" s="38"/>
      <c r="Q646" s="38"/>
      <c r="R646" s="38"/>
      <c r="S646" s="38"/>
      <c r="T646" s="38"/>
      <c r="U646" s="38"/>
      <c r="V646" s="38"/>
      <c r="W646" s="38"/>
      <c r="X646" s="38"/>
      <c r="Y646" s="38"/>
      <c r="Z646" s="38"/>
      <c r="AA646" s="38"/>
      <c r="AB646" s="38"/>
      <c r="AC646" s="38"/>
      <c r="AD646" s="38"/>
      <c r="AE646" s="38"/>
      <c r="AF646" s="178"/>
      <c r="AG646" s="178"/>
      <c r="AH646" s="178"/>
      <c r="AI646" s="178"/>
      <c r="AJ646" s="38"/>
      <c r="AK646" s="38"/>
      <c r="AL646" s="38"/>
      <c r="AM646" s="38"/>
      <c r="AN646" s="38"/>
      <c r="AO646" s="179"/>
      <c r="AP646" s="180"/>
      <c r="AQ646" s="181"/>
      <c r="AR646" s="180"/>
      <c r="AS646" s="181"/>
      <c r="AT646" s="183"/>
      <c r="AU646" s="38"/>
      <c r="AV646" s="38"/>
      <c r="AW646" s="38"/>
      <c r="AX646" s="38"/>
      <c r="AY646" s="38"/>
      <c r="AZ646" s="38"/>
      <c r="BA646" s="38"/>
      <c r="BB646" s="38"/>
      <c r="BC646" s="38"/>
      <c r="BD646" s="38"/>
      <c r="BE646" s="38"/>
      <c r="BF646" s="1"/>
      <c r="BG646" s="1"/>
    </row>
    <row r="647" spans="1:59" ht="14.25" customHeight="1" x14ac:dyDescent="0.25">
      <c r="A647" s="1"/>
      <c r="B647" s="182"/>
      <c r="C647" s="38"/>
      <c r="D647" s="38"/>
      <c r="E647" s="38"/>
      <c r="F647" s="38"/>
      <c r="G647" s="38"/>
      <c r="H647" s="38"/>
      <c r="I647" s="38"/>
      <c r="J647" s="38"/>
      <c r="K647" s="38"/>
      <c r="L647" s="38"/>
      <c r="M647" s="38"/>
      <c r="N647" s="178"/>
      <c r="O647" s="38"/>
      <c r="P647" s="38"/>
      <c r="Q647" s="38"/>
      <c r="R647" s="38"/>
      <c r="S647" s="38"/>
      <c r="T647" s="38"/>
      <c r="U647" s="38"/>
      <c r="V647" s="38"/>
      <c r="W647" s="38"/>
      <c r="X647" s="38"/>
      <c r="Y647" s="38"/>
      <c r="Z647" s="38"/>
      <c r="AA647" s="38"/>
      <c r="AB647" s="38"/>
      <c r="AC647" s="38"/>
      <c r="AD647" s="38"/>
      <c r="AE647" s="38"/>
      <c r="AF647" s="178"/>
      <c r="AG647" s="178"/>
      <c r="AH647" s="178"/>
      <c r="AI647" s="178"/>
      <c r="AJ647" s="38"/>
      <c r="AK647" s="38"/>
      <c r="AL647" s="38"/>
      <c r="AM647" s="38"/>
      <c r="AN647" s="38"/>
      <c r="AO647" s="179"/>
      <c r="AP647" s="180"/>
      <c r="AQ647" s="181"/>
      <c r="AR647" s="180"/>
      <c r="AS647" s="181"/>
      <c r="AT647" s="183"/>
      <c r="AU647" s="38"/>
      <c r="AV647" s="38"/>
      <c r="AW647" s="38"/>
      <c r="AX647" s="38"/>
      <c r="AY647" s="38"/>
      <c r="AZ647" s="38"/>
      <c r="BA647" s="38"/>
      <c r="BB647" s="38"/>
      <c r="BC647" s="38"/>
      <c r="BD647" s="38"/>
      <c r="BE647" s="38"/>
      <c r="BF647" s="1"/>
      <c r="BG647" s="1"/>
    </row>
    <row r="648" spans="1:59" ht="14.25" customHeight="1" x14ac:dyDescent="0.25">
      <c r="A648" s="1"/>
      <c r="B648" s="182"/>
      <c r="C648" s="38"/>
      <c r="D648" s="38"/>
      <c r="E648" s="38"/>
      <c r="F648" s="38"/>
      <c r="G648" s="38"/>
      <c r="H648" s="38"/>
      <c r="I648" s="38"/>
      <c r="J648" s="38"/>
      <c r="K648" s="38"/>
      <c r="L648" s="38"/>
      <c r="M648" s="38"/>
      <c r="N648" s="178"/>
      <c r="O648" s="38"/>
      <c r="P648" s="38"/>
      <c r="Q648" s="38"/>
      <c r="R648" s="38"/>
      <c r="S648" s="38"/>
      <c r="T648" s="38"/>
      <c r="U648" s="38"/>
      <c r="V648" s="38"/>
      <c r="W648" s="38"/>
      <c r="X648" s="38"/>
      <c r="Y648" s="38"/>
      <c r="Z648" s="38"/>
      <c r="AA648" s="38"/>
      <c r="AB648" s="38"/>
      <c r="AC648" s="38"/>
      <c r="AD648" s="38"/>
      <c r="AE648" s="38"/>
      <c r="AF648" s="178"/>
      <c r="AG648" s="178"/>
      <c r="AH648" s="178"/>
      <c r="AI648" s="178"/>
      <c r="AJ648" s="38"/>
      <c r="AK648" s="38"/>
      <c r="AL648" s="38"/>
      <c r="AM648" s="38"/>
      <c r="AN648" s="38"/>
      <c r="AO648" s="179"/>
      <c r="AP648" s="180"/>
      <c r="AQ648" s="181"/>
      <c r="AR648" s="180"/>
      <c r="AS648" s="181"/>
      <c r="AT648" s="183"/>
      <c r="AU648" s="38"/>
      <c r="AV648" s="38"/>
      <c r="AW648" s="38"/>
      <c r="AX648" s="38"/>
      <c r="AY648" s="38"/>
      <c r="AZ648" s="38"/>
      <c r="BA648" s="38"/>
      <c r="BB648" s="38"/>
      <c r="BC648" s="38"/>
      <c r="BD648" s="38"/>
      <c r="BE648" s="38"/>
      <c r="BF648" s="1"/>
      <c r="BG648" s="1"/>
    </row>
    <row r="649" spans="1:59" ht="14.25" customHeight="1" x14ac:dyDescent="0.25">
      <c r="A649" s="1"/>
      <c r="B649" s="182"/>
      <c r="C649" s="38"/>
      <c r="D649" s="38"/>
      <c r="E649" s="38"/>
      <c r="F649" s="38"/>
      <c r="G649" s="38"/>
      <c r="H649" s="38"/>
      <c r="I649" s="38"/>
      <c r="J649" s="38"/>
      <c r="K649" s="38"/>
      <c r="L649" s="38"/>
      <c r="M649" s="38"/>
      <c r="N649" s="178"/>
      <c r="O649" s="38"/>
      <c r="P649" s="38"/>
      <c r="Q649" s="38"/>
      <c r="R649" s="38"/>
      <c r="S649" s="38"/>
      <c r="T649" s="38"/>
      <c r="U649" s="38"/>
      <c r="V649" s="38"/>
      <c r="W649" s="38"/>
      <c r="X649" s="38"/>
      <c r="Y649" s="38"/>
      <c r="Z649" s="38"/>
      <c r="AA649" s="38"/>
      <c r="AB649" s="38"/>
      <c r="AC649" s="38"/>
      <c r="AD649" s="38"/>
      <c r="AE649" s="38"/>
      <c r="AF649" s="178"/>
      <c r="AG649" s="178"/>
      <c r="AH649" s="178"/>
      <c r="AI649" s="178"/>
      <c r="AJ649" s="38"/>
      <c r="AK649" s="38"/>
      <c r="AL649" s="38"/>
      <c r="AM649" s="38"/>
      <c r="AN649" s="38"/>
      <c r="AO649" s="179"/>
      <c r="AP649" s="180"/>
      <c r="AQ649" s="181"/>
      <c r="AR649" s="180"/>
      <c r="AS649" s="181"/>
      <c r="AT649" s="183"/>
      <c r="AU649" s="38"/>
      <c r="AV649" s="38"/>
      <c r="AW649" s="38"/>
      <c r="AX649" s="38"/>
      <c r="AY649" s="38"/>
      <c r="AZ649" s="38"/>
      <c r="BA649" s="38"/>
      <c r="BB649" s="38"/>
      <c r="BC649" s="38"/>
      <c r="BD649" s="38"/>
      <c r="BE649" s="38"/>
      <c r="BF649" s="1"/>
      <c r="BG649" s="1"/>
    </row>
    <row r="650" spans="1:59" ht="14.25" customHeight="1" x14ac:dyDescent="0.25">
      <c r="A650" s="1"/>
      <c r="B650" s="182"/>
      <c r="C650" s="38"/>
      <c r="D650" s="38"/>
      <c r="E650" s="38"/>
      <c r="F650" s="38"/>
      <c r="G650" s="38"/>
      <c r="H650" s="38"/>
      <c r="I650" s="38"/>
      <c r="J650" s="38"/>
      <c r="K650" s="38"/>
      <c r="L650" s="38"/>
      <c r="M650" s="38"/>
      <c r="N650" s="178"/>
      <c r="O650" s="38"/>
      <c r="P650" s="38"/>
      <c r="Q650" s="38"/>
      <c r="R650" s="38"/>
      <c r="S650" s="38"/>
      <c r="T650" s="38"/>
      <c r="U650" s="38"/>
      <c r="V650" s="38"/>
      <c r="W650" s="38"/>
      <c r="X650" s="38"/>
      <c r="Y650" s="38"/>
      <c r="Z650" s="38"/>
      <c r="AA650" s="38"/>
      <c r="AB650" s="38"/>
      <c r="AC650" s="38"/>
      <c r="AD650" s="38"/>
      <c r="AE650" s="38"/>
      <c r="AF650" s="178"/>
      <c r="AG650" s="178"/>
      <c r="AH650" s="178"/>
      <c r="AI650" s="178"/>
      <c r="AJ650" s="38"/>
      <c r="AK650" s="38"/>
      <c r="AL650" s="38"/>
      <c r="AM650" s="38"/>
      <c r="AN650" s="38"/>
      <c r="AO650" s="179"/>
      <c r="AP650" s="180"/>
      <c r="AQ650" s="181"/>
      <c r="AR650" s="180"/>
      <c r="AS650" s="181"/>
      <c r="AT650" s="183"/>
      <c r="AU650" s="38"/>
      <c r="AV650" s="38"/>
      <c r="AW650" s="38"/>
      <c r="AX650" s="38"/>
      <c r="AY650" s="38"/>
      <c r="AZ650" s="38"/>
      <c r="BA650" s="38"/>
      <c r="BB650" s="38"/>
      <c r="BC650" s="38"/>
      <c r="BD650" s="38"/>
      <c r="BE650" s="38"/>
      <c r="BF650" s="1"/>
      <c r="BG650" s="1"/>
    </row>
    <row r="651" spans="1:59" ht="14.25" customHeight="1" x14ac:dyDescent="0.25">
      <c r="A651" s="1"/>
      <c r="B651" s="182"/>
      <c r="C651" s="38"/>
      <c r="D651" s="38"/>
      <c r="E651" s="38"/>
      <c r="F651" s="38"/>
      <c r="G651" s="38"/>
      <c r="H651" s="38"/>
      <c r="I651" s="38"/>
      <c r="J651" s="38"/>
      <c r="K651" s="38"/>
      <c r="L651" s="38"/>
      <c r="M651" s="38"/>
      <c r="N651" s="178"/>
      <c r="O651" s="38"/>
      <c r="P651" s="38"/>
      <c r="Q651" s="38"/>
      <c r="R651" s="38"/>
      <c r="S651" s="38"/>
      <c r="T651" s="38"/>
      <c r="U651" s="38"/>
      <c r="V651" s="38"/>
      <c r="W651" s="38"/>
      <c r="X651" s="38"/>
      <c r="Y651" s="38"/>
      <c r="Z651" s="38"/>
      <c r="AA651" s="38"/>
      <c r="AB651" s="38"/>
      <c r="AC651" s="38"/>
      <c r="AD651" s="38"/>
      <c r="AE651" s="38"/>
      <c r="AF651" s="178"/>
      <c r="AG651" s="178"/>
      <c r="AH651" s="178"/>
      <c r="AI651" s="178"/>
      <c r="AJ651" s="38"/>
      <c r="AK651" s="38"/>
      <c r="AL651" s="38"/>
      <c r="AM651" s="38"/>
      <c r="AN651" s="38"/>
      <c r="AO651" s="179"/>
      <c r="AP651" s="180"/>
      <c r="AQ651" s="181"/>
      <c r="AR651" s="180"/>
      <c r="AS651" s="181"/>
      <c r="AT651" s="183"/>
      <c r="AU651" s="38"/>
      <c r="AV651" s="38"/>
      <c r="AW651" s="38"/>
      <c r="AX651" s="38"/>
      <c r="AY651" s="38"/>
      <c r="AZ651" s="38"/>
      <c r="BA651" s="38"/>
      <c r="BB651" s="38"/>
      <c r="BC651" s="38"/>
      <c r="BD651" s="38"/>
      <c r="BE651" s="38"/>
      <c r="BF651" s="1"/>
      <c r="BG651" s="1"/>
    </row>
    <row r="652" spans="1:59" ht="14.25" customHeight="1" x14ac:dyDescent="0.25">
      <c r="A652" s="1"/>
      <c r="B652" s="182"/>
      <c r="C652" s="38"/>
      <c r="D652" s="38"/>
      <c r="E652" s="38"/>
      <c r="F652" s="38"/>
      <c r="G652" s="38"/>
      <c r="H652" s="38"/>
      <c r="I652" s="38"/>
      <c r="J652" s="38"/>
      <c r="K652" s="38"/>
      <c r="L652" s="38"/>
      <c r="M652" s="38"/>
      <c r="N652" s="178"/>
      <c r="O652" s="38"/>
      <c r="P652" s="38"/>
      <c r="Q652" s="38"/>
      <c r="R652" s="38"/>
      <c r="S652" s="38"/>
      <c r="T652" s="38"/>
      <c r="U652" s="38"/>
      <c r="V652" s="38"/>
      <c r="W652" s="38"/>
      <c r="X652" s="38"/>
      <c r="Y652" s="38"/>
      <c r="Z652" s="38"/>
      <c r="AA652" s="38"/>
      <c r="AB652" s="38"/>
      <c r="AC652" s="38"/>
      <c r="AD652" s="38"/>
      <c r="AE652" s="38"/>
      <c r="AF652" s="178"/>
      <c r="AG652" s="178"/>
      <c r="AH652" s="178"/>
      <c r="AI652" s="178"/>
      <c r="AJ652" s="38"/>
      <c r="AK652" s="38"/>
      <c r="AL652" s="38"/>
      <c r="AM652" s="38"/>
      <c r="AN652" s="38"/>
      <c r="AO652" s="179"/>
      <c r="AP652" s="180"/>
      <c r="AQ652" s="181"/>
      <c r="AR652" s="180"/>
      <c r="AS652" s="181"/>
      <c r="AT652" s="183"/>
      <c r="AU652" s="38"/>
      <c r="AV652" s="38"/>
      <c r="AW652" s="38"/>
      <c r="AX652" s="38"/>
      <c r="AY652" s="38"/>
      <c r="AZ652" s="38"/>
      <c r="BA652" s="38"/>
      <c r="BB652" s="38"/>
      <c r="BC652" s="38"/>
      <c r="BD652" s="38"/>
      <c r="BE652" s="38"/>
      <c r="BF652" s="1"/>
      <c r="BG652" s="1"/>
    </row>
    <row r="653" spans="1:59" ht="14.25" customHeight="1" x14ac:dyDescent="0.25">
      <c r="A653" s="1"/>
      <c r="B653" s="182"/>
      <c r="C653" s="38"/>
      <c r="D653" s="38"/>
      <c r="E653" s="38"/>
      <c r="F653" s="38"/>
      <c r="G653" s="38"/>
      <c r="H653" s="38"/>
      <c r="I653" s="38"/>
      <c r="J653" s="38"/>
      <c r="K653" s="38"/>
      <c r="L653" s="38"/>
      <c r="M653" s="38"/>
      <c r="N653" s="178"/>
      <c r="O653" s="38"/>
      <c r="P653" s="38"/>
      <c r="Q653" s="38"/>
      <c r="R653" s="38"/>
      <c r="S653" s="38"/>
      <c r="T653" s="38"/>
      <c r="U653" s="38"/>
      <c r="V653" s="38"/>
      <c r="W653" s="38"/>
      <c r="X653" s="38"/>
      <c r="Y653" s="38"/>
      <c r="Z653" s="38"/>
      <c r="AA653" s="38"/>
      <c r="AB653" s="38"/>
      <c r="AC653" s="38"/>
      <c r="AD653" s="38"/>
      <c r="AE653" s="38"/>
      <c r="AF653" s="178"/>
      <c r="AG653" s="178"/>
      <c r="AH653" s="178"/>
      <c r="AI653" s="178"/>
      <c r="AJ653" s="38"/>
      <c r="AK653" s="38"/>
      <c r="AL653" s="38"/>
      <c r="AM653" s="38"/>
      <c r="AN653" s="38"/>
      <c r="AO653" s="179"/>
      <c r="AP653" s="180"/>
      <c r="AQ653" s="181"/>
      <c r="AR653" s="180"/>
      <c r="AS653" s="181"/>
      <c r="AT653" s="183"/>
      <c r="AU653" s="38"/>
      <c r="AV653" s="38"/>
      <c r="AW653" s="38"/>
      <c r="AX653" s="38"/>
      <c r="AY653" s="38"/>
      <c r="AZ653" s="38"/>
      <c r="BA653" s="38"/>
      <c r="BB653" s="38"/>
      <c r="BC653" s="38"/>
      <c r="BD653" s="38"/>
      <c r="BE653" s="38"/>
      <c r="BF653" s="1"/>
      <c r="BG653" s="1"/>
    </row>
    <row r="654" spans="1:59" ht="14.25" customHeight="1" x14ac:dyDescent="0.25">
      <c r="A654" s="1"/>
      <c r="B654" s="182"/>
      <c r="C654" s="38"/>
      <c r="D654" s="38"/>
      <c r="E654" s="38"/>
      <c r="F654" s="38"/>
      <c r="G654" s="38"/>
      <c r="H654" s="38"/>
      <c r="I654" s="38"/>
      <c r="J654" s="38"/>
      <c r="K654" s="38"/>
      <c r="L654" s="38"/>
      <c r="M654" s="38"/>
      <c r="N654" s="178"/>
      <c r="O654" s="38"/>
      <c r="P654" s="38"/>
      <c r="Q654" s="38"/>
      <c r="R654" s="38"/>
      <c r="S654" s="38"/>
      <c r="T654" s="38"/>
      <c r="U654" s="38"/>
      <c r="V654" s="38"/>
      <c r="W654" s="38"/>
      <c r="X654" s="38"/>
      <c r="Y654" s="38"/>
      <c r="Z654" s="38"/>
      <c r="AA654" s="38"/>
      <c r="AB654" s="38"/>
      <c r="AC654" s="38"/>
      <c r="AD654" s="38"/>
      <c r="AE654" s="38"/>
      <c r="AF654" s="178"/>
      <c r="AG654" s="178"/>
      <c r="AH654" s="178"/>
      <c r="AI654" s="178"/>
      <c r="AJ654" s="38"/>
      <c r="AK654" s="38"/>
      <c r="AL654" s="38"/>
      <c r="AM654" s="38"/>
      <c r="AN654" s="38"/>
      <c r="AO654" s="179"/>
      <c r="AP654" s="180"/>
      <c r="AQ654" s="181"/>
      <c r="AR654" s="180"/>
      <c r="AS654" s="181"/>
      <c r="AT654" s="183"/>
      <c r="AU654" s="38"/>
      <c r="AV654" s="38"/>
      <c r="AW654" s="38"/>
      <c r="AX654" s="38"/>
      <c r="AY654" s="38"/>
      <c r="AZ654" s="38"/>
      <c r="BA654" s="38"/>
      <c r="BB654" s="38"/>
      <c r="BC654" s="38"/>
      <c r="BD654" s="38"/>
      <c r="BE654" s="38"/>
      <c r="BF654" s="1"/>
      <c r="BG654" s="1"/>
    </row>
    <row r="655" spans="1:59" ht="14.25" customHeight="1" x14ac:dyDescent="0.25">
      <c r="A655" s="1"/>
      <c r="B655" s="182"/>
      <c r="C655" s="38"/>
      <c r="D655" s="38"/>
      <c r="E655" s="38"/>
      <c r="F655" s="38"/>
      <c r="G655" s="38"/>
      <c r="H655" s="38"/>
      <c r="I655" s="38"/>
      <c r="J655" s="38"/>
      <c r="K655" s="38"/>
      <c r="L655" s="38"/>
      <c r="M655" s="38"/>
      <c r="N655" s="178"/>
      <c r="O655" s="38"/>
      <c r="P655" s="38"/>
      <c r="Q655" s="38"/>
      <c r="R655" s="38"/>
      <c r="S655" s="38"/>
      <c r="T655" s="38"/>
      <c r="U655" s="38"/>
      <c r="V655" s="38"/>
      <c r="W655" s="38"/>
      <c r="X655" s="38"/>
      <c r="Y655" s="38"/>
      <c r="Z655" s="38"/>
      <c r="AA655" s="38"/>
      <c r="AB655" s="38"/>
      <c r="AC655" s="38"/>
      <c r="AD655" s="38"/>
      <c r="AE655" s="38"/>
      <c r="AF655" s="178"/>
      <c r="AG655" s="178"/>
      <c r="AH655" s="178"/>
      <c r="AI655" s="178"/>
      <c r="AJ655" s="38"/>
      <c r="AK655" s="38"/>
      <c r="AL655" s="38"/>
      <c r="AM655" s="38"/>
      <c r="AN655" s="38"/>
      <c r="AO655" s="179"/>
      <c r="AP655" s="180"/>
      <c r="AQ655" s="181"/>
      <c r="AR655" s="180"/>
      <c r="AS655" s="181"/>
      <c r="AT655" s="183"/>
      <c r="AU655" s="38"/>
      <c r="AV655" s="38"/>
      <c r="AW655" s="38"/>
      <c r="AX655" s="38"/>
      <c r="AY655" s="38"/>
      <c r="AZ655" s="38"/>
      <c r="BA655" s="38"/>
      <c r="BB655" s="38"/>
      <c r="BC655" s="38"/>
      <c r="BD655" s="38"/>
      <c r="BE655" s="38"/>
      <c r="BF655" s="1"/>
      <c r="BG655" s="1"/>
    </row>
    <row r="656" spans="1:59" ht="14.25" customHeight="1" x14ac:dyDescent="0.25">
      <c r="A656" s="1"/>
      <c r="B656" s="182"/>
      <c r="C656" s="38"/>
      <c r="D656" s="38"/>
      <c r="E656" s="38"/>
      <c r="F656" s="38"/>
      <c r="G656" s="38"/>
      <c r="H656" s="38"/>
      <c r="I656" s="38"/>
      <c r="J656" s="38"/>
      <c r="K656" s="38"/>
      <c r="L656" s="38"/>
      <c r="M656" s="38"/>
      <c r="N656" s="178"/>
      <c r="O656" s="38"/>
      <c r="P656" s="38"/>
      <c r="Q656" s="38"/>
      <c r="R656" s="38"/>
      <c r="S656" s="38"/>
      <c r="T656" s="38"/>
      <c r="U656" s="38"/>
      <c r="V656" s="38"/>
      <c r="W656" s="38"/>
      <c r="X656" s="38"/>
      <c r="Y656" s="38"/>
      <c r="Z656" s="38"/>
      <c r="AA656" s="38"/>
      <c r="AB656" s="38"/>
      <c r="AC656" s="38"/>
      <c r="AD656" s="38"/>
      <c r="AE656" s="38"/>
      <c r="AF656" s="178"/>
      <c r="AG656" s="178"/>
      <c r="AH656" s="178"/>
      <c r="AI656" s="178"/>
      <c r="AJ656" s="38"/>
      <c r="AK656" s="38"/>
      <c r="AL656" s="38"/>
      <c r="AM656" s="38"/>
      <c r="AN656" s="38"/>
      <c r="AO656" s="179"/>
      <c r="AP656" s="180"/>
      <c r="AQ656" s="181"/>
      <c r="AR656" s="180"/>
      <c r="AS656" s="181"/>
      <c r="AT656" s="183"/>
      <c r="AU656" s="38"/>
      <c r="AV656" s="38"/>
      <c r="AW656" s="38"/>
      <c r="AX656" s="38"/>
      <c r="AY656" s="38"/>
      <c r="AZ656" s="38"/>
      <c r="BA656" s="38"/>
      <c r="BB656" s="38"/>
      <c r="BC656" s="38"/>
      <c r="BD656" s="38"/>
      <c r="BE656" s="38"/>
      <c r="BF656" s="1"/>
      <c r="BG656" s="1"/>
    </row>
    <row r="657" spans="1:59" ht="14.25" customHeight="1" x14ac:dyDescent="0.25">
      <c r="A657" s="1"/>
      <c r="B657" s="182"/>
      <c r="C657" s="38"/>
      <c r="D657" s="38"/>
      <c r="E657" s="38"/>
      <c r="F657" s="38"/>
      <c r="G657" s="38"/>
      <c r="H657" s="38"/>
      <c r="I657" s="38"/>
      <c r="J657" s="38"/>
      <c r="K657" s="38"/>
      <c r="L657" s="38"/>
      <c r="M657" s="38"/>
      <c r="N657" s="178"/>
      <c r="O657" s="38"/>
      <c r="P657" s="38"/>
      <c r="Q657" s="38"/>
      <c r="R657" s="38"/>
      <c r="S657" s="38"/>
      <c r="T657" s="38"/>
      <c r="U657" s="38"/>
      <c r="V657" s="38"/>
      <c r="W657" s="38"/>
      <c r="X657" s="38"/>
      <c r="Y657" s="38"/>
      <c r="Z657" s="38"/>
      <c r="AA657" s="38"/>
      <c r="AB657" s="38"/>
      <c r="AC657" s="38"/>
      <c r="AD657" s="38"/>
      <c r="AE657" s="38"/>
      <c r="AF657" s="178"/>
      <c r="AG657" s="178"/>
      <c r="AH657" s="178"/>
      <c r="AI657" s="178"/>
      <c r="AJ657" s="38"/>
      <c r="AK657" s="38"/>
      <c r="AL657" s="38"/>
      <c r="AM657" s="38"/>
      <c r="AN657" s="38"/>
      <c r="AO657" s="179"/>
      <c r="AP657" s="180"/>
      <c r="AQ657" s="181"/>
      <c r="AR657" s="180"/>
      <c r="AS657" s="181"/>
      <c r="AT657" s="183"/>
      <c r="AU657" s="38"/>
      <c r="AV657" s="38"/>
      <c r="AW657" s="38"/>
      <c r="AX657" s="38"/>
      <c r="AY657" s="38"/>
      <c r="AZ657" s="38"/>
      <c r="BA657" s="38"/>
      <c r="BB657" s="38"/>
      <c r="BC657" s="38"/>
      <c r="BD657" s="38"/>
      <c r="BE657" s="38"/>
      <c r="BF657" s="1"/>
      <c r="BG657" s="1"/>
    </row>
    <row r="658" spans="1:59" ht="14.25" customHeight="1" x14ac:dyDescent="0.25">
      <c r="A658" s="1"/>
      <c r="B658" s="182"/>
      <c r="C658" s="38"/>
      <c r="D658" s="38"/>
      <c r="E658" s="38"/>
      <c r="F658" s="38"/>
      <c r="G658" s="38"/>
      <c r="H658" s="38"/>
      <c r="I658" s="38"/>
      <c r="J658" s="38"/>
      <c r="K658" s="38"/>
      <c r="L658" s="38"/>
      <c r="M658" s="38"/>
      <c r="N658" s="178"/>
      <c r="O658" s="38"/>
      <c r="P658" s="38"/>
      <c r="Q658" s="38"/>
      <c r="R658" s="38"/>
      <c r="S658" s="38"/>
      <c r="T658" s="38"/>
      <c r="U658" s="38"/>
      <c r="V658" s="38"/>
      <c r="W658" s="38"/>
      <c r="X658" s="38"/>
      <c r="Y658" s="38"/>
      <c r="Z658" s="38"/>
      <c r="AA658" s="38"/>
      <c r="AB658" s="38"/>
      <c r="AC658" s="38"/>
      <c r="AD658" s="38"/>
      <c r="AE658" s="38"/>
      <c r="AF658" s="178"/>
      <c r="AG658" s="178"/>
      <c r="AH658" s="178"/>
      <c r="AI658" s="178"/>
      <c r="AJ658" s="38"/>
      <c r="AK658" s="38"/>
      <c r="AL658" s="38"/>
      <c r="AM658" s="38"/>
      <c r="AN658" s="38"/>
      <c r="AO658" s="179"/>
      <c r="AP658" s="180"/>
      <c r="AQ658" s="181"/>
      <c r="AR658" s="180"/>
      <c r="AS658" s="181"/>
      <c r="AT658" s="183"/>
      <c r="AU658" s="38"/>
      <c r="AV658" s="38"/>
      <c r="AW658" s="38"/>
      <c r="AX658" s="38"/>
      <c r="AY658" s="38"/>
      <c r="AZ658" s="38"/>
      <c r="BA658" s="38"/>
      <c r="BB658" s="38"/>
      <c r="BC658" s="38"/>
      <c r="BD658" s="38"/>
      <c r="BE658" s="38"/>
      <c r="BF658" s="1"/>
      <c r="BG658" s="1"/>
    </row>
    <row r="659" spans="1:59" ht="14.25" customHeight="1" x14ac:dyDescent="0.25">
      <c r="A659" s="1"/>
      <c r="B659" s="182"/>
      <c r="C659" s="38"/>
      <c r="D659" s="38"/>
      <c r="E659" s="38"/>
      <c r="F659" s="38"/>
      <c r="G659" s="38"/>
      <c r="H659" s="38"/>
      <c r="I659" s="38"/>
      <c r="J659" s="38"/>
      <c r="K659" s="38"/>
      <c r="L659" s="38"/>
      <c r="M659" s="38"/>
      <c r="N659" s="178"/>
      <c r="O659" s="38"/>
      <c r="P659" s="38"/>
      <c r="Q659" s="38"/>
      <c r="R659" s="38"/>
      <c r="S659" s="38"/>
      <c r="T659" s="38"/>
      <c r="U659" s="38"/>
      <c r="V659" s="38"/>
      <c r="W659" s="38"/>
      <c r="X659" s="38"/>
      <c r="Y659" s="38"/>
      <c r="Z659" s="38"/>
      <c r="AA659" s="38"/>
      <c r="AB659" s="38"/>
      <c r="AC659" s="38"/>
      <c r="AD659" s="38"/>
      <c r="AE659" s="38"/>
      <c r="AF659" s="178"/>
      <c r="AG659" s="178"/>
      <c r="AH659" s="178"/>
      <c r="AI659" s="178"/>
      <c r="AJ659" s="38"/>
      <c r="AK659" s="38"/>
      <c r="AL659" s="38"/>
      <c r="AM659" s="38"/>
      <c r="AN659" s="38"/>
      <c r="AO659" s="179"/>
      <c r="AP659" s="180"/>
      <c r="AQ659" s="181"/>
      <c r="AR659" s="180"/>
      <c r="AS659" s="181"/>
      <c r="AT659" s="183"/>
      <c r="AU659" s="38"/>
      <c r="AV659" s="38"/>
      <c r="AW659" s="38"/>
      <c r="AX659" s="38"/>
      <c r="AY659" s="38"/>
      <c r="AZ659" s="38"/>
      <c r="BA659" s="38"/>
      <c r="BB659" s="38"/>
      <c r="BC659" s="38"/>
      <c r="BD659" s="38"/>
      <c r="BE659" s="38"/>
      <c r="BF659" s="1"/>
      <c r="BG659" s="1"/>
    </row>
    <row r="660" spans="1:59" ht="14.25" customHeight="1" x14ac:dyDescent="0.25">
      <c r="A660" s="1"/>
      <c r="B660" s="182"/>
      <c r="C660" s="38"/>
      <c r="D660" s="38"/>
      <c r="E660" s="38"/>
      <c r="F660" s="38"/>
      <c r="G660" s="38"/>
      <c r="H660" s="38"/>
      <c r="I660" s="38"/>
      <c r="J660" s="38"/>
      <c r="K660" s="38"/>
      <c r="L660" s="38"/>
      <c r="M660" s="38"/>
      <c r="N660" s="178"/>
      <c r="O660" s="38"/>
      <c r="P660" s="38"/>
      <c r="Q660" s="38"/>
      <c r="R660" s="38"/>
      <c r="S660" s="38"/>
      <c r="T660" s="38"/>
      <c r="U660" s="38"/>
      <c r="V660" s="38"/>
      <c r="W660" s="38"/>
      <c r="X660" s="38"/>
      <c r="Y660" s="38"/>
      <c r="Z660" s="38"/>
      <c r="AA660" s="38"/>
      <c r="AB660" s="38"/>
      <c r="AC660" s="38"/>
      <c r="AD660" s="38"/>
      <c r="AE660" s="38"/>
      <c r="AF660" s="178"/>
      <c r="AG660" s="178"/>
      <c r="AH660" s="178"/>
      <c r="AI660" s="178"/>
      <c r="AJ660" s="38"/>
      <c r="AK660" s="38"/>
      <c r="AL660" s="38"/>
      <c r="AM660" s="38"/>
      <c r="AN660" s="38"/>
      <c r="AO660" s="179"/>
      <c r="AP660" s="180"/>
      <c r="AQ660" s="181"/>
      <c r="AR660" s="180"/>
      <c r="AS660" s="181"/>
      <c r="AT660" s="183"/>
      <c r="AU660" s="38"/>
      <c r="AV660" s="38"/>
      <c r="AW660" s="38"/>
      <c r="AX660" s="38"/>
      <c r="AY660" s="38"/>
      <c r="AZ660" s="38"/>
      <c r="BA660" s="38"/>
      <c r="BB660" s="38"/>
      <c r="BC660" s="38"/>
      <c r="BD660" s="38"/>
      <c r="BE660" s="38"/>
      <c r="BF660" s="1"/>
      <c r="BG660" s="1"/>
    </row>
    <row r="661" spans="1:59" ht="14.25" customHeight="1" x14ac:dyDescent="0.25">
      <c r="A661" s="1"/>
      <c r="B661" s="182"/>
      <c r="C661" s="38"/>
      <c r="D661" s="38"/>
      <c r="E661" s="38"/>
      <c r="F661" s="38"/>
      <c r="G661" s="38"/>
      <c r="H661" s="38"/>
      <c r="I661" s="38"/>
      <c r="J661" s="38"/>
      <c r="K661" s="38"/>
      <c r="L661" s="38"/>
      <c r="M661" s="38"/>
      <c r="N661" s="178"/>
      <c r="O661" s="38"/>
      <c r="P661" s="38"/>
      <c r="Q661" s="38"/>
      <c r="R661" s="38"/>
      <c r="S661" s="38"/>
      <c r="T661" s="38"/>
      <c r="U661" s="38"/>
      <c r="V661" s="38"/>
      <c r="W661" s="38"/>
      <c r="X661" s="38"/>
      <c r="Y661" s="38"/>
      <c r="Z661" s="38"/>
      <c r="AA661" s="38"/>
      <c r="AB661" s="38"/>
      <c r="AC661" s="38"/>
      <c r="AD661" s="38"/>
      <c r="AE661" s="38"/>
      <c r="AF661" s="178"/>
      <c r="AG661" s="178"/>
      <c r="AH661" s="178"/>
      <c r="AI661" s="178"/>
      <c r="AJ661" s="38"/>
      <c r="AK661" s="38"/>
      <c r="AL661" s="38"/>
      <c r="AM661" s="38"/>
      <c r="AN661" s="38"/>
      <c r="AO661" s="179"/>
      <c r="AP661" s="180"/>
      <c r="AQ661" s="181"/>
      <c r="AR661" s="180"/>
      <c r="AS661" s="181"/>
      <c r="AT661" s="183"/>
      <c r="AU661" s="38"/>
      <c r="AV661" s="38"/>
      <c r="AW661" s="38"/>
      <c r="AX661" s="38"/>
      <c r="AY661" s="38"/>
      <c r="AZ661" s="38"/>
      <c r="BA661" s="38"/>
      <c r="BB661" s="38"/>
      <c r="BC661" s="38"/>
      <c r="BD661" s="38"/>
      <c r="BE661" s="38"/>
      <c r="BF661" s="1"/>
      <c r="BG661" s="1"/>
    </row>
    <row r="662" spans="1:59" ht="14.25" customHeight="1" x14ac:dyDescent="0.25">
      <c r="A662" s="1"/>
      <c r="B662" s="182"/>
      <c r="C662" s="38"/>
      <c r="D662" s="38"/>
      <c r="E662" s="38"/>
      <c r="F662" s="38"/>
      <c r="G662" s="38"/>
      <c r="H662" s="38"/>
      <c r="I662" s="38"/>
      <c r="J662" s="38"/>
      <c r="K662" s="38"/>
      <c r="L662" s="38"/>
      <c r="M662" s="38"/>
      <c r="N662" s="178"/>
      <c r="O662" s="38"/>
      <c r="P662" s="38"/>
      <c r="Q662" s="38"/>
      <c r="R662" s="38"/>
      <c r="S662" s="38"/>
      <c r="T662" s="38"/>
      <c r="U662" s="38"/>
      <c r="V662" s="38"/>
      <c r="W662" s="38"/>
      <c r="X662" s="38"/>
      <c r="Y662" s="38"/>
      <c r="Z662" s="38"/>
      <c r="AA662" s="38"/>
      <c r="AB662" s="38"/>
      <c r="AC662" s="38"/>
      <c r="AD662" s="38"/>
      <c r="AE662" s="38"/>
      <c r="AF662" s="178"/>
      <c r="AG662" s="178"/>
      <c r="AH662" s="178"/>
      <c r="AI662" s="178"/>
      <c r="AJ662" s="38"/>
      <c r="AK662" s="38"/>
      <c r="AL662" s="38"/>
      <c r="AM662" s="38"/>
      <c r="AN662" s="38"/>
      <c r="AO662" s="179"/>
      <c r="AP662" s="180"/>
      <c r="AQ662" s="181"/>
      <c r="AR662" s="180"/>
      <c r="AS662" s="181"/>
      <c r="AT662" s="183"/>
      <c r="AU662" s="38"/>
      <c r="AV662" s="38"/>
      <c r="AW662" s="38"/>
      <c r="AX662" s="38"/>
      <c r="AY662" s="38"/>
      <c r="AZ662" s="38"/>
      <c r="BA662" s="38"/>
      <c r="BB662" s="38"/>
      <c r="BC662" s="38"/>
      <c r="BD662" s="38"/>
      <c r="BE662" s="38"/>
      <c r="BF662" s="1"/>
      <c r="BG662" s="1"/>
    </row>
    <row r="663" spans="1:59" ht="14.25" customHeight="1" x14ac:dyDescent="0.25">
      <c r="A663" s="1"/>
      <c r="B663" s="182"/>
      <c r="C663" s="38"/>
      <c r="D663" s="38"/>
      <c r="E663" s="38"/>
      <c r="F663" s="38"/>
      <c r="G663" s="38"/>
      <c r="H663" s="38"/>
      <c r="I663" s="38"/>
      <c r="J663" s="38"/>
      <c r="K663" s="38"/>
      <c r="L663" s="38"/>
      <c r="M663" s="38"/>
      <c r="N663" s="178"/>
      <c r="O663" s="38"/>
      <c r="P663" s="38"/>
      <c r="Q663" s="38"/>
      <c r="R663" s="38"/>
      <c r="S663" s="38"/>
      <c r="T663" s="38"/>
      <c r="U663" s="38"/>
      <c r="V663" s="38"/>
      <c r="W663" s="38"/>
      <c r="X663" s="38"/>
      <c r="Y663" s="38"/>
      <c r="Z663" s="38"/>
      <c r="AA663" s="38"/>
      <c r="AB663" s="38"/>
      <c r="AC663" s="38"/>
      <c r="AD663" s="38"/>
      <c r="AE663" s="38"/>
      <c r="AF663" s="178"/>
      <c r="AG663" s="178"/>
      <c r="AH663" s="178"/>
      <c r="AI663" s="178"/>
      <c r="AJ663" s="38"/>
      <c r="AK663" s="38"/>
      <c r="AL663" s="38"/>
      <c r="AM663" s="38"/>
      <c r="AN663" s="38"/>
      <c r="AO663" s="179"/>
      <c r="AP663" s="180"/>
      <c r="AQ663" s="181"/>
      <c r="AR663" s="180"/>
      <c r="AS663" s="181"/>
      <c r="AT663" s="183"/>
      <c r="AU663" s="38"/>
      <c r="AV663" s="38"/>
      <c r="AW663" s="38"/>
      <c r="AX663" s="38"/>
      <c r="AY663" s="38"/>
      <c r="AZ663" s="38"/>
      <c r="BA663" s="38"/>
      <c r="BB663" s="38"/>
      <c r="BC663" s="38"/>
      <c r="BD663" s="38"/>
      <c r="BE663" s="38"/>
      <c r="BF663" s="1"/>
      <c r="BG663" s="1"/>
    </row>
    <row r="664" spans="1:59" ht="14.25" customHeight="1" x14ac:dyDescent="0.25">
      <c r="A664" s="1"/>
      <c r="B664" s="182"/>
      <c r="C664" s="38"/>
      <c r="D664" s="38"/>
      <c r="E664" s="38"/>
      <c r="F664" s="38"/>
      <c r="G664" s="38"/>
      <c r="H664" s="38"/>
      <c r="I664" s="38"/>
      <c r="J664" s="38"/>
      <c r="K664" s="38"/>
      <c r="L664" s="38"/>
      <c r="M664" s="38"/>
      <c r="N664" s="178"/>
      <c r="O664" s="38"/>
      <c r="P664" s="38"/>
      <c r="Q664" s="38"/>
      <c r="R664" s="38"/>
      <c r="S664" s="38"/>
      <c r="T664" s="38"/>
      <c r="U664" s="38"/>
      <c r="V664" s="38"/>
      <c r="W664" s="38"/>
      <c r="X664" s="38"/>
      <c r="Y664" s="38"/>
      <c r="Z664" s="38"/>
      <c r="AA664" s="38"/>
      <c r="AB664" s="38"/>
      <c r="AC664" s="38"/>
      <c r="AD664" s="38"/>
      <c r="AE664" s="38"/>
      <c r="AF664" s="178"/>
      <c r="AG664" s="178"/>
      <c r="AH664" s="178"/>
      <c r="AI664" s="178"/>
      <c r="AJ664" s="38"/>
      <c r="AK664" s="38"/>
      <c r="AL664" s="38"/>
      <c r="AM664" s="38"/>
      <c r="AN664" s="38"/>
      <c r="AO664" s="179"/>
      <c r="AP664" s="180"/>
      <c r="AQ664" s="181"/>
      <c r="AR664" s="180"/>
      <c r="AS664" s="181"/>
      <c r="AT664" s="183"/>
      <c r="AU664" s="38"/>
      <c r="AV664" s="38"/>
      <c r="AW664" s="38"/>
      <c r="AX664" s="38"/>
      <c r="AY664" s="38"/>
      <c r="AZ664" s="38"/>
      <c r="BA664" s="38"/>
      <c r="BB664" s="38"/>
      <c r="BC664" s="38"/>
      <c r="BD664" s="38"/>
      <c r="BE664" s="38"/>
      <c r="BF664" s="1"/>
      <c r="BG664" s="1"/>
    </row>
    <row r="665" spans="1:59" ht="14.25" customHeight="1" x14ac:dyDescent="0.25">
      <c r="A665" s="1"/>
      <c r="B665" s="182"/>
      <c r="C665" s="38"/>
      <c r="D665" s="38"/>
      <c r="E665" s="38"/>
      <c r="F665" s="38"/>
      <c r="G665" s="38"/>
      <c r="H665" s="38"/>
      <c r="I665" s="38"/>
      <c r="J665" s="38"/>
      <c r="K665" s="38"/>
      <c r="L665" s="38"/>
      <c r="M665" s="38"/>
      <c r="N665" s="178"/>
      <c r="O665" s="38"/>
      <c r="P665" s="38"/>
      <c r="Q665" s="38"/>
      <c r="R665" s="38"/>
      <c r="S665" s="38"/>
      <c r="T665" s="38"/>
      <c r="U665" s="38"/>
      <c r="V665" s="38"/>
      <c r="W665" s="38"/>
      <c r="X665" s="38"/>
      <c r="Y665" s="38"/>
      <c r="Z665" s="38"/>
      <c r="AA665" s="38"/>
      <c r="AB665" s="38"/>
      <c r="AC665" s="38"/>
      <c r="AD665" s="38"/>
      <c r="AE665" s="38"/>
      <c r="AF665" s="178"/>
      <c r="AG665" s="178"/>
      <c r="AH665" s="178"/>
      <c r="AI665" s="178"/>
      <c r="AJ665" s="38"/>
      <c r="AK665" s="38"/>
      <c r="AL665" s="38"/>
      <c r="AM665" s="38"/>
      <c r="AN665" s="38"/>
      <c r="AO665" s="179"/>
      <c r="AP665" s="180"/>
      <c r="AQ665" s="181"/>
      <c r="AR665" s="180"/>
      <c r="AS665" s="181"/>
      <c r="AT665" s="183"/>
      <c r="AU665" s="38"/>
      <c r="AV665" s="38"/>
      <c r="AW665" s="38"/>
      <c r="AX665" s="38"/>
      <c r="AY665" s="38"/>
      <c r="AZ665" s="38"/>
      <c r="BA665" s="38"/>
      <c r="BB665" s="38"/>
      <c r="BC665" s="38"/>
      <c r="BD665" s="38"/>
      <c r="BE665" s="38"/>
      <c r="BF665" s="1"/>
      <c r="BG665" s="1"/>
    </row>
    <row r="666" spans="1:59" ht="14.25" customHeight="1" x14ac:dyDescent="0.25">
      <c r="A666" s="1"/>
      <c r="B666" s="182"/>
      <c r="C666" s="38"/>
      <c r="D666" s="38"/>
      <c r="E666" s="38"/>
      <c r="F666" s="38"/>
      <c r="G666" s="38"/>
      <c r="H666" s="38"/>
      <c r="I666" s="38"/>
      <c r="J666" s="38"/>
      <c r="K666" s="38"/>
      <c r="L666" s="38"/>
      <c r="M666" s="38"/>
      <c r="N666" s="178"/>
      <c r="O666" s="38"/>
      <c r="P666" s="38"/>
      <c r="Q666" s="38"/>
      <c r="R666" s="38"/>
      <c r="S666" s="38"/>
      <c r="T666" s="38"/>
      <c r="U666" s="38"/>
      <c r="V666" s="38"/>
      <c r="W666" s="38"/>
      <c r="X666" s="38"/>
      <c r="Y666" s="38"/>
      <c r="Z666" s="38"/>
      <c r="AA666" s="38"/>
      <c r="AB666" s="38"/>
      <c r="AC666" s="38"/>
      <c r="AD666" s="38"/>
      <c r="AE666" s="38"/>
      <c r="AF666" s="178"/>
      <c r="AG666" s="178"/>
      <c r="AH666" s="178"/>
      <c r="AI666" s="178"/>
      <c r="AJ666" s="38"/>
      <c r="AK666" s="38"/>
      <c r="AL666" s="38"/>
      <c r="AM666" s="38"/>
      <c r="AN666" s="38"/>
      <c r="AO666" s="179"/>
      <c r="AP666" s="180"/>
      <c r="AQ666" s="181"/>
      <c r="AR666" s="180"/>
      <c r="AS666" s="181"/>
      <c r="AT666" s="183"/>
      <c r="AU666" s="38"/>
      <c r="AV666" s="38"/>
      <c r="AW666" s="38"/>
      <c r="AX666" s="38"/>
      <c r="AY666" s="38"/>
      <c r="AZ666" s="38"/>
      <c r="BA666" s="38"/>
      <c r="BB666" s="38"/>
      <c r="BC666" s="38"/>
      <c r="BD666" s="38"/>
      <c r="BE666" s="38"/>
      <c r="BF666" s="1"/>
      <c r="BG666" s="1"/>
    </row>
    <row r="667" spans="1:59" ht="14.25" customHeight="1" x14ac:dyDescent="0.25">
      <c r="A667" s="1"/>
      <c r="B667" s="182"/>
      <c r="C667" s="38"/>
      <c r="D667" s="38"/>
      <c r="E667" s="38"/>
      <c r="F667" s="38"/>
      <c r="G667" s="38"/>
      <c r="H667" s="38"/>
      <c r="I667" s="38"/>
      <c r="J667" s="38"/>
      <c r="K667" s="38"/>
      <c r="L667" s="38"/>
      <c r="M667" s="38"/>
      <c r="N667" s="178"/>
      <c r="O667" s="38"/>
      <c r="P667" s="38"/>
      <c r="Q667" s="38"/>
      <c r="R667" s="38"/>
      <c r="S667" s="38"/>
      <c r="T667" s="38"/>
      <c r="U667" s="38"/>
      <c r="V667" s="38"/>
      <c r="W667" s="38"/>
      <c r="X667" s="38"/>
      <c r="Y667" s="38"/>
      <c r="Z667" s="38"/>
      <c r="AA667" s="38"/>
      <c r="AB667" s="38"/>
      <c r="AC667" s="38"/>
      <c r="AD667" s="38"/>
      <c r="AE667" s="38"/>
      <c r="AF667" s="178"/>
      <c r="AG667" s="178"/>
      <c r="AH667" s="178"/>
      <c r="AI667" s="178"/>
      <c r="AJ667" s="38"/>
      <c r="AK667" s="38"/>
      <c r="AL667" s="38"/>
      <c r="AM667" s="38"/>
      <c r="AN667" s="38"/>
      <c r="AO667" s="179"/>
      <c r="AP667" s="180"/>
      <c r="AQ667" s="181"/>
      <c r="AR667" s="180"/>
      <c r="AS667" s="181"/>
      <c r="AT667" s="183"/>
      <c r="AU667" s="38"/>
      <c r="AV667" s="38"/>
      <c r="AW667" s="38"/>
      <c r="AX667" s="38"/>
      <c r="AY667" s="38"/>
      <c r="AZ667" s="38"/>
      <c r="BA667" s="38"/>
      <c r="BB667" s="38"/>
      <c r="BC667" s="38"/>
      <c r="BD667" s="38"/>
      <c r="BE667" s="38"/>
      <c r="BF667" s="1"/>
      <c r="BG667" s="1"/>
    </row>
    <row r="668" spans="1:59" ht="14.25" customHeight="1" x14ac:dyDescent="0.25">
      <c r="A668" s="1"/>
      <c r="B668" s="182"/>
      <c r="C668" s="38"/>
      <c r="D668" s="38"/>
      <c r="E668" s="38"/>
      <c r="F668" s="38"/>
      <c r="G668" s="38"/>
      <c r="H668" s="38"/>
      <c r="I668" s="38"/>
      <c r="J668" s="38"/>
      <c r="K668" s="38"/>
      <c r="L668" s="38"/>
      <c r="M668" s="38"/>
      <c r="N668" s="178"/>
      <c r="O668" s="38"/>
      <c r="P668" s="38"/>
      <c r="Q668" s="38"/>
      <c r="R668" s="38"/>
      <c r="S668" s="38"/>
      <c r="T668" s="38"/>
      <c r="U668" s="38"/>
      <c r="V668" s="38"/>
      <c r="W668" s="38"/>
      <c r="X668" s="38"/>
      <c r="Y668" s="38"/>
      <c r="Z668" s="38"/>
      <c r="AA668" s="38"/>
      <c r="AB668" s="38"/>
      <c r="AC668" s="38"/>
      <c r="AD668" s="38"/>
      <c r="AE668" s="38"/>
      <c r="AF668" s="178"/>
      <c r="AG668" s="178"/>
      <c r="AH668" s="178"/>
      <c r="AI668" s="178"/>
      <c r="AJ668" s="38"/>
      <c r="AK668" s="38"/>
      <c r="AL668" s="38"/>
      <c r="AM668" s="38"/>
      <c r="AN668" s="38"/>
      <c r="AO668" s="179"/>
      <c r="AP668" s="180"/>
      <c r="AQ668" s="181"/>
      <c r="AR668" s="180"/>
      <c r="AS668" s="181"/>
      <c r="AT668" s="183"/>
      <c r="AU668" s="38"/>
      <c r="AV668" s="38"/>
      <c r="AW668" s="38"/>
      <c r="AX668" s="38"/>
      <c r="AY668" s="38"/>
      <c r="AZ668" s="38"/>
      <c r="BA668" s="38"/>
      <c r="BB668" s="38"/>
      <c r="BC668" s="38"/>
      <c r="BD668" s="38"/>
      <c r="BE668" s="38"/>
      <c r="BF668" s="1"/>
      <c r="BG668" s="1"/>
    </row>
    <row r="669" spans="1:59" ht="14.25" customHeight="1" x14ac:dyDescent="0.25">
      <c r="A669" s="1"/>
      <c r="B669" s="182"/>
      <c r="C669" s="38"/>
      <c r="D669" s="38"/>
      <c r="E669" s="38"/>
      <c r="F669" s="38"/>
      <c r="G669" s="38"/>
      <c r="H669" s="38"/>
      <c r="I669" s="38"/>
      <c r="J669" s="38"/>
      <c r="K669" s="38"/>
      <c r="L669" s="38"/>
      <c r="M669" s="38"/>
      <c r="N669" s="178"/>
      <c r="O669" s="38"/>
      <c r="P669" s="38"/>
      <c r="Q669" s="38"/>
      <c r="R669" s="38"/>
      <c r="S669" s="38"/>
      <c r="T669" s="38"/>
      <c r="U669" s="38"/>
      <c r="V669" s="38"/>
      <c r="W669" s="38"/>
      <c r="X669" s="38"/>
      <c r="Y669" s="38"/>
      <c r="Z669" s="38"/>
      <c r="AA669" s="38"/>
      <c r="AB669" s="38"/>
      <c r="AC669" s="38"/>
      <c r="AD669" s="38"/>
      <c r="AE669" s="38"/>
      <c r="AF669" s="178"/>
      <c r="AG669" s="178"/>
      <c r="AH669" s="178"/>
      <c r="AI669" s="178"/>
      <c r="AJ669" s="38"/>
      <c r="AK669" s="38"/>
      <c r="AL669" s="38"/>
      <c r="AM669" s="38"/>
      <c r="AN669" s="38"/>
      <c r="AO669" s="179"/>
      <c r="AP669" s="180"/>
      <c r="AQ669" s="181"/>
      <c r="AR669" s="180"/>
      <c r="AS669" s="181"/>
      <c r="AT669" s="183"/>
      <c r="AU669" s="38"/>
      <c r="AV669" s="38"/>
      <c r="AW669" s="38"/>
      <c r="AX669" s="38"/>
      <c r="AY669" s="38"/>
      <c r="AZ669" s="38"/>
      <c r="BA669" s="38"/>
      <c r="BB669" s="38"/>
      <c r="BC669" s="38"/>
      <c r="BD669" s="38"/>
      <c r="BE669" s="38"/>
      <c r="BF669" s="1"/>
      <c r="BG669" s="1"/>
    </row>
    <row r="670" spans="1:59" ht="14.25" customHeight="1" x14ac:dyDescent="0.25">
      <c r="A670" s="1"/>
      <c r="B670" s="182"/>
      <c r="C670" s="38"/>
      <c r="D670" s="38"/>
      <c r="E670" s="38"/>
      <c r="F670" s="38"/>
      <c r="G670" s="38"/>
      <c r="H670" s="38"/>
      <c r="I670" s="38"/>
      <c r="J670" s="38"/>
      <c r="K670" s="38"/>
      <c r="L670" s="38"/>
      <c r="M670" s="38"/>
      <c r="N670" s="178"/>
      <c r="O670" s="38"/>
      <c r="P670" s="38"/>
      <c r="Q670" s="38"/>
      <c r="R670" s="38"/>
      <c r="S670" s="38"/>
      <c r="T670" s="38"/>
      <c r="U670" s="38"/>
      <c r="V670" s="38"/>
      <c r="W670" s="38"/>
      <c r="X670" s="38"/>
      <c r="Y670" s="38"/>
      <c r="Z670" s="38"/>
      <c r="AA670" s="38"/>
      <c r="AB670" s="38"/>
      <c r="AC670" s="38"/>
      <c r="AD670" s="38"/>
      <c r="AE670" s="38"/>
      <c r="AF670" s="178"/>
      <c r="AG670" s="178"/>
      <c r="AH670" s="178"/>
      <c r="AI670" s="178"/>
      <c r="AJ670" s="38"/>
      <c r="AK670" s="38"/>
      <c r="AL670" s="38"/>
      <c r="AM670" s="38"/>
      <c r="AN670" s="38"/>
      <c r="AO670" s="179"/>
      <c r="AP670" s="180"/>
      <c r="AQ670" s="181"/>
      <c r="AR670" s="180"/>
      <c r="AS670" s="181"/>
      <c r="AT670" s="183"/>
      <c r="AU670" s="38"/>
      <c r="AV670" s="38"/>
      <c r="AW670" s="38"/>
      <c r="AX670" s="38"/>
      <c r="AY670" s="38"/>
      <c r="AZ670" s="38"/>
      <c r="BA670" s="38"/>
      <c r="BB670" s="38"/>
      <c r="BC670" s="38"/>
      <c r="BD670" s="38"/>
      <c r="BE670" s="38"/>
      <c r="BF670" s="1"/>
      <c r="BG670" s="1"/>
    </row>
    <row r="671" spans="1:59" ht="14.25" customHeight="1" x14ac:dyDescent="0.25">
      <c r="A671" s="1"/>
      <c r="B671" s="182"/>
      <c r="C671" s="38"/>
      <c r="D671" s="38"/>
      <c r="E671" s="38"/>
      <c r="F671" s="38"/>
      <c r="G671" s="38"/>
      <c r="H671" s="38"/>
      <c r="I671" s="38"/>
      <c r="J671" s="38"/>
      <c r="K671" s="38"/>
      <c r="L671" s="38"/>
      <c r="M671" s="38"/>
      <c r="N671" s="178"/>
      <c r="O671" s="38"/>
      <c r="P671" s="38"/>
      <c r="Q671" s="38"/>
      <c r="R671" s="38"/>
      <c r="S671" s="38"/>
      <c r="T671" s="38"/>
      <c r="U671" s="38"/>
      <c r="V671" s="38"/>
      <c r="W671" s="38"/>
      <c r="X671" s="38"/>
      <c r="Y671" s="38"/>
      <c r="Z671" s="38"/>
      <c r="AA671" s="38"/>
      <c r="AB671" s="38"/>
      <c r="AC671" s="38"/>
      <c r="AD671" s="38"/>
      <c r="AE671" s="38"/>
      <c r="AF671" s="178"/>
      <c r="AG671" s="178"/>
      <c r="AH671" s="178"/>
      <c r="AI671" s="178"/>
      <c r="AJ671" s="38"/>
      <c r="AK671" s="38"/>
      <c r="AL671" s="38"/>
      <c r="AM671" s="38"/>
      <c r="AN671" s="38"/>
      <c r="AO671" s="179"/>
      <c r="AP671" s="180"/>
      <c r="AQ671" s="181"/>
      <c r="AR671" s="180"/>
      <c r="AS671" s="181"/>
      <c r="AT671" s="183"/>
      <c r="AU671" s="38"/>
      <c r="AV671" s="38"/>
      <c r="AW671" s="38"/>
      <c r="AX671" s="38"/>
      <c r="AY671" s="38"/>
      <c r="AZ671" s="38"/>
      <c r="BA671" s="38"/>
      <c r="BB671" s="38"/>
      <c r="BC671" s="38"/>
      <c r="BD671" s="38"/>
      <c r="BE671" s="38"/>
      <c r="BF671" s="1"/>
      <c r="BG671" s="1"/>
    </row>
    <row r="672" spans="1:59" ht="14.25" customHeight="1" x14ac:dyDescent="0.25">
      <c r="A672" s="1"/>
      <c r="B672" s="182"/>
      <c r="C672" s="38"/>
      <c r="D672" s="38"/>
      <c r="E672" s="38"/>
      <c r="F672" s="38"/>
      <c r="G672" s="38"/>
      <c r="H672" s="38"/>
      <c r="I672" s="38"/>
      <c r="J672" s="38"/>
      <c r="K672" s="38"/>
      <c r="L672" s="38"/>
      <c r="M672" s="38"/>
      <c r="N672" s="178"/>
      <c r="O672" s="38"/>
      <c r="P672" s="38"/>
      <c r="Q672" s="38"/>
      <c r="R672" s="38"/>
      <c r="S672" s="38"/>
      <c r="T672" s="38"/>
      <c r="U672" s="38"/>
      <c r="V672" s="38"/>
      <c r="W672" s="38"/>
      <c r="X672" s="38"/>
      <c r="Y672" s="38"/>
      <c r="Z672" s="38"/>
      <c r="AA672" s="38"/>
      <c r="AB672" s="38"/>
      <c r="AC672" s="38"/>
      <c r="AD672" s="38"/>
      <c r="AE672" s="38"/>
      <c r="AF672" s="178"/>
      <c r="AG672" s="178"/>
      <c r="AH672" s="178"/>
      <c r="AI672" s="178"/>
      <c r="AJ672" s="38"/>
      <c r="AK672" s="38"/>
      <c r="AL672" s="38"/>
      <c r="AM672" s="38"/>
      <c r="AN672" s="38"/>
      <c r="AO672" s="179"/>
      <c r="AP672" s="180"/>
      <c r="AQ672" s="181"/>
      <c r="AR672" s="180"/>
      <c r="AS672" s="181"/>
      <c r="AT672" s="183"/>
      <c r="AU672" s="38"/>
      <c r="AV672" s="38"/>
      <c r="AW672" s="38"/>
      <c r="AX672" s="38"/>
      <c r="AY672" s="38"/>
      <c r="AZ672" s="38"/>
      <c r="BA672" s="38"/>
      <c r="BB672" s="38"/>
      <c r="BC672" s="38"/>
      <c r="BD672" s="38"/>
      <c r="BE672" s="38"/>
      <c r="BF672" s="1"/>
      <c r="BG672" s="1"/>
    </row>
    <row r="673" spans="1:59" ht="14.25" customHeight="1" x14ac:dyDescent="0.25">
      <c r="A673" s="1"/>
      <c r="B673" s="182"/>
      <c r="C673" s="38"/>
      <c r="D673" s="38"/>
      <c r="E673" s="38"/>
      <c r="F673" s="38"/>
      <c r="G673" s="38"/>
      <c r="H673" s="38"/>
      <c r="I673" s="38"/>
      <c r="J673" s="38"/>
      <c r="K673" s="38"/>
      <c r="L673" s="38"/>
      <c r="M673" s="38"/>
      <c r="N673" s="178"/>
      <c r="O673" s="38"/>
      <c r="P673" s="38"/>
      <c r="Q673" s="38"/>
      <c r="R673" s="38"/>
      <c r="S673" s="38"/>
      <c r="T673" s="38"/>
      <c r="U673" s="38"/>
      <c r="V673" s="38"/>
      <c r="W673" s="38"/>
      <c r="X673" s="38"/>
      <c r="Y673" s="38"/>
      <c r="Z673" s="38"/>
      <c r="AA673" s="38"/>
      <c r="AB673" s="38"/>
      <c r="AC673" s="38"/>
      <c r="AD673" s="38"/>
      <c r="AE673" s="38"/>
      <c r="AF673" s="178"/>
      <c r="AG673" s="178"/>
      <c r="AH673" s="178"/>
      <c r="AI673" s="178"/>
      <c r="AJ673" s="38"/>
      <c r="AK673" s="38"/>
      <c r="AL673" s="38"/>
      <c r="AM673" s="38"/>
      <c r="AN673" s="38"/>
      <c r="AO673" s="179"/>
      <c r="AP673" s="180"/>
      <c r="AQ673" s="181"/>
      <c r="AR673" s="180"/>
      <c r="AS673" s="181"/>
      <c r="AT673" s="183"/>
      <c r="AU673" s="38"/>
      <c r="AV673" s="38"/>
      <c r="AW673" s="38"/>
      <c r="AX673" s="38"/>
      <c r="AY673" s="38"/>
      <c r="AZ673" s="38"/>
      <c r="BA673" s="38"/>
      <c r="BB673" s="38"/>
      <c r="BC673" s="38"/>
      <c r="BD673" s="38"/>
      <c r="BE673" s="38"/>
      <c r="BF673" s="1"/>
      <c r="BG673" s="1"/>
    </row>
    <row r="674" spans="1:59" ht="14.25" customHeight="1" x14ac:dyDescent="0.25">
      <c r="A674" s="1"/>
      <c r="B674" s="182"/>
      <c r="C674" s="38"/>
      <c r="D674" s="38"/>
      <c r="E674" s="38"/>
      <c r="F674" s="38"/>
      <c r="G674" s="38"/>
      <c r="H674" s="38"/>
      <c r="I674" s="38"/>
      <c r="J674" s="38"/>
      <c r="K674" s="38"/>
      <c r="L674" s="38"/>
      <c r="M674" s="38"/>
      <c r="N674" s="178"/>
      <c r="O674" s="38"/>
      <c r="P674" s="38"/>
      <c r="Q674" s="38"/>
      <c r="R674" s="38"/>
      <c r="S674" s="38"/>
      <c r="T674" s="38"/>
      <c r="U674" s="38"/>
      <c r="V674" s="38"/>
      <c r="W674" s="38"/>
      <c r="X674" s="38"/>
      <c r="Y674" s="38"/>
      <c r="Z674" s="38"/>
      <c r="AA674" s="38"/>
      <c r="AB674" s="38"/>
      <c r="AC674" s="38"/>
      <c r="AD674" s="38"/>
      <c r="AE674" s="38"/>
      <c r="AF674" s="178"/>
      <c r="AG674" s="178"/>
      <c r="AH674" s="178"/>
      <c r="AI674" s="178"/>
      <c r="AJ674" s="38"/>
      <c r="AK674" s="38"/>
      <c r="AL674" s="38"/>
      <c r="AM674" s="38"/>
      <c r="AN674" s="38"/>
      <c r="AO674" s="179"/>
      <c r="AP674" s="180"/>
      <c r="AQ674" s="181"/>
      <c r="AR674" s="180"/>
      <c r="AS674" s="181"/>
      <c r="AT674" s="183"/>
      <c r="AU674" s="38"/>
      <c r="AV674" s="38"/>
      <c r="AW674" s="38"/>
      <c r="AX674" s="38"/>
      <c r="AY674" s="38"/>
      <c r="AZ674" s="38"/>
      <c r="BA674" s="38"/>
      <c r="BB674" s="38"/>
      <c r="BC674" s="38"/>
      <c r="BD674" s="38"/>
      <c r="BE674" s="38"/>
      <c r="BF674" s="1"/>
      <c r="BG674" s="1"/>
    </row>
    <row r="675" spans="1:59" ht="14.25" customHeight="1" x14ac:dyDescent="0.25">
      <c r="A675" s="1"/>
      <c r="B675" s="182"/>
      <c r="C675" s="38"/>
      <c r="D675" s="38"/>
      <c r="E675" s="38"/>
      <c r="F675" s="38"/>
      <c r="G675" s="38"/>
      <c r="H675" s="38"/>
      <c r="I675" s="38"/>
      <c r="J675" s="38"/>
      <c r="K675" s="38"/>
      <c r="L675" s="38"/>
      <c r="M675" s="38"/>
      <c r="N675" s="178"/>
      <c r="O675" s="38"/>
      <c r="P675" s="38"/>
      <c r="Q675" s="38"/>
      <c r="R675" s="38"/>
      <c r="S675" s="38"/>
      <c r="T675" s="38"/>
      <c r="U675" s="38"/>
      <c r="V675" s="38"/>
      <c r="W675" s="38"/>
      <c r="X675" s="38"/>
      <c r="Y675" s="38"/>
      <c r="Z675" s="38"/>
      <c r="AA675" s="38"/>
      <c r="AB675" s="38"/>
      <c r="AC675" s="38"/>
      <c r="AD675" s="38"/>
      <c r="AE675" s="38"/>
      <c r="AF675" s="178"/>
      <c r="AG675" s="178"/>
      <c r="AH675" s="178"/>
      <c r="AI675" s="178"/>
      <c r="AJ675" s="38"/>
      <c r="AK675" s="38"/>
      <c r="AL675" s="38"/>
      <c r="AM675" s="38"/>
      <c r="AN675" s="38"/>
      <c r="AO675" s="179"/>
      <c r="AP675" s="180"/>
      <c r="AQ675" s="181"/>
      <c r="AR675" s="180"/>
      <c r="AS675" s="181"/>
      <c r="AT675" s="183"/>
      <c r="AU675" s="38"/>
      <c r="AV675" s="38"/>
      <c r="AW675" s="38"/>
      <c r="AX675" s="38"/>
      <c r="AY675" s="38"/>
      <c r="AZ675" s="38"/>
      <c r="BA675" s="38"/>
      <c r="BB675" s="38"/>
      <c r="BC675" s="38"/>
      <c r="BD675" s="38"/>
      <c r="BE675" s="38"/>
      <c r="BF675" s="1"/>
      <c r="BG675" s="1"/>
    </row>
    <row r="676" spans="1:59" ht="14.25" customHeight="1" x14ac:dyDescent="0.25">
      <c r="A676" s="1"/>
      <c r="B676" s="182"/>
      <c r="C676" s="38"/>
      <c r="D676" s="38"/>
      <c r="E676" s="38"/>
      <c r="F676" s="38"/>
      <c r="G676" s="38"/>
      <c r="H676" s="38"/>
      <c r="I676" s="38"/>
      <c r="J676" s="38"/>
      <c r="K676" s="38"/>
      <c r="L676" s="38"/>
      <c r="M676" s="38"/>
      <c r="N676" s="178"/>
      <c r="O676" s="38"/>
      <c r="P676" s="38"/>
      <c r="Q676" s="38"/>
      <c r="R676" s="38"/>
      <c r="S676" s="38"/>
      <c r="T676" s="38"/>
      <c r="U676" s="38"/>
      <c r="V676" s="38"/>
      <c r="W676" s="38"/>
      <c r="X676" s="38"/>
      <c r="Y676" s="38"/>
      <c r="Z676" s="38"/>
      <c r="AA676" s="38"/>
      <c r="AB676" s="38"/>
      <c r="AC676" s="38"/>
      <c r="AD676" s="38"/>
      <c r="AE676" s="38"/>
      <c r="AF676" s="178"/>
      <c r="AG676" s="178"/>
      <c r="AH676" s="178"/>
      <c r="AI676" s="178"/>
      <c r="AJ676" s="38"/>
      <c r="AK676" s="38"/>
      <c r="AL676" s="38"/>
      <c r="AM676" s="38"/>
      <c r="AN676" s="38"/>
      <c r="AO676" s="179"/>
      <c r="AP676" s="180"/>
      <c r="AQ676" s="181"/>
      <c r="AR676" s="180"/>
      <c r="AS676" s="181"/>
      <c r="AT676" s="183"/>
      <c r="AU676" s="38"/>
      <c r="AV676" s="38"/>
      <c r="AW676" s="38"/>
      <c r="AX676" s="38"/>
      <c r="AY676" s="38"/>
      <c r="AZ676" s="38"/>
      <c r="BA676" s="38"/>
      <c r="BB676" s="38"/>
      <c r="BC676" s="38"/>
      <c r="BD676" s="38"/>
      <c r="BE676" s="38"/>
      <c r="BF676" s="1"/>
      <c r="BG676" s="1"/>
    </row>
    <row r="677" spans="1:59" ht="14.25" customHeight="1" x14ac:dyDescent="0.25">
      <c r="A677" s="1"/>
      <c r="B677" s="182"/>
      <c r="C677" s="38"/>
      <c r="D677" s="38"/>
      <c r="E677" s="38"/>
      <c r="F677" s="38"/>
      <c r="G677" s="38"/>
      <c r="H677" s="38"/>
      <c r="I677" s="38"/>
      <c r="J677" s="38"/>
      <c r="K677" s="38"/>
      <c r="L677" s="38"/>
      <c r="M677" s="38"/>
      <c r="N677" s="178"/>
      <c r="O677" s="38"/>
      <c r="P677" s="38"/>
      <c r="Q677" s="38"/>
      <c r="R677" s="38"/>
      <c r="S677" s="38"/>
      <c r="T677" s="38"/>
      <c r="U677" s="38"/>
      <c r="V677" s="38"/>
      <c r="W677" s="38"/>
      <c r="X677" s="38"/>
      <c r="Y677" s="38"/>
      <c r="Z677" s="38"/>
      <c r="AA677" s="38"/>
      <c r="AB677" s="38"/>
      <c r="AC677" s="38"/>
      <c r="AD677" s="38"/>
      <c r="AE677" s="38"/>
      <c r="AF677" s="178"/>
      <c r="AG677" s="178"/>
      <c r="AH677" s="178"/>
      <c r="AI677" s="178"/>
      <c r="AJ677" s="38"/>
      <c r="AK677" s="38"/>
      <c r="AL677" s="38"/>
      <c r="AM677" s="38"/>
      <c r="AN677" s="38"/>
      <c r="AO677" s="179"/>
      <c r="AP677" s="180"/>
      <c r="AQ677" s="181"/>
      <c r="AR677" s="180"/>
      <c r="AS677" s="181"/>
      <c r="AT677" s="183"/>
      <c r="AU677" s="38"/>
      <c r="AV677" s="38"/>
      <c r="AW677" s="38"/>
      <c r="AX677" s="38"/>
      <c r="AY677" s="38"/>
      <c r="AZ677" s="38"/>
      <c r="BA677" s="38"/>
      <c r="BB677" s="38"/>
      <c r="BC677" s="38"/>
      <c r="BD677" s="38"/>
      <c r="BE677" s="38"/>
      <c r="BF677" s="1"/>
      <c r="BG677" s="1"/>
    </row>
    <row r="678" spans="1:59" ht="14.25" customHeight="1" x14ac:dyDescent="0.25">
      <c r="A678" s="1"/>
      <c r="B678" s="182"/>
      <c r="C678" s="38"/>
      <c r="D678" s="38"/>
      <c r="E678" s="38"/>
      <c r="F678" s="38"/>
      <c r="G678" s="38"/>
      <c r="H678" s="38"/>
      <c r="I678" s="38"/>
      <c r="J678" s="38"/>
      <c r="K678" s="38"/>
      <c r="L678" s="38"/>
      <c r="M678" s="38"/>
      <c r="N678" s="178"/>
      <c r="O678" s="38"/>
      <c r="P678" s="38"/>
      <c r="Q678" s="38"/>
      <c r="R678" s="38"/>
      <c r="S678" s="38"/>
      <c r="T678" s="38"/>
      <c r="U678" s="38"/>
      <c r="V678" s="38"/>
      <c r="W678" s="38"/>
      <c r="X678" s="38"/>
      <c r="Y678" s="38"/>
      <c r="Z678" s="38"/>
      <c r="AA678" s="38"/>
      <c r="AB678" s="38"/>
      <c r="AC678" s="38"/>
      <c r="AD678" s="38"/>
      <c r="AE678" s="38"/>
      <c r="AF678" s="178"/>
      <c r="AG678" s="178"/>
      <c r="AH678" s="178"/>
      <c r="AI678" s="178"/>
      <c r="AJ678" s="38"/>
      <c r="AK678" s="38"/>
      <c r="AL678" s="38"/>
      <c r="AM678" s="38"/>
      <c r="AN678" s="38"/>
      <c r="AO678" s="179"/>
      <c r="AP678" s="180"/>
      <c r="AQ678" s="181"/>
      <c r="AR678" s="180"/>
      <c r="AS678" s="181"/>
      <c r="AT678" s="183"/>
      <c r="AU678" s="38"/>
      <c r="AV678" s="38"/>
      <c r="AW678" s="38"/>
      <c r="AX678" s="38"/>
      <c r="AY678" s="38"/>
      <c r="AZ678" s="38"/>
      <c r="BA678" s="38"/>
      <c r="BB678" s="38"/>
      <c r="BC678" s="38"/>
      <c r="BD678" s="38"/>
      <c r="BE678" s="38"/>
      <c r="BF678" s="1"/>
      <c r="BG678" s="1"/>
    </row>
    <row r="679" spans="1:59" ht="14.25" customHeight="1" x14ac:dyDescent="0.25">
      <c r="A679" s="1"/>
      <c r="B679" s="182"/>
      <c r="C679" s="38"/>
      <c r="D679" s="38"/>
      <c r="E679" s="38"/>
      <c r="F679" s="38"/>
      <c r="G679" s="38"/>
      <c r="H679" s="38"/>
      <c r="I679" s="38"/>
      <c r="J679" s="38"/>
      <c r="K679" s="38"/>
      <c r="L679" s="38"/>
      <c r="M679" s="38"/>
      <c r="N679" s="178"/>
      <c r="O679" s="38"/>
      <c r="P679" s="38"/>
      <c r="Q679" s="38"/>
      <c r="R679" s="38"/>
      <c r="S679" s="38"/>
      <c r="T679" s="38"/>
      <c r="U679" s="38"/>
      <c r="V679" s="38"/>
      <c r="W679" s="38"/>
      <c r="X679" s="38"/>
      <c r="Y679" s="38"/>
      <c r="Z679" s="38"/>
      <c r="AA679" s="38"/>
      <c r="AB679" s="38"/>
      <c r="AC679" s="38"/>
      <c r="AD679" s="38"/>
      <c r="AE679" s="38"/>
      <c r="AF679" s="178"/>
      <c r="AG679" s="178"/>
      <c r="AH679" s="178"/>
      <c r="AI679" s="178"/>
      <c r="AJ679" s="38"/>
      <c r="AK679" s="38"/>
      <c r="AL679" s="38"/>
      <c r="AM679" s="38"/>
      <c r="AN679" s="38"/>
      <c r="AO679" s="179"/>
      <c r="AP679" s="180"/>
      <c r="AQ679" s="181"/>
      <c r="AR679" s="180"/>
      <c r="AS679" s="181"/>
      <c r="AT679" s="183"/>
      <c r="AU679" s="38"/>
      <c r="AV679" s="38"/>
      <c r="AW679" s="38"/>
      <c r="AX679" s="38"/>
      <c r="AY679" s="38"/>
      <c r="AZ679" s="38"/>
      <c r="BA679" s="38"/>
      <c r="BB679" s="38"/>
      <c r="BC679" s="38"/>
      <c r="BD679" s="38"/>
      <c r="BE679" s="38"/>
      <c r="BF679" s="1"/>
      <c r="BG679" s="1"/>
    </row>
    <row r="680" spans="1:59" ht="14.25" customHeight="1" x14ac:dyDescent="0.25">
      <c r="A680" s="1"/>
      <c r="B680" s="182"/>
      <c r="C680" s="38"/>
      <c r="D680" s="38"/>
      <c r="E680" s="38"/>
      <c r="F680" s="38"/>
      <c r="G680" s="38"/>
      <c r="H680" s="38"/>
      <c r="I680" s="38"/>
      <c r="J680" s="38"/>
      <c r="K680" s="38"/>
      <c r="L680" s="38"/>
      <c r="M680" s="38"/>
      <c r="N680" s="178"/>
      <c r="O680" s="38"/>
      <c r="P680" s="38"/>
      <c r="Q680" s="38"/>
      <c r="R680" s="38"/>
      <c r="S680" s="38"/>
      <c r="T680" s="38"/>
      <c r="U680" s="38"/>
      <c r="V680" s="38"/>
      <c r="W680" s="38"/>
      <c r="X680" s="38"/>
      <c r="Y680" s="38"/>
      <c r="Z680" s="38"/>
      <c r="AA680" s="38"/>
      <c r="AB680" s="38"/>
      <c r="AC680" s="38"/>
      <c r="AD680" s="38"/>
      <c r="AE680" s="38"/>
      <c r="AF680" s="178"/>
      <c r="AG680" s="178"/>
      <c r="AH680" s="178"/>
      <c r="AI680" s="178"/>
      <c r="AJ680" s="38"/>
      <c r="AK680" s="38"/>
      <c r="AL680" s="38"/>
      <c r="AM680" s="38"/>
      <c r="AN680" s="38"/>
      <c r="AO680" s="179"/>
      <c r="AP680" s="180"/>
      <c r="AQ680" s="181"/>
      <c r="AR680" s="180"/>
      <c r="AS680" s="181"/>
      <c r="AT680" s="183"/>
      <c r="AU680" s="38"/>
      <c r="AV680" s="38"/>
      <c r="AW680" s="38"/>
      <c r="AX680" s="38"/>
      <c r="AY680" s="38"/>
      <c r="AZ680" s="38"/>
      <c r="BA680" s="38"/>
      <c r="BB680" s="38"/>
      <c r="BC680" s="38"/>
      <c r="BD680" s="38"/>
      <c r="BE680" s="38"/>
      <c r="BF680" s="1"/>
      <c r="BG680" s="1"/>
    </row>
    <row r="681" spans="1:59" ht="14.25" customHeight="1" x14ac:dyDescent="0.25">
      <c r="A681" s="1"/>
      <c r="B681" s="182"/>
      <c r="C681" s="38"/>
      <c r="D681" s="38"/>
      <c r="E681" s="38"/>
      <c r="F681" s="38"/>
      <c r="G681" s="38"/>
      <c r="H681" s="38"/>
      <c r="I681" s="38"/>
      <c r="J681" s="38"/>
      <c r="K681" s="38"/>
      <c r="L681" s="38"/>
      <c r="M681" s="38"/>
      <c r="N681" s="178"/>
      <c r="O681" s="38"/>
      <c r="P681" s="38"/>
      <c r="Q681" s="38"/>
      <c r="R681" s="38"/>
      <c r="S681" s="38"/>
      <c r="T681" s="38"/>
      <c r="U681" s="38"/>
      <c r="V681" s="38"/>
      <c r="W681" s="38"/>
      <c r="X681" s="38"/>
      <c r="Y681" s="38"/>
      <c r="Z681" s="38"/>
      <c r="AA681" s="38"/>
      <c r="AB681" s="38"/>
      <c r="AC681" s="38"/>
      <c r="AD681" s="38"/>
      <c r="AE681" s="38"/>
      <c r="AF681" s="178"/>
      <c r="AG681" s="178"/>
      <c r="AH681" s="178"/>
      <c r="AI681" s="178"/>
      <c r="AJ681" s="38"/>
      <c r="AK681" s="38"/>
      <c r="AL681" s="38"/>
      <c r="AM681" s="38"/>
      <c r="AN681" s="38"/>
      <c r="AO681" s="179"/>
      <c r="AP681" s="180"/>
      <c r="AQ681" s="181"/>
      <c r="AR681" s="180"/>
      <c r="AS681" s="181"/>
      <c r="AT681" s="183"/>
      <c r="AU681" s="38"/>
      <c r="AV681" s="38"/>
      <c r="AW681" s="38"/>
      <c r="AX681" s="38"/>
      <c r="AY681" s="38"/>
      <c r="AZ681" s="38"/>
      <c r="BA681" s="38"/>
      <c r="BB681" s="38"/>
      <c r="BC681" s="38"/>
      <c r="BD681" s="38"/>
      <c r="BE681" s="38"/>
      <c r="BF681" s="1"/>
      <c r="BG681" s="1"/>
    </row>
    <row r="682" spans="1:59" ht="14.25" customHeight="1" x14ac:dyDescent="0.25">
      <c r="A682" s="1"/>
      <c r="B682" s="182"/>
      <c r="C682" s="38"/>
      <c r="D682" s="38"/>
      <c r="E682" s="38"/>
      <c r="F682" s="38"/>
      <c r="G682" s="38"/>
      <c r="H682" s="38"/>
      <c r="I682" s="38"/>
      <c r="J682" s="38"/>
      <c r="K682" s="38"/>
      <c r="L682" s="38"/>
      <c r="M682" s="38"/>
      <c r="N682" s="178"/>
      <c r="O682" s="38"/>
      <c r="P682" s="38"/>
      <c r="Q682" s="38"/>
      <c r="R682" s="38"/>
      <c r="S682" s="38"/>
      <c r="T682" s="38"/>
      <c r="U682" s="38"/>
      <c r="V682" s="38"/>
      <c r="W682" s="38"/>
      <c r="X682" s="38"/>
      <c r="Y682" s="38"/>
      <c r="Z682" s="38"/>
      <c r="AA682" s="38"/>
      <c r="AB682" s="38"/>
      <c r="AC682" s="38"/>
      <c r="AD682" s="38"/>
      <c r="AE682" s="38"/>
      <c r="AF682" s="178"/>
      <c r="AG682" s="178"/>
      <c r="AH682" s="178"/>
      <c r="AI682" s="178"/>
      <c r="AJ682" s="38"/>
      <c r="AK682" s="38"/>
      <c r="AL682" s="38"/>
      <c r="AM682" s="38"/>
      <c r="AN682" s="38"/>
      <c r="AO682" s="179"/>
      <c r="AP682" s="180"/>
      <c r="AQ682" s="181"/>
      <c r="AR682" s="180"/>
      <c r="AS682" s="181"/>
      <c r="AT682" s="183"/>
      <c r="AU682" s="38"/>
      <c r="AV682" s="38"/>
      <c r="AW682" s="38"/>
      <c r="AX682" s="38"/>
      <c r="AY682" s="38"/>
      <c r="AZ682" s="38"/>
      <c r="BA682" s="38"/>
      <c r="BB682" s="38"/>
      <c r="BC682" s="38"/>
      <c r="BD682" s="38"/>
      <c r="BE682" s="38"/>
      <c r="BF682" s="1"/>
      <c r="BG682" s="1"/>
    </row>
    <row r="683" spans="1:59" ht="14.25" customHeight="1" x14ac:dyDescent="0.25">
      <c r="A683" s="1"/>
      <c r="B683" s="182"/>
      <c r="C683" s="38"/>
      <c r="D683" s="38"/>
      <c r="E683" s="38"/>
      <c r="F683" s="38"/>
      <c r="G683" s="38"/>
      <c r="H683" s="38"/>
      <c r="I683" s="38"/>
      <c r="J683" s="38"/>
      <c r="K683" s="38"/>
      <c r="L683" s="38"/>
      <c r="M683" s="38"/>
      <c r="N683" s="178"/>
      <c r="O683" s="38"/>
      <c r="P683" s="38"/>
      <c r="Q683" s="38"/>
      <c r="R683" s="38"/>
      <c r="S683" s="38"/>
      <c r="T683" s="38"/>
      <c r="U683" s="38"/>
      <c r="V683" s="38"/>
      <c r="W683" s="38"/>
      <c r="X683" s="38"/>
      <c r="Y683" s="38"/>
      <c r="Z683" s="38"/>
      <c r="AA683" s="38"/>
      <c r="AB683" s="38"/>
      <c r="AC683" s="38"/>
      <c r="AD683" s="38"/>
      <c r="AE683" s="38"/>
      <c r="AF683" s="178"/>
      <c r="AG683" s="178"/>
      <c r="AH683" s="178"/>
      <c r="AI683" s="178"/>
      <c r="AJ683" s="38"/>
      <c r="AK683" s="38"/>
      <c r="AL683" s="38"/>
      <c r="AM683" s="38"/>
      <c r="AN683" s="38"/>
      <c r="AO683" s="179"/>
      <c r="AP683" s="180"/>
      <c r="AQ683" s="181"/>
      <c r="AR683" s="180"/>
      <c r="AS683" s="181"/>
      <c r="AT683" s="183"/>
      <c r="AU683" s="38"/>
      <c r="AV683" s="38"/>
      <c r="AW683" s="38"/>
      <c r="AX683" s="38"/>
      <c r="AY683" s="38"/>
      <c r="AZ683" s="38"/>
      <c r="BA683" s="38"/>
      <c r="BB683" s="38"/>
      <c r="BC683" s="38"/>
      <c r="BD683" s="38"/>
      <c r="BE683" s="38"/>
      <c r="BF683" s="1"/>
      <c r="BG683" s="1"/>
    </row>
    <row r="684" spans="1:59" ht="14.25" customHeight="1" x14ac:dyDescent="0.25">
      <c r="A684" s="1"/>
      <c r="B684" s="182"/>
      <c r="C684" s="38"/>
      <c r="D684" s="38"/>
      <c r="E684" s="38"/>
      <c r="F684" s="38"/>
      <c r="G684" s="38"/>
      <c r="H684" s="38"/>
      <c r="I684" s="38"/>
      <c r="J684" s="38"/>
      <c r="K684" s="38"/>
      <c r="L684" s="38"/>
      <c r="M684" s="38"/>
      <c r="N684" s="178"/>
      <c r="O684" s="38"/>
      <c r="P684" s="38"/>
      <c r="Q684" s="38"/>
      <c r="R684" s="38"/>
      <c r="S684" s="38"/>
      <c r="T684" s="38"/>
      <c r="U684" s="38"/>
      <c r="V684" s="38"/>
      <c r="W684" s="38"/>
      <c r="X684" s="38"/>
      <c r="Y684" s="38"/>
      <c r="Z684" s="38"/>
      <c r="AA684" s="38"/>
      <c r="AB684" s="38"/>
      <c r="AC684" s="38"/>
      <c r="AD684" s="38"/>
      <c r="AE684" s="38"/>
      <c r="AF684" s="178"/>
      <c r="AG684" s="178"/>
      <c r="AH684" s="178"/>
      <c r="AI684" s="178"/>
      <c r="AJ684" s="38"/>
      <c r="AK684" s="38"/>
      <c r="AL684" s="38"/>
      <c r="AM684" s="38"/>
      <c r="AN684" s="38"/>
      <c r="AO684" s="179"/>
      <c r="AP684" s="180"/>
      <c r="AQ684" s="181"/>
      <c r="AR684" s="180"/>
      <c r="AS684" s="181"/>
      <c r="AT684" s="183"/>
      <c r="AU684" s="38"/>
      <c r="AV684" s="38"/>
      <c r="AW684" s="38"/>
      <c r="AX684" s="38"/>
      <c r="AY684" s="38"/>
      <c r="AZ684" s="38"/>
      <c r="BA684" s="38"/>
      <c r="BB684" s="38"/>
      <c r="BC684" s="38"/>
      <c r="BD684" s="38"/>
      <c r="BE684" s="38"/>
      <c r="BF684" s="1"/>
      <c r="BG684" s="1"/>
    </row>
    <row r="685" spans="1:59" ht="14.25" customHeight="1" x14ac:dyDescent="0.25">
      <c r="A685" s="1"/>
      <c r="B685" s="182"/>
      <c r="C685" s="38"/>
      <c r="D685" s="38"/>
      <c r="E685" s="38"/>
      <c r="F685" s="38"/>
      <c r="G685" s="38"/>
      <c r="H685" s="38"/>
      <c r="I685" s="38"/>
      <c r="J685" s="38"/>
      <c r="K685" s="38"/>
      <c r="L685" s="38"/>
      <c r="M685" s="38"/>
      <c r="N685" s="178"/>
      <c r="O685" s="38"/>
      <c r="P685" s="38"/>
      <c r="Q685" s="38"/>
      <c r="R685" s="38"/>
      <c r="S685" s="38"/>
      <c r="T685" s="38"/>
      <c r="U685" s="38"/>
      <c r="V685" s="38"/>
      <c r="W685" s="38"/>
      <c r="X685" s="38"/>
      <c r="Y685" s="38"/>
      <c r="Z685" s="38"/>
      <c r="AA685" s="38"/>
      <c r="AB685" s="38"/>
      <c r="AC685" s="38"/>
      <c r="AD685" s="38"/>
      <c r="AE685" s="38"/>
      <c r="AF685" s="178"/>
      <c r="AG685" s="178"/>
      <c r="AH685" s="178"/>
      <c r="AI685" s="178"/>
      <c r="AJ685" s="38"/>
      <c r="AK685" s="38"/>
      <c r="AL685" s="38"/>
      <c r="AM685" s="38"/>
      <c r="AN685" s="38"/>
      <c r="AO685" s="179"/>
      <c r="AP685" s="180"/>
      <c r="AQ685" s="181"/>
      <c r="AR685" s="180"/>
      <c r="AS685" s="181"/>
      <c r="AT685" s="183"/>
      <c r="AU685" s="38"/>
      <c r="AV685" s="38"/>
      <c r="AW685" s="38"/>
      <c r="AX685" s="38"/>
      <c r="AY685" s="38"/>
      <c r="AZ685" s="38"/>
      <c r="BA685" s="38"/>
      <c r="BB685" s="38"/>
      <c r="BC685" s="38"/>
      <c r="BD685" s="38"/>
      <c r="BE685" s="38"/>
      <c r="BF685" s="1"/>
      <c r="BG685" s="1"/>
    </row>
    <row r="686" spans="1:59" ht="14.25" customHeight="1" x14ac:dyDescent="0.25">
      <c r="A686" s="1"/>
      <c r="B686" s="182"/>
      <c r="C686" s="38"/>
      <c r="D686" s="38"/>
      <c r="E686" s="38"/>
      <c r="F686" s="38"/>
      <c r="G686" s="38"/>
      <c r="H686" s="38"/>
      <c r="I686" s="38"/>
      <c r="J686" s="38"/>
      <c r="K686" s="38"/>
      <c r="L686" s="38"/>
      <c r="M686" s="38"/>
      <c r="N686" s="178"/>
      <c r="O686" s="38"/>
      <c r="P686" s="38"/>
      <c r="Q686" s="38"/>
      <c r="R686" s="38"/>
      <c r="S686" s="38"/>
      <c r="T686" s="38"/>
      <c r="U686" s="38"/>
      <c r="V686" s="38"/>
      <c r="W686" s="38"/>
      <c r="X686" s="38"/>
      <c r="Y686" s="38"/>
      <c r="Z686" s="38"/>
      <c r="AA686" s="38"/>
      <c r="AB686" s="38"/>
      <c r="AC686" s="38"/>
      <c r="AD686" s="38"/>
      <c r="AE686" s="38"/>
      <c r="AF686" s="178"/>
      <c r="AG686" s="178"/>
      <c r="AH686" s="178"/>
      <c r="AI686" s="178"/>
      <c r="AJ686" s="38"/>
      <c r="AK686" s="38"/>
      <c r="AL686" s="38"/>
      <c r="AM686" s="38"/>
      <c r="AN686" s="38"/>
      <c r="AO686" s="179"/>
      <c r="AP686" s="180"/>
      <c r="AQ686" s="181"/>
      <c r="AR686" s="180"/>
      <c r="AS686" s="181"/>
      <c r="AT686" s="183"/>
      <c r="AU686" s="38"/>
      <c r="AV686" s="38"/>
      <c r="AW686" s="38"/>
      <c r="AX686" s="38"/>
      <c r="AY686" s="38"/>
      <c r="AZ686" s="38"/>
      <c r="BA686" s="38"/>
      <c r="BB686" s="38"/>
      <c r="BC686" s="38"/>
      <c r="BD686" s="38"/>
      <c r="BE686" s="38"/>
      <c r="BF686" s="1"/>
      <c r="BG686" s="1"/>
    </row>
    <row r="687" spans="1:59" ht="14.25" customHeight="1" x14ac:dyDescent="0.25">
      <c r="A687" s="1"/>
      <c r="B687" s="182"/>
      <c r="C687" s="38"/>
      <c r="D687" s="38"/>
      <c r="E687" s="38"/>
      <c r="F687" s="38"/>
      <c r="G687" s="38"/>
      <c r="H687" s="38"/>
      <c r="I687" s="38"/>
      <c r="J687" s="38"/>
      <c r="K687" s="38"/>
      <c r="L687" s="38"/>
      <c r="M687" s="38"/>
      <c r="N687" s="178"/>
      <c r="O687" s="38"/>
      <c r="P687" s="38"/>
      <c r="Q687" s="38"/>
      <c r="R687" s="38"/>
      <c r="S687" s="38"/>
      <c r="T687" s="38"/>
      <c r="U687" s="38"/>
      <c r="V687" s="38"/>
      <c r="W687" s="38"/>
      <c r="X687" s="38"/>
      <c r="Y687" s="38"/>
      <c r="Z687" s="38"/>
      <c r="AA687" s="38"/>
      <c r="AB687" s="38"/>
      <c r="AC687" s="38"/>
      <c r="AD687" s="38"/>
      <c r="AE687" s="38"/>
      <c r="AF687" s="178"/>
      <c r="AG687" s="178"/>
      <c r="AH687" s="178"/>
      <c r="AI687" s="178"/>
      <c r="AJ687" s="38"/>
      <c r="AK687" s="38"/>
      <c r="AL687" s="38"/>
      <c r="AM687" s="38"/>
      <c r="AN687" s="38"/>
      <c r="AO687" s="179"/>
      <c r="AP687" s="180"/>
      <c r="AQ687" s="181"/>
      <c r="AR687" s="180"/>
      <c r="AS687" s="181"/>
      <c r="AT687" s="183"/>
      <c r="AU687" s="38"/>
      <c r="AV687" s="38"/>
      <c r="AW687" s="38"/>
      <c r="AX687" s="38"/>
      <c r="AY687" s="38"/>
      <c r="AZ687" s="38"/>
      <c r="BA687" s="38"/>
      <c r="BB687" s="38"/>
      <c r="BC687" s="38"/>
      <c r="BD687" s="38"/>
      <c r="BE687" s="38"/>
      <c r="BF687" s="1"/>
      <c r="BG687" s="1"/>
    </row>
    <row r="688" spans="1:59" ht="14.25" customHeight="1" x14ac:dyDescent="0.25">
      <c r="A688" s="1"/>
      <c r="B688" s="182"/>
      <c r="C688" s="38"/>
      <c r="D688" s="38"/>
      <c r="E688" s="38"/>
      <c r="F688" s="38"/>
      <c r="G688" s="38"/>
      <c r="H688" s="38"/>
      <c r="I688" s="38"/>
      <c r="J688" s="38"/>
      <c r="K688" s="38"/>
      <c r="L688" s="38"/>
      <c r="M688" s="38"/>
      <c r="N688" s="178"/>
      <c r="O688" s="38"/>
      <c r="P688" s="38"/>
      <c r="Q688" s="38"/>
      <c r="R688" s="38"/>
      <c r="S688" s="38"/>
      <c r="T688" s="38"/>
      <c r="U688" s="38"/>
      <c r="V688" s="38"/>
      <c r="W688" s="38"/>
      <c r="X688" s="38"/>
      <c r="Y688" s="38"/>
      <c r="Z688" s="38"/>
      <c r="AA688" s="38"/>
      <c r="AB688" s="38"/>
      <c r="AC688" s="38"/>
      <c r="AD688" s="38"/>
      <c r="AE688" s="38"/>
      <c r="AF688" s="178"/>
      <c r="AG688" s="178"/>
      <c r="AH688" s="178"/>
      <c r="AI688" s="178"/>
      <c r="AJ688" s="38"/>
      <c r="AK688" s="38"/>
      <c r="AL688" s="38"/>
      <c r="AM688" s="38"/>
      <c r="AN688" s="38"/>
      <c r="AO688" s="179"/>
      <c r="AP688" s="180"/>
      <c r="AQ688" s="181"/>
      <c r="AR688" s="180"/>
      <c r="AS688" s="181"/>
      <c r="AT688" s="183"/>
      <c r="AU688" s="38"/>
      <c r="AV688" s="38"/>
      <c r="AW688" s="38"/>
      <c r="AX688" s="38"/>
      <c r="AY688" s="38"/>
      <c r="AZ688" s="38"/>
      <c r="BA688" s="38"/>
      <c r="BB688" s="38"/>
      <c r="BC688" s="38"/>
      <c r="BD688" s="38"/>
      <c r="BE688" s="38"/>
      <c r="BF688" s="1"/>
      <c r="BG688" s="1"/>
    </row>
    <row r="689" spans="1:59" ht="14.25" customHeight="1" x14ac:dyDescent="0.25">
      <c r="A689" s="1"/>
      <c r="B689" s="182"/>
      <c r="C689" s="38"/>
      <c r="D689" s="38"/>
      <c r="E689" s="38"/>
      <c r="F689" s="38"/>
      <c r="G689" s="38"/>
      <c r="H689" s="38"/>
      <c r="I689" s="38"/>
      <c r="J689" s="38"/>
      <c r="K689" s="38"/>
      <c r="L689" s="38"/>
      <c r="M689" s="38"/>
      <c r="N689" s="178"/>
      <c r="O689" s="38"/>
      <c r="P689" s="38"/>
      <c r="Q689" s="38"/>
      <c r="R689" s="38"/>
      <c r="S689" s="38"/>
      <c r="T689" s="38"/>
      <c r="U689" s="38"/>
      <c r="V689" s="38"/>
      <c r="W689" s="38"/>
      <c r="X689" s="38"/>
      <c r="Y689" s="38"/>
      <c r="Z689" s="38"/>
      <c r="AA689" s="38"/>
      <c r="AB689" s="38"/>
      <c r="AC689" s="38"/>
      <c r="AD689" s="38"/>
      <c r="AE689" s="38"/>
      <c r="AF689" s="178"/>
      <c r="AG689" s="178"/>
      <c r="AH689" s="178"/>
      <c r="AI689" s="178"/>
      <c r="AJ689" s="38"/>
      <c r="AK689" s="38"/>
      <c r="AL689" s="38"/>
      <c r="AM689" s="38"/>
      <c r="AN689" s="38"/>
      <c r="AO689" s="179"/>
      <c r="AP689" s="180"/>
      <c r="AQ689" s="181"/>
      <c r="AR689" s="180"/>
      <c r="AS689" s="181"/>
      <c r="AT689" s="183"/>
      <c r="AU689" s="38"/>
      <c r="AV689" s="38"/>
      <c r="AW689" s="38"/>
      <c r="AX689" s="38"/>
      <c r="AY689" s="38"/>
      <c r="AZ689" s="38"/>
      <c r="BA689" s="38"/>
      <c r="BB689" s="38"/>
      <c r="BC689" s="38"/>
      <c r="BD689" s="38"/>
      <c r="BE689" s="38"/>
      <c r="BF689" s="1"/>
      <c r="BG689" s="1"/>
    </row>
    <row r="690" spans="1:59" ht="14.25" customHeight="1" x14ac:dyDescent="0.25">
      <c r="A690" s="1"/>
      <c r="B690" s="182"/>
      <c r="C690" s="38"/>
      <c r="D690" s="38"/>
      <c r="E690" s="38"/>
      <c r="F690" s="38"/>
      <c r="G690" s="38"/>
      <c r="H690" s="38"/>
      <c r="I690" s="38"/>
      <c r="J690" s="38"/>
      <c r="K690" s="38"/>
      <c r="L690" s="38"/>
      <c r="M690" s="38"/>
      <c r="N690" s="178"/>
      <c r="O690" s="38"/>
      <c r="P690" s="38"/>
      <c r="Q690" s="38"/>
      <c r="R690" s="38"/>
      <c r="S690" s="38"/>
      <c r="T690" s="38"/>
      <c r="U690" s="38"/>
      <c r="V690" s="38"/>
      <c r="W690" s="38"/>
      <c r="X690" s="38"/>
      <c r="Y690" s="38"/>
      <c r="Z690" s="38"/>
      <c r="AA690" s="38"/>
      <c r="AB690" s="38"/>
      <c r="AC690" s="38"/>
      <c r="AD690" s="38"/>
      <c r="AE690" s="38"/>
      <c r="AF690" s="178"/>
      <c r="AG690" s="178"/>
      <c r="AH690" s="178"/>
      <c r="AI690" s="178"/>
      <c r="AJ690" s="38"/>
      <c r="AK690" s="38"/>
      <c r="AL690" s="38"/>
      <c r="AM690" s="38"/>
      <c r="AN690" s="38"/>
      <c r="AO690" s="179"/>
      <c r="AP690" s="180"/>
      <c r="AQ690" s="181"/>
      <c r="AR690" s="180"/>
      <c r="AS690" s="181"/>
      <c r="AT690" s="183"/>
      <c r="AU690" s="38"/>
      <c r="AV690" s="38"/>
      <c r="AW690" s="38"/>
      <c r="AX690" s="38"/>
      <c r="AY690" s="38"/>
      <c r="AZ690" s="38"/>
      <c r="BA690" s="38"/>
      <c r="BB690" s="38"/>
      <c r="BC690" s="38"/>
      <c r="BD690" s="38"/>
      <c r="BE690" s="38"/>
      <c r="BF690" s="1"/>
      <c r="BG690" s="1"/>
    </row>
    <row r="691" spans="1:59" ht="14.25" customHeight="1" x14ac:dyDescent="0.25">
      <c r="A691" s="1"/>
      <c r="B691" s="182"/>
      <c r="C691" s="38"/>
      <c r="D691" s="38"/>
      <c r="E691" s="38"/>
      <c r="F691" s="38"/>
      <c r="G691" s="38"/>
      <c r="H691" s="38"/>
      <c r="I691" s="38"/>
      <c r="J691" s="38"/>
      <c r="K691" s="38"/>
      <c r="L691" s="38"/>
      <c r="M691" s="38"/>
      <c r="N691" s="178"/>
      <c r="O691" s="38"/>
      <c r="P691" s="38"/>
      <c r="Q691" s="38"/>
      <c r="R691" s="38"/>
      <c r="S691" s="38"/>
      <c r="T691" s="38"/>
      <c r="U691" s="38"/>
      <c r="V691" s="38"/>
      <c r="W691" s="38"/>
      <c r="X691" s="38"/>
      <c r="Y691" s="38"/>
      <c r="Z691" s="38"/>
      <c r="AA691" s="38"/>
      <c r="AB691" s="38"/>
      <c r="AC691" s="38"/>
      <c r="AD691" s="38"/>
      <c r="AE691" s="38"/>
      <c r="AF691" s="178"/>
      <c r="AG691" s="178"/>
      <c r="AH691" s="178"/>
      <c r="AI691" s="178"/>
      <c r="AJ691" s="38"/>
      <c r="AK691" s="38"/>
      <c r="AL691" s="38"/>
      <c r="AM691" s="38"/>
      <c r="AN691" s="38"/>
      <c r="AO691" s="179"/>
      <c r="AP691" s="180"/>
      <c r="AQ691" s="181"/>
      <c r="AR691" s="180"/>
      <c r="AS691" s="181"/>
      <c r="AT691" s="183"/>
      <c r="AU691" s="38"/>
      <c r="AV691" s="38"/>
      <c r="AW691" s="38"/>
      <c r="AX691" s="38"/>
      <c r="AY691" s="38"/>
      <c r="AZ691" s="38"/>
      <c r="BA691" s="38"/>
      <c r="BB691" s="38"/>
      <c r="BC691" s="38"/>
      <c r="BD691" s="38"/>
      <c r="BE691" s="38"/>
      <c r="BF691" s="1"/>
      <c r="BG691" s="1"/>
    </row>
    <row r="692" spans="1:59" ht="14.25" customHeight="1" x14ac:dyDescent="0.25">
      <c r="A692" s="1"/>
      <c r="B692" s="182"/>
      <c r="C692" s="38"/>
      <c r="D692" s="38"/>
      <c r="E692" s="38"/>
      <c r="F692" s="38"/>
      <c r="G692" s="38"/>
      <c r="H692" s="38"/>
      <c r="I692" s="38"/>
      <c r="J692" s="38"/>
      <c r="K692" s="38"/>
      <c r="L692" s="38"/>
      <c r="M692" s="38"/>
      <c r="N692" s="178"/>
      <c r="O692" s="38"/>
      <c r="P692" s="38"/>
      <c r="Q692" s="38"/>
      <c r="R692" s="38"/>
      <c r="S692" s="38"/>
      <c r="T692" s="38"/>
      <c r="U692" s="38"/>
      <c r="V692" s="38"/>
      <c r="W692" s="38"/>
      <c r="X692" s="38"/>
      <c r="Y692" s="38"/>
      <c r="Z692" s="38"/>
      <c r="AA692" s="38"/>
      <c r="AB692" s="38"/>
      <c r="AC692" s="38"/>
      <c r="AD692" s="38"/>
      <c r="AE692" s="38"/>
      <c r="AF692" s="178"/>
      <c r="AG692" s="178"/>
      <c r="AH692" s="178"/>
      <c r="AI692" s="178"/>
      <c r="AJ692" s="38"/>
      <c r="AK692" s="38"/>
      <c r="AL692" s="38"/>
      <c r="AM692" s="38"/>
      <c r="AN692" s="38"/>
      <c r="AO692" s="179"/>
      <c r="AP692" s="180"/>
      <c r="AQ692" s="181"/>
      <c r="AR692" s="180"/>
      <c r="AS692" s="181"/>
      <c r="AT692" s="183"/>
      <c r="AU692" s="38"/>
      <c r="AV692" s="38"/>
      <c r="AW692" s="38"/>
      <c r="AX692" s="38"/>
      <c r="AY692" s="38"/>
      <c r="AZ692" s="38"/>
      <c r="BA692" s="38"/>
      <c r="BB692" s="38"/>
      <c r="BC692" s="38"/>
      <c r="BD692" s="38"/>
      <c r="BE692" s="38"/>
      <c r="BF692" s="1"/>
      <c r="BG692" s="1"/>
    </row>
    <row r="693" spans="1:59" ht="14.25" customHeight="1" x14ac:dyDescent="0.25">
      <c r="A693" s="1"/>
      <c r="B693" s="182"/>
      <c r="C693" s="38"/>
      <c r="D693" s="38"/>
      <c r="E693" s="38"/>
      <c r="F693" s="38"/>
      <c r="G693" s="38"/>
      <c r="H693" s="38"/>
      <c r="I693" s="38"/>
      <c r="J693" s="38"/>
      <c r="K693" s="38"/>
      <c r="L693" s="38"/>
      <c r="M693" s="38"/>
      <c r="N693" s="178"/>
      <c r="O693" s="38"/>
      <c r="P693" s="38"/>
      <c r="Q693" s="38"/>
      <c r="R693" s="38"/>
      <c r="S693" s="38"/>
      <c r="T693" s="38"/>
      <c r="U693" s="38"/>
      <c r="V693" s="38"/>
      <c r="W693" s="38"/>
      <c r="X693" s="38"/>
      <c r="Y693" s="38"/>
      <c r="Z693" s="38"/>
      <c r="AA693" s="38"/>
      <c r="AB693" s="38"/>
      <c r="AC693" s="38"/>
      <c r="AD693" s="38"/>
      <c r="AE693" s="38"/>
      <c r="AF693" s="178"/>
      <c r="AG693" s="178"/>
      <c r="AH693" s="178"/>
      <c r="AI693" s="178"/>
      <c r="AJ693" s="38"/>
      <c r="AK693" s="38"/>
      <c r="AL693" s="38"/>
      <c r="AM693" s="38"/>
      <c r="AN693" s="38"/>
      <c r="AO693" s="179"/>
      <c r="AP693" s="180"/>
      <c r="AQ693" s="181"/>
      <c r="AR693" s="180"/>
      <c r="AS693" s="181"/>
      <c r="AT693" s="183"/>
      <c r="AU693" s="38"/>
      <c r="AV693" s="38"/>
      <c r="AW693" s="38"/>
      <c r="AX693" s="38"/>
      <c r="AY693" s="38"/>
      <c r="AZ693" s="38"/>
      <c r="BA693" s="38"/>
      <c r="BB693" s="38"/>
      <c r="BC693" s="38"/>
      <c r="BD693" s="38"/>
      <c r="BE693" s="38"/>
      <c r="BF693" s="1"/>
      <c r="BG693" s="1"/>
    </row>
    <row r="694" spans="1:59" ht="14.25" customHeight="1" x14ac:dyDescent="0.25">
      <c r="A694" s="1"/>
      <c r="B694" s="182"/>
      <c r="C694" s="38"/>
      <c r="D694" s="38"/>
      <c r="E694" s="38"/>
      <c r="F694" s="38"/>
      <c r="G694" s="38"/>
      <c r="H694" s="38"/>
      <c r="I694" s="38"/>
      <c r="J694" s="38"/>
      <c r="K694" s="38"/>
      <c r="L694" s="38"/>
      <c r="M694" s="38"/>
      <c r="N694" s="178"/>
      <c r="O694" s="38"/>
      <c r="P694" s="38"/>
      <c r="Q694" s="38"/>
      <c r="R694" s="38"/>
      <c r="S694" s="38"/>
      <c r="T694" s="38"/>
      <c r="U694" s="38"/>
      <c r="V694" s="38"/>
      <c r="W694" s="38"/>
      <c r="X694" s="38"/>
      <c r="Y694" s="38"/>
      <c r="Z694" s="38"/>
      <c r="AA694" s="38"/>
      <c r="AB694" s="38"/>
      <c r="AC694" s="38"/>
      <c r="AD694" s="38"/>
      <c r="AE694" s="38"/>
      <c r="AF694" s="178"/>
      <c r="AG694" s="178"/>
      <c r="AH694" s="178"/>
      <c r="AI694" s="178"/>
      <c r="AJ694" s="38"/>
      <c r="AK694" s="38"/>
      <c r="AL694" s="38"/>
      <c r="AM694" s="38"/>
      <c r="AN694" s="38"/>
      <c r="AO694" s="179"/>
      <c r="AP694" s="180"/>
      <c r="AQ694" s="181"/>
      <c r="AR694" s="180"/>
      <c r="AS694" s="181"/>
      <c r="AT694" s="183"/>
      <c r="AU694" s="38"/>
      <c r="AV694" s="38"/>
      <c r="AW694" s="38"/>
      <c r="AX694" s="38"/>
      <c r="AY694" s="38"/>
      <c r="AZ694" s="38"/>
      <c r="BA694" s="38"/>
      <c r="BB694" s="38"/>
      <c r="BC694" s="38"/>
      <c r="BD694" s="38"/>
      <c r="BE694" s="38"/>
      <c r="BF694" s="1"/>
      <c r="BG694" s="1"/>
    </row>
    <row r="695" spans="1:59" ht="14.25" customHeight="1" x14ac:dyDescent="0.25">
      <c r="A695" s="1"/>
      <c r="B695" s="182"/>
      <c r="C695" s="38"/>
      <c r="D695" s="38"/>
      <c r="E695" s="38"/>
      <c r="F695" s="38"/>
      <c r="G695" s="38"/>
      <c r="H695" s="38"/>
      <c r="I695" s="38"/>
      <c r="J695" s="38"/>
      <c r="K695" s="38"/>
      <c r="L695" s="38"/>
      <c r="M695" s="38"/>
      <c r="N695" s="178"/>
      <c r="O695" s="38"/>
      <c r="P695" s="38"/>
      <c r="Q695" s="38"/>
      <c r="R695" s="38"/>
      <c r="S695" s="38"/>
      <c r="T695" s="38"/>
      <c r="U695" s="38"/>
      <c r="V695" s="38"/>
      <c r="W695" s="38"/>
      <c r="X695" s="38"/>
      <c r="Y695" s="38"/>
      <c r="Z695" s="38"/>
      <c r="AA695" s="38"/>
      <c r="AB695" s="38"/>
      <c r="AC695" s="38"/>
      <c r="AD695" s="38"/>
      <c r="AE695" s="38"/>
      <c r="AF695" s="178"/>
      <c r="AG695" s="178"/>
      <c r="AH695" s="178"/>
      <c r="AI695" s="178"/>
      <c r="AJ695" s="38"/>
      <c r="AK695" s="38"/>
      <c r="AL695" s="38"/>
      <c r="AM695" s="38"/>
      <c r="AN695" s="38"/>
      <c r="AO695" s="179"/>
      <c r="AP695" s="180"/>
      <c r="AQ695" s="181"/>
      <c r="AR695" s="180"/>
      <c r="AS695" s="181"/>
      <c r="AT695" s="183"/>
      <c r="AU695" s="38"/>
      <c r="AV695" s="38"/>
      <c r="AW695" s="38"/>
      <c r="AX695" s="38"/>
      <c r="AY695" s="38"/>
      <c r="AZ695" s="38"/>
      <c r="BA695" s="38"/>
      <c r="BB695" s="38"/>
      <c r="BC695" s="38"/>
      <c r="BD695" s="38"/>
      <c r="BE695" s="38"/>
      <c r="BF695" s="1"/>
      <c r="BG695" s="1"/>
    </row>
  </sheetData>
  <autoFilter ref="A8:BG492" xr:uid="{00000000-0009-0000-0000-000000000000}"/>
  <customSheetViews>
    <customSheetView guid="{F596EA56-C336-4646-A7F4-E694B630509B}" filter="1" showAutoFilter="1">
      <pageMargins left="0.7" right="0.7" top="0.75" bottom="0.75" header="0.3" footer="0.3"/>
      <autoFilter ref="A7:BF491" xr:uid="{F7C786AD-180E-4CEA-B8FF-EC00BDBA0DEB}">
        <filterColumn colId="10">
          <filters>
            <filter val="Bagnolo san Vito (Capoluogo)"/>
            <filter val="Curtatone (Loc. Buscoldo)"/>
            <filter val="Motteggiana"/>
            <filter val="S. Martino dall’Argine (capoluogo)"/>
          </filters>
        </filterColumn>
      </autoFilter>
      <extLst>
        <ext uri="GoogleSheetsCustomDataVersion1">
          <go:sheetsCustomData xmlns:go="http://customooxmlschemas.google.com/" filterViewId="699858338"/>
        </ext>
      </extLst>
    </customSheetView>
  </customSheetViews>
  <conditionalFormatting sqref="AT9:AT33 AT37:AT52 AT54 AT56:AT59 AT69:AT185 AT187 AT189:AT234 AT236:AT240 AT243 AT247 AT252 AT275 AS276:AS285 AT280:AT285 AT290:AT453 AT458:AT459 AT467:AT486 AT491:AT494">
    <cfRule type="cellIs" dxfId="14" priority="1" operator="equal">
      <formula>"regolare"</formula>
    </cfRule>
    <cfRule type="cellIs" dxfId="13" priority="2" operator="equal">
      <formula>"in scadenza"</formula>
    </cfRule>
    <cfRule type="cellIs" dxfId="12" priority="3" operator="equal">
      <formula>"scaduto"</formula>
    </cfRule>
  </conditionalFormatting>
  <pageMargins left="0.7" right="0.7" top="0.75" bottom="0.75" header="0" footer="0"/>
  <pageSetup paperSize="9"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E999"/>
  <sheetViews>
    <sheetView workbookViewId="0"/>
  </sheetViews>
  <sheetFormatPr defaultColWidth="14.42578125" defaultRowHeight="15" customHeight="1" outlineLevelCol="1" x14ac:dyDescent="0.25"/>
  <cols>
    <col min="1" max="1" width="5.85546875" customWidth="1"/>
    <col min="4" max="4" width="18.28515625" customWidth="1"/>
    <col min="6" max="6" width="27.5703125" customWidth="1"/>
    <col min="8" max="8" width="42.5703125" customWidth="1"/>
    <col min="10" max="10" width="21.7109375" customWidth="1"/>
    <col min="11" max="11" width="39.7109375" customWidth="1"/>
    <col min="13" max="38" width="14.42578125" hidden="1" outlineLevel="1"/>
    <col min="40" max="40" width="41.5703125" customWidth="1"/>
    <col min="41" max="41" width="31.5703125" customWidth="1"/>
    <col min="43" max="43" width="23.85546875" customWidth="1"/>
  </cols>
  <sheetData>
    <row r="1" spans="1:57" ht="51" customHeight="1" x14ac:dyDescent="0.25">
      <c r="A1" s="15"/>
      <c r="B1" s="15" t="s">
        <v>43</v>
      </c>
      <c r="C1" s="15" t="s">
        <v>44</v>
      </c>
      <c r="D1" s="15" t="s">
        <v>45</v>
      </c>
      <c r="E1" s="15" t="s">
        <v>46</v>
      </c>
      <c r="F1" s="15" t="s">
        <v>47</v>
      </c>
      <c r="G1" s="15" t="s">
        <v>48</v>
      </c>
      <c r="H1" s="15" t="s">
        <v>49</v>
      </c>
      <c r="I1" s="15" t="s">
        <v>50</v>
      </c>
      <c r="J1" s="15" t="s">
        <v>51</v>
      </c>
      <c r="K1" s="15" t="s">
        <v>52</v>
      </c>
      <c r="L1" s="15" t="s">
        <v>53</v>
      </c>
      <c r="M1" s="17" t="s">
        <v>54</v>
      </c>
      <c r="N1" s="15" t="s">
        <v>55</v>
      </c>
      <c r="O1" s="15" t="s">
        <v>56</v>
      </c>
      <c r="P1" s="15" t="s">
        <v>57</v>
      </c>
      <c r="Q1" s="15" t="s">
        <v>58</v>
      </c>
      <c r="R1" s="15" t="s">
        <v>59</v>
      </c>
      <c r="S1" s="15" t="s">
        <v>60</v>
      </c>
      <c r="T1" s="15" t="s">
        <v>61</v>
      </c>
      <c r="U1" s="15" t="s">
        <v>62</v>
      </c>
      <c r="V1" s="15" t="s">
        <v>63</v>
      </c>
      <c r="W1" s="15" t="s">
        <v>64</v>
      </c>
      <c r="X1" s="15" t="s">
        <v>65</v>
      </c>
      <c r="Y1" s="15" t="s">
        <v>66</v>
      </c>
      <c r="Z1" s="15" t="s">
        <v>67</v>
      </c>
      <c r="AA1" s="15" t="s">
        <v>27</v>
      </c>
      <c r="AB1" s="15" t="s">
        <v>68</v>
      </c>
      <c r="AC1" s="15" t="s">
        <v>69</v>
      </c>
      <c r="AD1" s="15" t="s">
        <v>70</v>
      </c>
      <c r="AE1" s="17" t="s">
        <v>71</v>
      </c>
      <c r="AF1" s="17" t="s">
        <v>72</v>
      </c>
      <c r="AG1" s="17" t="s">
        <v>73</v>
      </c>
      <c r="AH1" s="17" t="s">
        <v>74</v>
      </c>
      <c r="AI1" s="15" t="s">
        <v>2704</v>
      </c>
      <c r="AJ1" s="15" t="s">
        <v>76</v>
      </c>
      <c r="AK1" s="15" t="s">
        <v>77</v>
      </c>
      <c r="AL1" s="15" t="s">
        <v>78</v>
      </c>
      <c r="AM1" s="18" t="s">
        <v>80</v>
      </c>
      <c r="AN1" s="17" t="s">
        <v>81</v>
      </c>
      <c r="AO1" s="17" t="s">
        <v>82</v>
      </c>
      <c r="AP1" s="17" t="s">
        <v>83</v>
      </c>
      <c r="AQ1" s="16" t="s">
        <v>84</v>
      </c>
      <c r="AR1" s="15" t="s">
        <v>85</v>
      </c>
      <c r="AS1" s="15"/>
      <c r="AT1" s="15"/>
      <c r="AU1" s="15"/>
      <c r="AV1" s="15"/>
      <c r="AW1" s="15"/>
      <c r="AX1" s="15"/>
      <c r="AY1" s="15"/>
      <c r="AZ1" s="15"/>
      <c r="BA1" s="15"/>
      <c r="BB1" s="15"/>
      <c r="BC1" s="15"/>
      <c r="BD1" s="1"/>
      <c r="BE1" s="1"/>
    </row>
    <row r="2" spans="1:57" ht="13.5" customHeight="1" x14ac:dyDescent="0.25">
      <c r="A2" s="19"/>
      <c r="B2" s="21"/>
      <c r="C2" s="21" t="s">
        <v>2705</v>
      </c>
      <c r="D2" s="21" t="str">
        <f>C2&amp;""&amp;'Tabella riassuntiva'!$E$1</f>
        <v>PP0200350001001B</v>
      </c>
      <c r="E2" s="21"/>
      <c r="F2" s="21" t="s">
        <v>2540</v>
      </c>
      <c r="G2" s="21"/>
      <c r="H2" s="21" t="s">
        <v>2706</v>
      </c>
      <c r="I2" s="21"/>
      <c r="J2" s="21" t="s">
        <v>2707</v>
      </c>
      <c r="K2" s="31" t="s">
        <v>2708</v>
      </c>
      <c r="L2" s="21"/>
      <c r="M2" s="22"/>
      <c r="N2" s="21"/>
      <c r="O2" s="21"/>
      <c r="P2" s="24"/>
      <c r="Q2" s="24"/>
      <c r="R2" s="23"/>
      <c r="S2" s="23"/>
      <c r="T2" s="23"/>
      <c r="U2" s="23"/>
      <c r="V2" s="52"/>
      <c r="W2" s="23"/>
      <c r="X2" s="21"/>
      <c r="Y2" s="21"/>
      <c r="Z2" s="23"/>
      <c r="AA2" s="21"/>
      <c r="AB2" s="21"/>
      <c r="AC2" s="21"/>
      <c r="AD2" s="21"/>
      <c r="AE2" s="41"/>
      <c r="AF2" s="41"/>
      <c r="AG2" s="41"/>
      <c r="AH2" s="41"/>
      <c r="AI2" s="24"/>
      <c r="AJ2" s="24"/>
      <c r="AK2" s="24"/>
      <c r="AL2" s="21"/>
      <c r="AM2" s="21">
        <v>2029</v>
      </c>
      <c r="AN2" s="29" t="s">
        <v>2709</v>
      </c>
      <c r="AO2" s="29" t="s">
        <v>2710</v>
      </c>
      <c r="AP2" s="29"/>
      <c r="AQ2" s="29"/>
      <c r="AR2" s="26"/>
      <c r="AS2" s="43"/>
      <c r="AT2" s="43"/>
      <c r="AU2" s="43"/>
      <c r="AV2" s="43"/>
      <c r="AW2" s="43"/>
      <c r="AX2" s="43"/>
      <c r="AY2" s="43"/>
      <c r="AZ2" s="43"/>
      <c r="BA2" s="43"/>
      <c r="BB2" s="43"/>
      <c r="BC2" s="43"/>
      <c r="BD2" s="1"/>
      <c r="BE2" s="1"/>
    </row>
    <row r="3" spans="1:57" ht="13.5" customHeight="1" x14ac:dyDescent="0.25">
      <c r="A3" s="19"/>
      <c r="B3" s="21"/>
      <c r="C3" s="21" t="s">
        <v>2711</v>
      </c>
      <c r="D3" s="21" t="str">
        <f>C3&amp;""&amp;'Tabella riassuntiva'!$E$1</f>
        <v>PP0200350002001B</v>
      </c>
      <c r="E3" s="21"/>
      <c r="F3" s="21" t="s">
        <v>2540</v>
      </c>
      <c r="G3" s="21"/>
      <c r="H3" s="21" t="s">
        <v>2712</v>
      </c>
      <c r="I3" s="21"/>
      <c r="J3" s="21" t="s">
        <v>2707</v>
      </c>
      <c r="K3" s="31" t="s">
        <v>2713</v>
      </c>
      <c r="L3" s="21"/>
      <c r="M3" s="22"/>
      <c r="N3" s="21"/>
      <c r="O3" s="21"/>
      <c r="P3" s="24"/>
      <c r="Q3" s="24"/>
      <c r="R3" s="23"/>
      <c r="S3" s="23"/>
      <c r="T3" s="23"/>
      <c r="U3" s="23"/>
      <c r="V3" s="52"/>
      <c r="W3" s="23"/>
      <c r="X3" s="21"/>
      <c r="Y3" s="21"/>
      <c r="Z3" s="23"/>
      <c r="AA3" s="21"/>
      <c r="AB3" s="21"/>
      <c r="AC3" s="21"/>
      <c r="AD3" s="21"/>
      <c r="AE3" s="41"/>
      <c r="AF3" s="41"/>
      <c r="AG3" s="41"/>
      <c r="AH3" s="41"/>
      <c r="AI3" s="24"/>
      <c r="AJ3" s="24"/>
      <c r="AK3" s="24"/>
      <c r="AL3" s="21"/>
      <c r="AM3" s="21">
        <v>2029</v>
      </c>
      <c r="AN3" s="29" t="s">
        <v>2709</v>
      </c>
      <c r="AO3" s="29" t="s">
        <v>2710</v>
      </c>
      <c r="AP3" s="29"/>
      <c r="AQ3" s="29"/>
      <c r="AR3" s="26"/>
      <c r="AS3" s="43"/>
      <c r="AT3" s="43"/>
      <c r="AU3" s="43"/>
      <c r="AV3" s="43"/>
      <c r="AW3" s="43"/>
      <c r="AX3" s="43"/>
      <c r="AY3" s="43"/>
      <c r="AZ3" s="43"/>
      <c r="BA3" s="43"/>
      <c r="BB3" s="43"/>
      <c r="BC3" s="43"/>
      <c r="BD3" s="1"/>
      <c r="BE3" s="1"/>
    </row>
    <row r="4" spans="1:57" ht="13.5" customHeight="1" x14ac:dyDescent="0.25">
      <c r="A4" s="19"/>
      <c r="B4" s="21"/>
      <c r="C4" s="21" t="s">
        <v>2714</v>
      </c>
      <c r="D4" s="21" t="str">
        <f>C4&amp;""&amp;'Tabella riassuntiva'!$E$1</f>
        <v>PP0200350004001B</v>
      </c>
      <c r="E4" s="21"/>
      <c r="F4" s="21" t="s">
        <v>2540</v>
      </c>
      <c r="G4" s="21"/>
      <c r="H4" s="21" t="s">
        <v>2715</v>
      </c>
      <c r="I4" s="21"/>
      <c r="J4" s="21" t="s">
        <v>2707</v>
      </c>
      <c r="K4" s="31" t="s">
        <v>2716</v>
      </c>
      <c r="L4" s="21"/>
      <c r="M4" s="22"/>
      <c r="N4" s="21"/>
      <c r="O4" s="21"/>
      <c r="P4" s="24"/>
      <c r="Q4" s="24"/>
      <c r="R4" s="23"/>
      <c r="S4" s="23"/>
      <c r="T4" s="23"/>
      <c r="U4" s="23"/>
      <c r="V4" s="52"/>
      <c r="W4" s="23"/>
      <c r="X4" s="21"/>
      <c r="Y4" s="21"/>
      <c r="Z4" s="23"/>
      <c r="AA4" s="21"/>
      <c r="AB4" s="21"/>
      <c r="AC4" s="21"/>
      <c r="AD4" s="21"/>
      <c r="AE4" s="41"/>
      <c r="AF4" s="41"/>
      <c r="AG4" s="41"/>
      <c r="AH4" s="41"/>
      <c r="AI4" s="24"/>
      <c r="AJ4" s="24"/>
      <c r="AK4" s="24"/>
      <c r="AL4" s="21"/>
      <c r="AM4" s="21">
        <v>2029</v>
      </c>
      <c r="AN4" s="29" t="s">
        <v>2709</v>
      </c>
      <c r="AO4" s="29" t="s">
        <v>2710</v>
      </c>
      <c r="AP4" s="29"/>
      <c r="AQ4" s="29"/>
      <c r="AR4" s="26"/>
      <c r="AS4" s="43"/>
      <c r="AT4" s="43"/>
      <c r="AU4" s="43"/>
      <c r="AV4" s="43"/>
      <c r="AW4" s="43"/>
      <c r="AX4" s="43"/>
      <c r="AY4" s="43"/>
      <c r="AZ4" s="43"/>
      <c r="BA4" s="43"/>
      <c r="BB4" s="43"/>
      <c r="BC4" s="43"/>
      <c r="BD4" s="1"/>
      <c r="BE4" s="1"/>
    </row>
    <row r="5" spans="1:57" ht="13.5" customHeight="1" x14ac:dyDescent="0.25">
      <c r="A5" s="19"/>
      <c r="B5" s="21"/>
      <c r="C5" s="21" t="s">
        <v>2717</v>
      </c>
      <c r="D5" s="21" t="str">
        <f>C5&amp;""&amp;'Tabella riassuntiva'!$E$1</f>
        <v>PP0200350006001B</v>
      </c>
      <c r="E5" s="21"/>
      <c r="F5" s="21" t="s">
        <v>2540</v>
      </c>
      <c r="G5" s="21"/>
      <c r="H5" s="21" t="s">
        <v>2718</v>
      </c>
      <c r="I5" s="21"/>
      <c r="J5" s="21" t="s">
        <v>2707</v>
      </c>
      <c r="K5" s="31" t="s">
        <v>2719</v>
      </c>
      <c r="L5" s="21"/>
      <c r="M5" s="22"/>
      <c r="N5" s="21"/>
      <c r="O5" s="21"/>
      <c r="P5" s="24"/>
      <c r="Q5" s="24"/>
      <c r="R5" s="23"/>
      <c r="S5" s="23"/>
      <c r="T5" s="23"/>
      <c r="U5" s="23"/>
      <c r="V5" s="52"/>
      <c r="W5" s="23"/>
      <c r="X5" s="21"/>
      <c r="Y5" s="21"/>
      <c r="Z5" s="23"/>
      <c r="AA5" s="21"/>
      <c r="AB5" s="21"/>
      <c r="AC5" s="21"/>
      <c r="AD5" s="21"/>
      <c r="AE5" s="41"/>
      <c r="AF5" s="41"/>
      <c r="AG5" s="41"/>
      <c r="AH5" s="41"/>
      <c r="AI5" s="24"/>
      <c r="AJ5" s="24"/>
      <c r="AK5" s="24"/>
      <c r="AL5" s="21"/>
      <c r="AM5" s="21">
        <v>2029</v>
      </c>
      <c r="AN5" s="29" t="s">
        <v>2709</v>
      </c>
      <c r="AO5" s="29" t="s">
        <v>2710</v>
      </c>
      <c r="AP5" s="29"/>
      <c r="AQ5" s="29"/>
      <c r="AR5" s="26"/>
      <c r="AS5" s="43"/>
      <c r="AT5" s="43"/>
      <c r="AU5" s="43"/>
      <c r="AV5" s="43"/>
      <c r="AW5" s="43"/>
      <c r="AX5" s="43"/>
      <c r="AY5" s="43"/>
      <c r="AZ5" s="43"/>
      <c r="BA5" s="43"/>
      <c r="BB5" s="43"/>
      <c r="BC5" s="43"/>
      <c r="BD5" s="1"/>
      <c r="BE5" s="1"/>
    </row>
    <row r="6" spans="1:57" ht="13.5" customHeight="1" x14ac:dyDescent="0.25">
      <c r="A6" s="19"/>
      <c r="B6" s="21"/>
      <c r="C6" s="21" t="s">
        <v>2720</v>
      </c>
      <c r="D6" s="21" t="str">
        <f>C6&amp;""&amp;'Tabella riassuntiva'!$E$1</f>
        <v>PP0200350007001B</v>
      </c>
      <c r="E6" s="21"/>
      <c r="F6" s="21" t="s">
        <v>2540</v>
      </c>
      <c r="G6" s="21"/>
      <c r="H6" s="21" t="s">
        <v>2718</v>
      </c>
      <c r="I6" s="21"/>
      <c r="J6" s="21" t="s">
        <v>2707</v>
      </c>
      <c r="K6" s="31" t="s">
        <v>2719</v>
      </c>
      <c r="L6" s="21"/>
      <c r="M6" s="22"/>
      <c r="N6" s="21"/>
      <c r="O6" s="21"/>
      <c r="P6" s="24"/>
      <c r="Q6" s="24"/>
      <c r="R6" s="23"/>
      <c r="S6" s="23"/>
      <c r="T6" s="23"/>
      <c r="U6" s="23"/>
      <c r="V6" s="52"/>
      <c r="W6" s="23"/>
      <c r="X6" s="21"/>
      <c r="Y6" s="21"/>
      <c r="Z6" s="23"/>
      <c r="AA6" s="21"/>
      <c r="AB6" s="21"/>
      <c r="AC6" s="21"/>
      <c r="AD6" s="21"/>
      <c r="AE6" s="41"/>
      <c r="AF6" s="41"/>
      <c r="AG6" s="41"/>
      <c r="AH6" s="41"/>
      <c r="AI6" s="24"/>
      <c r="AJ6" s="24"/>
      <c r="AK6" s="24"/>
      <c r="AL6" s="21"/>
      <c r="AM6" s="21">
        <v>2029</v>
      </c>
      <c r="AN6" s="29" t="s">
        <v>2709</v>
      </c>
      <c r="AO6" s="29" t="s">
        <v>2710</v>
      </c>
      <c r="AP6" s="29"/>
      <c r="AQ6" s="29"/>
      <c r="AR6" s="26"/>
      <c r="AS6" s="43"/>
      <c r="AT6" s="43"/>
      <c r="AU6" s="43"/>
      <c r="AV6" s="43"/>
      <c r="AW6" s="43"/>
      <c r="AX6" s="43"/>
      <c r="AY6" s="43"/>
      <c r="AZ6" s="43"/>
      <c r="BA6" s="43"/>
      <c r="BB6" s="43"/>
      <c r="BC6" s="43"/>
      <c r="BD6" s="1"/>
      <c r="BE6" s="1"/>
    </row>
    <row r="7" spans="1:57" ht="13.5" customHeight="1" x14ac:dyDescent="0.25">
      <c r="A7" s="19"/>
      <c r="B7" s="21"/>
      <c r="C7" s="21" t="s">
        <v>2721</v>
      </c>
      <c r="D7" s="21" t="str">
        <f>C7&amp;""&amp;'Tabella riassuntiva'!$E$1</f>
        <v>PP0200350010001B</v>
      </c>
      <c r="E7" s="21"/>
      <c r="F7" s="21" t="s">
        <v>2540</v>
      </c>
      <c r="G7" s="21"/>
      <c r="H7" s="21" t="s">
        <v>2722</v>
      </c>
      <c r="I7" s="21"/>
      <c r="J7" s="21" t="s">
        <v>2707</v>
      </c>
      <c r="K7" s="31" t="s">
        <v>2723</v>
      </c>
      <c r="L7" s="21"/>
      <c r="M7" s="22"/>
      <c r="N7" s="21"/>
      <c r="O7" s="21"/>
      <c r="P7" s="24"/>
      <c r="Q7" s="24"/>
      <c r="R7" s="23"/>
      <c r="S7" s="23"/>
      <c r="T7" s="23"/>
      <c r="U7" s="23"/>
      <c r="V7" s="52"/>
      <c r="W7" s="23"/>
      <c r="X7" s="21"/>
      <c r="Y7" s="21"/>
      <c r="Z7" s="23"/>
      <c r="AA7" s="21"/>
      <c r="AB7" s="21"/>
      <c r="AC7" s="21"/>
      <c r="AD7" s="21"/>
      <c r="AE7" s="41"/>
      <c r="AF7" s="41"/>
      <c r="AG7" s="41"/>
      <c r="AH7" s="41"/>
      <c r="AI7" s="24"/>
      <c r="AJ7" s="24"/>
      <c r="AK7" s="24"/>
      <c r="AL7" s="21"/>
      <c r="AM7" s="21">
        <v>2029</v>
      </c>
      <c r="AN7" s="29" t="s">
        <v>2709</v>
      </c>
      <c r="AO7" s="29" t="s">
        <v>2710</v>
      </c>
      <c r="AP7" s="29"/>
      <c r="AQ7" s="29"/>
      <c r="AR7" s="26"/>
      <c r="AS7" s="43"/>
      <c r="AT7" s="43"/>
      <c r="AU7" s="43"/>
      <c r="AV7" s="43"/>
      <c r="AW7" s="43"/>
      <c r="AX7" s="43"/>
      <c r="AY7" s="43"/>
      <c r="AZ7" s="43"/>
      <c r="BA7" s="43"/>
      <c r="BB7" s="43"/>
      <c r="BC7" s="43"/>
      <c r="BD7" s="1"/>
      <c r="BE7" s="1"/>
    </row>
    <row r="8" spans="1:57" ht="13.5" customHeight="1" x14ac:dyDescent="0.25">
      <c r="A8" s="19"/>
      <c r="B8" s="21"/>
      <c r="C8" s="21" t="s">
        <v>2724</v>
      </c>
      <c r="D8" s="21" t="str">
        <f>C8&amp;""&amp;'Tabella riassuntiva'!$E$1</f>
        <v>PP0200350012001B</v>
      </c>
      <c r="E8" s="21"/>
      <c r="F8" s="21" t="s">
        <v>2540</v>
      </c>
      <c r="G8" s="21"/>
      <c r="H8" s="21" t="s">
        <v>2725</v>
      </c>
      <c r="I8" s="21"/>
      <c r="J8" s="21" t="s">
        <v>2707</v>
      </c>
      <c r="K8" s="31" t="s">
        <v>2716</v>
      </c>
      <c r="L8" s="21"/>
      <c r="M8" s="22"/>
      <c r="N8" s="21"/>
      <c r="O8" s="21"/>
      <c r="P8" s="24"/>
      <c r="Q8" s="24"/>
      <c r="R8" s="23"/>
      <c r="S8" s="23"/>
      <c r="T8" s="23"/>
      <c r="U8" s="23"/>
      <c r="V8" s="52"/>
      <c r="W8" s="23"/>
      <c r="X8" s="21"/>
      <c r="Y8" s="21"/>
      <c r="Z8" s="23"/>
      <c r="AA8" s="21"/>
      <c r="AB8" s="21"/>
      <c r="AC8" s="21"/>
      <c r="AD8" s="21"/>
      <c r="AE8" s="41"/>
      <c r="AF8" s="41"/>
      <c r="AG8" s="41"/>
      <c r="AH8" s="41"/>
      <c r="AI8" s="24"/>
      <c r="AJ8" s="24"/>
      <c r="AK8" s="24"/>
      <c r="AL8" s="21"/>
      <c r="AM8" s="21">
        <v>2029</v>
      </c>
      <c r="AN8" s="29" t="s">
        <v>2709</v>
      </c>
      <c r="AO8" s="29" t="s">
        <v>2710</v>
      </c>
      <c r="AP8" s="29"/>
      <c r="AQ8" s="29"/>
      <c r="AR8" s="26"/>
      <c r="AS8" s="43"/>
      <c r="AT8" s="43"/>
      <c r="AU8" s="43"/>
      <c r="AV8" s="43"/>
      <c r="AW8" s="43"/>
      <c r="AX8" s="43"/>
      <c r="AY8" s="43"/>
      <c r="AZ8" s="43"/>
      <c r="BA8" s="43"/>
      <c r="BB8" s="43"/>
      <c r="BC8" s="43"/>
      <c r="BD8" s="1"/>
      <c r="BE8" s="1"/>
    </row>
    <row r="9" spans="1:57" ht="13.5" customHeight="1" x14ac:dyDescent="0.25">
      <c r="A9" s="19"/>
      <c r="B9" s="21"/>
      <c r="C9" s="21" t="s">
        <v>2726</v>
      </c>
      <c r="D9" s="21" t="str">
        <f>C9&amp;""&amp;'Tabella riassuntiva'!$E$1</f>
        <v>PP0200350011001B</v>
      </c>
      <c r="E9" s="21"/>
      <c r="F9" s="21" t="s">
        <v>2540</v>
      </c>
      <c r="G9" s="21"/>
      <c r="H9" s="21" t="s">
        <v>2727</v>
      </c>
      <c r="I9" s="21"/>
      <c r="J9" s="21" t="s">
        <v>2707</v>
      </c>
      <c r="K9" s="31" t="s">
        <v>2716</v>
      </c>
      <c r="L9" s="21"/>
      <c r="M9" s="22"/>
      <c r="N9" s="21"/>
      <c r="O9" s="21"/>
      <c r="P9" s="24"/>
      <c r="Q9" s="24"/>
      <c r="R9" s="23"/>
      <c r="S9" s="23"/>
      <c r="T9" s="23"/>
      <c r="U9" s="23"/>
      <c r="V9" s="52"/>
      <c r="W9" s="23"/>
      <c r="X9" s="21"/>
      <c r="Y9" s="21"/>
      <c r="Z9" s="23"/>
      <c r="AA9" s="21"/>
      <c r="AB9" s="21"/>
      <c r="AC9" s="21"/>
      <c r="AD9" s="21"/>
      <c r="AE9" s="41"/>
      <c r="AF9" s="41"/>
      <c r="AG9" s="41"/>
      <c r="AH9" s="41"/>
      <c r="AI9" s="24"/>
      <c r="AJ9" s="24"/>
      <c r="AK9" s="24"/>
      <c r="AL9" s="21"/>
      <c r="AM9" s="21">
        <v>2029</v>
      </c>
      <c r="AN9" s="29" t="s">
        <v>2709</v>
      </c>
      <c r="AO9" s="29" t="s">
        <v>2710</v>
      </c>
      <c r="AP9" s="29"/>
      <c r="AQ9" s="29"/>
      <c r="AR9" s="26"/>
      <c r="AS9" s="43"/>
      <c r="AT9" s="43"/>
      <c r="AU9" s="43"/>
      <c r="AV9" s="43"/>
      <c r="AW9" s="43"/>
      <c r="AX9" s="43"/>
      <c r="AY9" s="43"/>
      <c r="AZ9" s="43"/>
      <c r="BA9" s="43"/>
      <c r="BB9" s="43"/>
      <c r="BC9" s="43"/>
      <c r="BD9" s="1"/>
      <c r="BE9" s="1"/>
    </row>
    <row r="10" spans="1:57" ht="13.5" customHeight="1" x14ac:dyDescent="0.25">
      <c r="A10" s="19"/>
      <c r="B10" s="21"/>
      <c r="C10" s="21" t="s">
        <v>2728</v>
      </c>
      <c r="D10" s="21" t="str">
        <f>C10&amp;""&amp;'Tabella riassuntiva'!$E$1</f>
        <v>PP0200350003001B</v>
      </c>
      <c r="E10" s="21"/>
      <c r="F10" s="21" t="s">
        <v>2540</v>
      </c>
      <c r="G10" s="21" t="s">
        <v>2729</v>
      </c>
      <c r="H10" s="21" t="s">
        <v>2730</v>
      </c>
      <c r="I10" s="21"/>
      <c r="J10" s="21" t="s">
        <v>2731</v>
      </c>
      <c r="K10" s="31" t="s">
        <v>2732</v>
      </c>
      <c r="L10" s="21"/>
      <c r="M10" s="22"/>
      <c r="N10" s="21"/>
      <c r="O10" s="21"/>
      <c r="P10" s="24"/>
      <c r="Q10" s="24"/>
      <c r="R10" s="23"/>
      <c r="S10" s="23"/>
      <c r="T10" s="23"/>
      <c r="U10" s="23"/>
      <c r="V10" s="52"/>
      <c r="W10" s="23"/>
      <c r="X10" s="21"/>
      <c r="Y10" s="21"/>
      <c r="Z10" s="23"/>
      <c r="AA10" s="21"/>
      <c r="AB10" s="21"/>
      <c r="AC10" s="21"/>
      <c r="AD10" s="21"/>
      <c r="AE10" s="41"/>
      <c r="AF10" s="41"/>
      <c r="AG10" s="41"/>
      <c r="AH10" s="41"/>
      <c r="AI10" s="24"/>
      <c r="AJ10" s="24"/>
      <c r="AK10" s="24"/>
      <c r="AL10" s="21"/>
      <c r="AM10" s="21">
        <v>2028</v>
      </c>
      <c r="AN10" s="29" t="s">
        <v>2733</v>
      </c>
      <c r="AO10" s="29" t="s">
        <v>2710</v>
      </c>
      <c r="AP10" s="29"/>
      <c r="AQ10" s="29"/>
      <c r="AR10" s="26"/>
      <c r="AS10" s="43"/>
      <c r="AT10" s="43"/>
      <c r="AU10" s="43"/>
      <c r="AV10" s="43"/>
      <c r="AW10" s="43"/>
      <c r="AX10" s="43"/>
      <c r="AY10" s="43"/>
      <c r="AZ10" s="43"/>
      <c r="BA10" s="43"/>
      <c r="BB10" s="43"/>
      <c r="BC10" s="43"/>
      <c r="BD10" s="1"/>
      <c r="BE10" s="1"/>
    </row>
    <row r="11" spans="1:57" ht="13.5" customHeight="1" x14ac:dyDescent="0.25">
      <c r="A11" s="19"/>
      <c r="B11" s="21"/>
      <c r="C11" s="21" t="s">
        <v>2734</v>
      </c>
      <c r="D11" s="21" t="str">
        <f>C11&amp;""&amp;'Tabella riassuntiva'!$E$1</f>
        <v>PP0200350005001B</v>
      </c>
      <c r="E11" s="21"/>
      <c r="F11" s="21" t="s">
        <v>2540</v>
      </c>
      <c r="G11" s="21" t="s">
        <v>2729</v>
      </c>
      <c r="H11" s="21" t="s">
        <v>2735</v>
      </c>
      <c r="I11" s="21"/>
      <c r="J11" s="21" t="s">
        <v>2731</v>
      </c>
      <c r="K11" s="31" t="s">
        <v>2732</v>
      </c>
      <c r="L11" s="21"/>
      <c r="M11" s="22"/>
      <c r="N11" s="21"/>
      <c r="O11" s="21"/>
      <c r="P11" s="24"/>
      <c r="Q11" s="24"/>
      <c r="R11" s="23"/>
      <c r="S11" s="23"/>
      <c r="T11" s="23"/>
      <c r="U11" s="23"/>
      <c r="V11" s="52"/>
      <c r="W11" s="23"/>
      <c r="X11" s="21"/>
      <c r="Y11" s="21"/>
      <c r="Z11" s="23"/>
      <c r="AA11" s="21"/>
      <c r="AB11" s="21"/>
      <c r="AC11" s="21"/>
      <c r="AD11" s="21"/>
      <c r="AE11" s="41"/>
      <c r="AF11" s="41"/>
      <c r="AG11" s="41"/>
      <c r="AH11" s="41"/>
      <c r="AI11" s="24"/>
      <c r="AJ11" s="24"/>
      <c r="AK11" s="24"/>
      <c r="AL11" s="21"/>
      <c r="AM11" s="21">
        <v>2028</v>
      </c>
      <c r="AN11" s="29" t="s">
        <v>2733</v>
      </c>
      <c r="AO11" s="29" t="s">
        <v>2710</v>
      </c>
      <c r="AP11" s="29"/>
      <c r="AQ11" s="29"/>
      <c r="AR11" s="26"/>
      <c r="AS11" s="43"/>
      <c r="AT11" s="43"/>
      <c r="AU11" s="43"/>
      <c r="AV11" s="43"/>
      <c r="AW11" s="43"/>
      <c r="AX11" s="43"/>
      <c r="AY11" s="43"/>
      <c r="AZ11" s="43"/>
      <c r="BA11" s="43"/>
      <c r="BB11" s="43"/>
      <c r="BC11" s="43"/>
      <c r="BD11" s="1"/>
      <c r="BE11" s="1"/>
    </row>
    <row r="12" spans="1:57" ht="13.5" customHeight="1" x14ac:dyDescent="0.25">
      <c r="A12" s="19"/>
      <c r="B12" s="21"/>
      <c r="C12" s="21" t="s">
        <v>2736</v>
      </c>
      <c r="D12" s="21" t="str">
        <f>C12&amp;""&amp;'Tabella riassuntiva'!$E$1</f>
        <v>PP0200350008001B</v>
      </c>
      <c r="E12" s="21"/>
      <c r="F12" s="21" t="s">
        <v>2540</v>
      </c>
      <c r="G12" s="21" t="s">
        <v>2729</v>
      </c>
      <c r="H12" s="21" t="s">
        <v>2737</v>
      </c>
      <c r="I12" s="21"/>
      <c r="J12" s="21" t="s">
        <v>2731</v>
      </c>
      <c r="K12" s="31" t="s">
        <v>2738</v>
      </c>
      <c r="L12" s="21"/>
      <c r="M12" s="22"/>
      <c r="N12" s="21"/>
      <c r="O12" s="21"/>
      <c r="P12" s="24"/>
      <c r="Q12" s="24"/>
      <c r="R12" s="23"/>
      <c r="S12" s="23"/>
      <c r="T12" s="23"/>
      <c r="U12" s="23"/>
      <c r="V12" s="52"/>
      <c r="W12" s="23"/>
      <c r="X12" s="21"/>
      <c r="Y12" s="21"/>
      <c r="Z12" s="23"/>
      <c r="AA12" s="21"/>
      <c r="AB12" s="21"/>
      <c r="AC12" s="21"/>
      <c r="AD12" s="21"/>
      <c r="AE12" s="41"/>
      <c r="AF12" s="41"/>
      <c r="AG12" s="41"/>
      <c r="AH12" s="41"/>
      <c r="AI12" s="24"/>
      <c r="AJ12" s="24"/>
      <c r="AK12" s="24"/>
      <c r="AL12" s="21"/>
      <c r="AM12" s="21">
        <v>2028</v>
      </c>
      <c r="AN12" s="29" t="s">
        <v>2733</v>
      </c>
      <c r="AO12" s="29" t="s">
        <v>2710</v>
      </c>
      <c r="AP12" s="29"/>
      <c r="AQ12" s="29"/>
      <c r="AR12" s="26"/>
      <c r="AS12" s="43"/>
      <c r="AT12" s="43"/>
      <c r="AU12" s="43"/>
      <c r="AV12" s="43"/>
      <c r="AW12" s="43"/>
      <c r="AX12" s="43"/>
      <c r="AY12" s="43"/>
      <c r="AZ12" s="43"/>
      <c r="BA12" s="43"/>
      <c r="BB12" s="43"/>
      <c r="BC12" s="43"/>
      <c r="BD12" s="1"/>
      <c r="BE12" s="1"/>
    </row>
    <row r="13" spans="1:57" ht="13.5" customHeight="1" x14ac:dyDescent="0.25">
      <c r="A13" s="19"/>
      <c r="B13" s="21" t="s">
        <v>2739</v>
      </c>
      <c r="C13" s="21" t="s">
        <v>92</v>
      </c>
      <c r="D13" s="21" t="str">
        <f>C13&amp;""&amp;'Tabella riassuntiva'!$E$1</f>
        <v>-001B</v>
      </c>
      <c r="E13" s="21"/>
      <c r="F13" s="21" t="s">
        <v>2540</v>
      </c>
      <c r="G13" s="21"/>
      <c r="H13" s="21" t="s">
        <v>2740</v>
      </c>
      <c r="I13" s="21"/>
      <c r="J13" s="21" t="s">
        <v>2707</v>
      </c>
      <c r="K13" s="31" t="s">
        <v>2741</v>
      </c>
      <c r="L13" s="21" t="s">
        <v>2742</v>
      </c>
      <c r="M13" s="22"/>
      <c r="N13" s="21"/>
      <c r="O13" s="21"/>
      <c r="P13" s="24"/>
      <c r="Q13" s="24"/>
      <c r="R13" s="23"/>
      <c r="S13" s="23"/>
      <c r="T13" s="23"/>
      <c r="U13" s="23"/>
      <c r="V13" s="52"/>
      <c r="W13" s="23"/>
      <c r="X13" s="21"/>
      <c r="Y13" s="21"/>
      <c r="Z13" s="23"/>
      <c r="AA13" s="21"/>
      <c r="AB13" s="21"/>
      <c r="AC13" s="21"/>
      <c r="AD13" s="21"/>
      <c r="AE13" s="41"/>
      <c r="AF13" s="41"/>
      <c r="AG13" s="41"/>
      <c r="AH13" s="41"/>
      <c r="AI13" s="24"/>
      <c r="AJ13" s="24"/>
      <c r="AK13" s="24"/>
      <c r="AL13" s="21"/>
      <c r="AM13" s="21"/>
      <c r="AN13" s="29"/>
      <c r="AO13" s="29" t="s">
        <v>2710</v>
      </c>
      <c r="AP13" s="29"/>
      <c r="AQ13" s="29"/>
      <c r="AR13" s="26"/>
      <c r="AS13" s="43"/>
      <c r="AT13" s="43"/>
      <c r="AU13" s="43"/>
      <c r="AV13" s="43"/>
      <c r="AW13" s="43"/>
      <c r="AX13" s="43"/>
      <c r="AY13" s="43"/>
      <c r="AZ13" s="43"/>
      <c r="BA13" s="43"/>
      <c r="BB13" s="43"/>
      <c r="BC13" s="43"/>
      <c r="BD13" s="1"/>
      <c r="BE13" s="1"/>
    </row>
    <row r="14" spans="1:57" ht="13.5" customHeight="1" x14ac:dyDescent="0.25">
      <c r="A14" s="19"/>
      <c r="B14" s="21"/>
      <c r="C14" s="21" t="s">
        <v>2743</v>
      </c>
      <c r="D14" s="21" t="str">
        <f>C14&amp;""&amp;'Tabella riassuntiva'!$E$1</f>
        <v>PP0200580001001B</v>
      </c>
      <c r="E14" s="21"/>
      <c r="F14" s="21" t="s">
        <v>2744</v>
      </c>
      <c r="G14" s="21"/>
      <c r="H14" s="21" t="s">
        <v>2745</v>
      </c>
      <c r="I14" s="21"/>
      <c r="J14" s="21" t="s">
        <v>2746</v>
      </c>
      <c r="K14" s="31" t="s">
        <v>2747</v>
      </c>
      <c r="L14" s="21"/>
      <c r="M14" s="22"/>
      <c r="N14" s="21"/>
      <c r="O14" s="21"/>
      <c r="P14" s="24"/>
      <c r="Q14" s="24"/>
      <c r="R14" s="23"/>
      <c r="S14" s="23"/>
      <c r="T14" s="23"/>
      <c r="U14" s="23"/>
      <c r="V14" s="52"/>
      <c r="W14" s="23"/>
      <c r="X14" s="21"/>
      <c r="Y14" s="21"/>
      <c r="Z14" s="23"/>
      <c r="AA14" s="21"/>
      <c r="AB14" s="21"/>
      <c r="AC14" s="21"/>
      <c r="AD14" s="21"/>
      <c r="AE14" s="41"/>
      <c r="AF14" s="41"/>
      <c r="AG14" s="41"/>
      <c r="AH14" s="41"/>
      <c r="AI14" s="24"/>
      <c r="AJ14" s="24"/>
      <c r="AK14" s="24"/>
      <c r="AL14" s="21"/>
      <c r="AM14" s="21">
        <v>2028</v>
      </c>
      <c r="AN14" s="29" t="s">
        <v>2748</v>
      </c>
      <c r="AO14" s="29" t="s">
        <v>2749</v>
      </c>
      <c r="AP14" s="29" t="s">
        <v>2750</v>
      </c>
      <c r="AQ14" s="29" t="s">
        <v>2751</v>
      </c>
      <c r="AR14" s="26" t="s">
        <v>2752</v>
      </c>
      <c r="AS14" s="43"/>
      <c r="AT14" s="43"/>
      <c r="AU14" s="43"/>
      <c r="AV14" s="43"/>
      <c r="AW14" s="43"/>
      <c r="AX14" s="43"/>
      <c r="AY14" s="43"/>
      <c r="AZ14" s="43"/>
      <c r="BA14" s="43"/>
      <c r="BB14" s="43"/>
      <c r="BC14" s="43"/>
      <c r="BD14" s="1"/>
      <c r="BE14" s="1"/>
    </row>
    <row r="15" spans="1:57" ht="13.5" customHeight="1" x14ac:dyDescent="0.25">
      <c r="A15" s="19"/>
      <c r="B15" s="21"/>
      <c r="C15" s="21" t="s">
        <v>2753</v>
      </c>
      <c r="D15" s="21" t="str">
        <f>C15&amp;""&amp;'Tabella riassuntiva'!$E$1</f>
        <v>PP0200580002001B</v>
      </c>
      <c r="E15" s="21"/>
      <c r="F15" s="21" t="s">
        <v>2744</v>
      </c>
      <c r="G15" s="21"/>
      <c r="H15" s="21" t="s">
        <v>2754</v>
      </c>
      <c r="I15" s="21"/>
      <c r="J15" s="21" t="s">
        <v>2746</v>
      </c>
      <c r="K15" s="31" t="s">
        <v>2747</v>
      </c>
      <c r="L15" s="21"/>
      <c r="M15" s="22"/>
      <c r="N15" s="21"/>
      <c r="O15" s="21"/>
      <c r="P15" s="24"/>
      <c r="Q15" s="24"/>
      <c r="R15" s="23"/>
      <c r="S15" s="23"/>
      <c r="T15" s="23"/>
      <c r="U15" s="23"/>
      <c r="V15" s="52"/>
      <c r="W15" s="23"/>
      <c r="X15" s="21"/>
      <c r="Y15" s="21"/>
      <c r="Z15" s="23"/>
      <c r="AA15" s="21"/>
      <c r="AB15" s="21"/>
      <c r="AC15" s="21"/>
      <c r="AD15" s="21"/>
      <c r="AE15" s="41"/>
      <c r="AF15" s="41"/>
      <c r="AG15" s="41"/>
      <c r="AH15" s="41"/>
      <c r="AI15" s="24"/>
      <c r="AJ15" s="24"/>
      <c r="AK15" s="24"/>
      <c r="AL15" s="21"/>
      <c r="AM15" s="21">
        <v>2028</v>
      </c>
      <c r="AN15" s="29" t="s">
        <v>2748</v>
      </c>
      <c r="AO15" s="29"/>
      <c r="AP15" s="29"/>
      <c r="AQ15" s="29"/>
      <c r="AR15" s="26"/>
      <c r="AS15" s="43"/>
      <c r="AT15" s="43"/>
      <c r="AU15" s="43"/>
      <c r="AV15" s="43"/>
      <c r="AW15" s="43"/>
      <c r="AX15" s="43"/>
      <c r="AY15" s="43"/>
      <c r="AZ15" s="43"/>
      <c r="BA15" s="43"/>
      <c r="BB15" s="43"/>
      <c r="BC15" s="43"/>
      <c r="BD15" s="1"/>
      <c r="BE15" s="1"/>
    </row>
    <row r="16" spans="1:57" ht="13.5" customHeight="1" x14ac:dyDescent="0.25">
      <c r="A16" s="19"/>
      <c r="B16" s="21"/>
      <c r="C16" s="21" t="s">
        <v>2755</v>
      </c>
      <c r="D16" s="21" t="str">
        <f>C16&amp;""&amp;'Tabella riassuntiva'!$E$1</f>
        <v>PP0200420014001B</v>
      </c>
      <c r="E16" s="21"/>
      <c r="F16" s="21" t="s">
        <v>2756</v>
      </c>
      <c r="G16" s="21" t="s">
        <v>2757</v>
      </c>
      <c r="H16" s="21" t="s">
        <v>2757</v>
      </c>
      <c r="I16" s="21"/>
      <c r="J16" s="21" t="s">
        <v>2746</v>
      </c>
      <c r="K16" s="31" t="s">
        <v>2758</v>
      </c>
      <c r="L16" s="21"/>
      <c r="M16" s="22"/>
      <c r="N16" s="21"/>
      <c r="O16" s="21"/>
      <c r="P16" s="24"/>
      <c r="Q16" s="24"/>
      <c r="R16" s="23"/>
      <c r="S16" s="23"/>
      <c r="T16" s="23"/>
      <c r="U16" s="23"/>
      <c r="V16" s="52"/>
      <c r="W16" s="23"/>
      <c r="X16" s="21"/>
      <c r="Y16" s="21"/>
      <c r="Z16" s="23"/>
      <c r="AA16" s="21"/>
      <c r="AB16" s="21"/>
      <c r="AC16" s="21"/>
      <c r="AD16" s="21"/>
      <c r="AE16" s="41"/>
      <c r="AF16" s="41"/>
      <c r="AG16" s="41"/>
      <c r="AH16" s="41"/>
      <c r="AI16" s="24"/>
      <c r="AJ16" s="24"/>
      <c r="AK16" s="24"/>
      <c r="AL16" s="21"/>
      <c r="AM16" s="21">
        <v>2028</v>
      </c>
      <c r="AN16" s="29" t="s">
        <v>2748</v>
      </c>
      <c r="AO16" s="29"/>
      <c r="AP16" s="29"/>
      <c r="AQ16" s="29"/>
      <c r="AR16" s="26"/>
      <c r="AS16" s="43"/>
      <c r="AT16" s="43"/>
      <c r="AU16" s="43"/>
      <c r="AV16" s="43"/>
      <c r="AW16" s="43"/>
      <c r="AX16" s="43"/>
      <c r="AY16" s="43"/>
      <c r="AZ16" s="43"/>
      <c r="BA16" s="43"/>
      <c r="BB16" s="43"/>
      <c r="BC16" s="43"/>
      <c r="BD16" s="1"/>
      <c r="BE16" s="1"/>
    </row>
    <row r="17" spans="1:57" ht="13.5" customHeight="1" x14ac:dyDescent="0.25">
      <c r="A17" s="19"/>
      <c r="B17" s="21"/>
      <c r="C17" s="21" t="s">
        <v>2759</v>
      </c>
      <c r="D17" s="21" t="str">
        <f>C17&amp;""&amp;'Tabella riassuntiva'!$E$1</f>
        <v>PP0200420003001B</v>
      </c>
      <c r="E17" s="21"/>
      <c r="F17" s="21" t="s">
        <v>2756</v>
      </c>
      <c r="G17" s="21"/>
      <c r="H17" s="21" t="s">
        <v>2760</v>
      </c>
      <c r="I17" s="21"/>
      <c r="J17" s="21" t="s">
        <v>2746</v>
      </c>
      <c r="K17" s="31" t="s">
        <v>2761</v>
      </c>
      <c r="L17" s="21"/>
      <c r="M17" s="22"/>
      <c r="N17" s="21"/>
      <c r="O17" s="21"/>
      <c r="P17" s="24"/>
      <c r="Q17" s="24"/>
      <c r="R17" s="23"/>
      <c r="S17" s="23"/>
      <c r="T17" s="23"/>
      <c r="U17" s="23"/>
      <c r="V17" s="52"/>
      <c r="W17" s="23"/>
      <c r="X17" s="21"/>
      <c r="Y17" s="21"/>
      <c r="Z17" s="23"/>
      <c r="AA17" s="21"/>
      <c r="AB17" s="21"/>
      <c r="AC17" s="21"/>
      <c r="AD17" s="21"/>
      <c r="AE17" s="41"/>
      <c r="AF17" s="41"/>
      <c r="AG17" s="41"/>
      <c r="AH17" s="41"/>
      <c r="AI17" s="24"/>
      <c r="AJ17" s="24"/>
      <c r="AK17" s="24"/>
      <c r="AL17" s="21"/>
      <c r="AM17" s="21">
        <v>2028</v>
      </c>
      <c r="AN17" s="29" t="s">
        <v>2748</v>
      </c>
      <c r="AO17" s="29"/>
      <c r="AP17" s="29"/>
      <c r="AQ17" s="29"/>
      <c r="AR17" s="26"/>
      <c r="AS17" s="43"/>
      <c r="AT17" s="43"/>
      <c r="AU17" s="43"/>
      <c r="AV17" s="43"/>
      <c r="AW17" s="43"/>
      <c r="AX17" s="43"/>
      <c r="AY17" s="43"/>
      <c r="AZ17" s="43"/>
      <c r="BA17" s="43"/>
      <c r="BB17" s="43"/>
      <c r="BC17" s="43"/>
      <c r="BD17" s="1"/>
      <c r="BE17" s="1"/>
    </row>
    <row r="18" spans="1:57" ht="13.5" customHeight="1" x14ac:dyDescent="0.25">
      <c r="A18" s="19"/>
      <c r="B18" s="21"/>
      <c r="C18" s="21" t="s">
        <v>2762</v>
      </c>
      <c r="D18" s="21" t="str">
        <f>C18&amp;""&amp;'Tabella riassuntiva'!$E$1</f>
        <v>PP0200420011001B</v>
      </c>
      <c r="E18" s="21"/>
      <c r="F18" s="21" t="s">
        <v>2756</v>
      </c>
      <c r="G18" s="21"/>
      <c r="H18" s="21" t="s">
        <v>2763</v>
      </c>
      <c r="I18" s="21"/>
      <c r="J18" s="21" t="s">
        <v>2746</v>
      </c>
      <c r="K18" s="31" t="s">
        <v>2761</v>
      </c>
      <c r="L18" s="21"/>
      <c r="M18" s="22"/>
      <c r="N18" s="21"/>
      <c r="O18" s="21"/>
      <c r="P18" s="24"/>
      <c r="Q18" s="24"/>
      <c r="R18" s="23"/>
      <c r="S18" s="23"/>
      <c r="T18" s="23"/>
      <c r="U18" s="23"/>
      <c r="V18" s="52"/>
      <c r="W18" s="23"/>
      <c r="X18" s="21"/>
      <c r="Y18" s="21"/>
      <c r="Z18" s="23"/>
      <c r="AA18" s="21"/>
      <c r="AB18" s="21"/>
      <c r="AC18" s="21"/>
      <c r="AD18" s="21"/>
      <c r="AE18" s="41"/>
      <c r="AF18" s="41"/>
      <c r="AG18" s="41"/>
      <c r="AH18" s="41"/>
      <c r="AI18" s="24"/>
      <c r="AJ18" s="24"/>
      <c r="AK18" s="24"/>
      <c r="AL18" s="21"/>
      <c r="AM18" s="21">
        <v>2028</v>
      </c>
      <c r="AN18" s="29" t="s">
        <v>2748</v>
      </c>
      <c r="AO18" s="29" t="s">
        <v>2749</v>
      </c>
      <c r="AP18" s="29"/>
      <c r="AQ18" s="29" t="s">
        <v>2764</v>
      </c>
      <c r="AR18" s="26"/>
      <c r="AS18" s="43"/>
      <c r="AT18" s="43"/>
      <c r="AU18" s="43"/>
      <c r="AV18" s="43"/>
      <c r="AW18" s="43"/>
      <c r="AX18" s="43"/>
      <c r="AY18" s="43"/>
      <c r="AZ18" s="43"/>
      <c r="BA18" s="43"/>
      <c r="BB18" s="43"/>
      <c r="BC18" s="43"/>
      <c r="BD18" s="1"/>
      <c r="BE18" s="1"/>
    </row>
    <row r="19" spans="1:57" ht="13.5" customHeight="1" x14ac:dyDescent="0.25">
      <c r="A19" s="19"/>
      <c r="B19" s="21"/>
      <c r="C19" s="21" t="s">
        <v>2765</v>
      </c>
      <c r="D19" s="21" t="str">
        <f>C19&amp;""&amp;'Tabella riassuntiva'!$E$1</f>
        <v>PP0200420010001B</v>
      </c>
      <c r="E19" s="21"/>
      <c r="F19" s="21" t="s">
        <v>2756</v>
      </c>
      <c r="G19" s="21"/>
      <c r="H19" s="21" t="s">
        <v>2766</v>
      </c>
      <c r="I19" s="21"/>
      <c r="J19" s="21" t="s">
        <v>2746</v>
      </c>
      <c r="K19" s="31" t="s">
        <v>2761</v>
      </c>
      <c r="L19" s="21"/>
      <c r="M19" s="22"/>
      <c r="N19" s="21"/>
      <c r="O19" s="21"/>
      <c r="P19" s="24"/>
      <c r="Q19" s="24"/>
      <c r="R19" s="23"/>
      <c r="S19" s="23"/>
      <c r="T19" s="23"/>
      <c r="U19" s="23"/>
      <c r="V19" s="52"/>
      <c r="W19" s="23"/>
      <c r="X19" s="21"/>
      <c r="Y19" s="21"/>
      <c r="Z19" s="23"/>
      <c r="AA19" s="21"/>
      <c r="AB19" s="21"/>
      <c r="AC19" s="21"/>
      <c r="AD19" s="21"/>
      <c r="AE19" s="41"/>
      <c r="AF19" s="41"/>
      <c r="AG19" s="41"/>
      <c r="AH19" s="41"/>
      <c r="AI19" s="24"/>
      <c r="AJ19" s="24"/>
      <c r="AK19" s="24"/>
      <c r="AL19" s="21"/>
      <c r="AM19" s="21">
        <v>2028</v>
      </c>
      <c r="AN19" s="29" t="s">
        <v>2748</v>
      </c>
      <c r="AO19" s="29" t="s">
        <v>2749</v>
      </c>
      <c r="AP19" s="29"/>
      <c r="AQ19" s="29" t="s">
        <v>2767</v>
      </c>
      <c r="AR19" s="26"/>
      <c r="AS19" s="43"/>
      <c r="AT19" s="43"/>
      <c r="AU19" s="43"/>
      <c r="AV19" s="43"/>
      <c r="AW19" s="43"/>
      <c r="AX19" s="43"/>
      <c r="AY19" s="43"/>
      <c r="AZ19" s="43"/>
      <c r="BA19" s="43"/>
      <c r="BB19" s="43"/>
      <c r="BC19" s="43"/>
      <c r="BD19" s="1"/>
      <c r="BE19" s="1"/>
    </row>
    <row r="20" spans="1:57" ht="13.5" customHeight="1" x14ac:dyDescent="0.25">
      <c r="A20" s="19"/>
      <c r="B20" s="21"/>
      <c r="C20" s="21" t="s">
        <v>2768</v>
      </c>
      <c r="D20" s="21" t="str">
        <f>C20&amp;""&amp;'Tabella riassuntiva'!$E$1</f>
        <v>PP0200420009001B</v>
      </c>
      <c r="E20" s="21"/>
      <c r="F20" s="21" t="s">
        <v>2756</v>
      </c>
      <c r="G20" s="21"/>
      <c r="H20" s="21" t="s">
        <v>2769</v>
      </c>
      <c r="I20" s="21"/>
      <c r="J20" s="21" t="s">
        <v>2746</v>
      </c>
      <c r="K20" s="31" t="s">
        <v>2770</v>
      </c>
      <c r="L20" s="21"/>
      <c r="M20" s="22"/>
      <c r="N20" s="21"/>
      <c r="O20" s="21"/>
      <c r="P20" s="24"/>
      <c r="Q20" s="24"/>
      <c r="R20" s="23"/>
      <c r="S20" s="23"/>
      <c r="T20" s="23"/>
      <c r="U20" s="23"/>
      <c r="V20" s="52"/>
      <c r="W20" s="23"/>
      <c r="X20" s="21"/>
      <c r="Y20" s="21"/>
      <c r="Z20" s="23"/>
      <c r="AA20" s="21"/>
      <c r="AB20" s="21"/>
      <c r="AC20" s="21"/>
      <c r="AD20" s="21"/>
      <c r="AE20" s="41"/>
      <c r="AF20" s="41"/>
      <c r="AG20" s="41"/>
      <c r="AH20" s="41"/>
      <c r="AI20" s="24"/>
      <c r="AJ20" s="24"/>
      <c r="AK20" s="24"/>
      <c r="AL20" s="21"/>
      <c r="AM20" s="21">
        <v>2028</v>
      </c>
      <c r="AN20" s="29" t="s">
        <v>2748</v>
      </c>
      <c r="AO20" s="29" t="s">
        <v>2749</v>
      </c>
      <c r="AP20" s="29"/>
      <c r="AQ20" s="29" t="s">
        <v>2771</v>
      </c>
      <c r="AR20" s="26"/>
      <c r="AS20" s="43"/>
      <c r="AT20" s="43"/>
      <c r="AU20" s="43"/>
      <c r="AV20" s="43"/>
      <c r="AW20" s="43"/>
      <c r="AX20" s="43"/>
      <c r="AY20" s="43"/>
      <c r="AZ20" s="43"/>
      <c r="BA20" s="43"/>
      <c r="BB20" s="43"/>
      <c r="BC20" s="43"/>
      <c r="BD20" s="1"/>
      <c r="BE20" s="1"/>
    </row>
    <row r="21" spans="1:57" ht="13.5" customHeight="1" x14ac:dyDescent="0.25">
      <c r="A21" s="19"/>
      <c r="B21" s="21"/>
      <c r="C21" s="21" t="s">
        <v>2772</v>
      </c>
      <c r="D21" s="21" t="str">
        <f>C21&amp;""&amp;'Tabella riassuntiva'!$E$1</f>
        <v>PP0200420006001B</v>
      </c>
      <c r="E21" s="21"/>
      <c r="F21" s="21" t="s">
        <v>2756</v>
      </c>
      <c r="G21" s="21"/>
      <c r="H21" s="21" t="s">
        <v>2773</v>
      </c>
      <c r="I21" s="21"/>
      <c r="J21" s="21" t="s">
        <v>2746</v>
      </c>
      <c r="K21" s="31" t="s">
        <v>2770</v>
      </c>
      <c r="L21" s="21"/>
      <c r="M21" s="22"/>
      <c r="N21" s="21"/>
      <c r="O21" s="21"/>
      <c r="P21" s="24"/>
      <c r="Q21" s="24"/>
      <c r="R21" s="23"/>
      <c r="S21" s="23"/>
      <c r="T21" s="23"/>
      <c r="U21" s="23"/>
      <c r="V21" s="52"/>
      <c r="W21" s="23"/>
      <c r="X21" s="21"/>
      <c r="Y21" s="21"/>
      <c r="Z21" s="23"/>
      <c r="AA21" s="21"/>
      <c r="AB21" s="21"/>
      <c r="AC21" s="21"/>
      <c r="AD21" s="21"/>
      <c r="AE21" s="41"/>
      <c r="AF21" s="41"/>
      <c r="AG21" s="41"/>
      <c r="AH21" s="41"/>
      <c r="AI21" s="24"/>
      <c r="AJ21" s="24"/>
      <c r="AK21" s="24"/>
      <c r="AL21" s="21"/>
      <c r="AM21" s="21">
        <v>2028</v>
      </c>
      <c r="AN21" s="29" t="s">
        <v>2748</v>
      </c>
      <c r="AO21" s="29" t="s">
        <v>2749</v>
      </c>
      <c r="AP21" s="29"/>
      <c r="AQ21" s="29" t="s">
        <v>2774</v>
      </c>
      <c r="AR21" s="26"/>
      <c r="AS21" s="43"/>
      <c r="AT21" s="43"/>
      <c r="AU21" s="43"/>
      <c r="AV21" s="43"/>
      <c r="AW21" s="43"/>
      <c r="AX21" s="43"/>
      <c r="AY21" s="43"/>
      <c r="AZ21" s="43"/>
      <c r="BA21" s="43"/>
      <c r="BB21" s="43"/>
      <c r="BC21" s="43"/>
      <c r="BD21" s="1"/>
      <c r="BE21" s="1"/>
    </row>
    <row r="22" spans="1:57" ht="13.5" customHeight="1" x14ac:dyDescent="0.25">
      <c r="A22" s="19"/>
      <c r="B22" s="21"/>
      <c r="C22" s="21" t="s">
        <v>2775</v>
      </c>
      <c r="D22" s="21" t="str">
        <f>C22&amp;""&amp;'Tabella riassuntiva'!$E$1</f>
        <v>PP0200420004001B</v>
      </c>
      <c r="E22" s="21"/>
      <c r="F22" s="21" t="s">
        <v>2756</v>
      </c>
      <c r="G22" s="21"/>
      <c r="H22" s="21" t="s">
        <v>2776</v>
      </c>
      <c r="I22" s="21"/>
      <c r="J22" s="21" t="s">
        <v>2746</v>
      </c>
      <c r="K22" s="31" t="s">
        <v>2777</v>
      </c>
      <c r="L22" s="21"/>
      <c r="M22" s="22"/>
      <c r="N22" s="21"/>
      <c r="O22" s="21"/>
      <c r="P22" s="24"/>
      <c r="Q22" s="24"/>
      <c r="R22" s="23"/>
      <c r="S22" s="23"/>
      <c r="T22" s="23"/>
      <c r="U22" s="23"/>
      <c r="V22" s="52"/>
      <c r="W22" s="23"/>
      <c r="X22" s="21"/>
      <c r="Y22" s="21"/>
      <c r="Z22" s="23"/>
      <c r="AA22" s="21"/>
      <c r="AB22" s="21"/>
      <c r="AC22" s="21"/>
      <c r="AD22" s="21"/>
      <c r="AE22" s="41"/>
      <c r="AF22" s="41"/>
      <c r="AG22" s="41"/>
      <c r="AH22" s="41"/>
      <c r="AI22" s="24"/>
      <c r="AJ22" s="24"/>
      <c r="AK22" s="24"/>
      <c r="AL22" s="21"/>
      <c r="AM22" s="21">
        <v>2028</v>
      </c>
      <c r="AN22" s="29" t="s">
        <v>2748</v>
      </c>
      <c r="AO22" s="29" t="s">
        <v>2749</v>
      </c>
      <c r="AP22" s="29"/>
      <c r="AQ22" s="29" t="s">
        <v>2778</v>
      </c>
      <c r="AR22" s="26"/>
      <c r="AS22" s="43"/>
      <c r="AT22" s="43"/>
      <c r="AU22" s="43"/>
      <c r="AV22" s="43"/>
      <c r="AW22" s="43"/>
      <c r="AX22" s="43"/>
      <c r="AY22" s="43"/>
      <c r="AZ22" s="43"/>
      <c r="BA22" s="43"/>
      <c r="BB22" s="43"/>
      <c r="BC22" s="43"/>
      <c r="BD22" s="1"/>
      <c r="BE22" s="1"/>
    </row>
    <row r="23" spans="1:57" ht="13.5" customHeight="1" x14ac:dyDescent="0.25">
      <c r="A23" s="19"/>
      <c r="B23" s="21"/>
      <c r="C23" s="21" t="s">
        <v>2779</v>
      </c>
      <c r="D23" s="21" t="str">
        <f>C23&amp;""&amp;'Tabella riassuntiva'!$E$1</f>
        <v>PP0200420016001B</v>
      </c>
      <c r="E23" s="21"/>
      <c r="F23" s="21" t="s">
        <v>2756</v>
      </c>
      <c r="G23" s="21" t="s">
        <v>2780</v>
      </c>
      <c r="H23" s="21" t="s">
        <v>2781</v>
      </c>
      <c r="I23" s="21"/>
      <c r="J23" s="21" t="s">
        <v>2746</v>
      </c>
      <c r="K23" s="31" t="s">
        <v>2777</v>
      </c>
      <c r="L23" s="21"/>
      <c r="M23" s="22"/>
      <c r="N23" s="21"/>
      <c r="O23" s="21"/>
      <c r="P23" s="24"/>
      <c r="Q23" s="24"/>
      <c r="R23" s="23"/>
      <c r="S23" s="23"/>
      <c r="T23" s="23"/>
      <c r="U23" s="23"/>
      <c r="V23" s="52"/>
      <c r="W23" s="23"/>
      <c r="X23" s="21"/>
      <c r="Y23" s="21"/>
      <c r="Z23" s="23"/>
      <c r="AA23" s="21"/>
      <c r="AB23" s="21"/>
      <c r="AC23" s="21"/>
      <c r="AD23" s="21"/>
      <c r="AE23" s="41"/>
      <c r="AF23" s="41"/>
      <c r="AG23" s="41"/>
      <c r="AH23" s="41"/>
      <c r="AI23" s="24"/>
      <c r="AJ23" s="24"/>
      <c r="AK23" s="24"/>
      <c r="AL23" s="21"/>
      <c r="AM23" s="21">
        <v>2028</v>
      </c>
      <c r="AN23" s="29" t="s">
        <v>2748</v>
      </c>
      <c r="AO23" s="29" t="s">
        <v>2749</v>
      </c>
      <c r="AP23" s="29"/>
      <c r="AQ23" s="29" t="s">
        <v>2782</v>
      </c>
      <c r="AR23" s="26"/>
      <c r="AS23" s="43"/>
      <c r="AT23" s="43"/>
      <c r="AU23" s="43"/>
      <c r="AV23" s="43"/>
      <c r="AW23" s="43"/>
      <c r="AX23" s="43"/>
      <c r="AY23" s="43"/>
      <c r="AZ23" s="43"/>
      <c r="BA23" s="43"/>
      <c r="BB23" s="43"/>
      <c r="BC23" s="43"/>
      <c r="BD23" s="1"/>
      <c r="BE23" s="1"/>
    </row>
    <row r="24" spans="1:57" ht="13.5" customHeight="1" x14ac:dyDescent="0.25">
      <c r="A24" s="19"/>
      <c r="B24" s="21"/>
      <c r="C24" s="21" t="s">
        <v>2783</v>
      </c>
      <c r="D24" s="21" t="str">
        <f>C24&amp;""&amp;'Tabella riassuntiva'!$E$1</f>
        <v>PP0200420015001B</v>
      </c>
      <c r="E24" s="21"/>
      <c r="F24" s="21" t="s">
        <v>2756</v>
      </c>
      <c r="G24" s="21" t="s">
        <v>2780</v>
      </c>
      <c r="H24" s="21" t="s">
        <v>2784</v>
      </c>
      <c r="I24" s="21"/>
      <c r="J24" s="21" t="s">
        <v>2746</v>
      </c>
      <c r="K24" s="31" t="s">
        <v>2777</v>
      </c>
      <c r="L24" s="21"/>
      <c r="M24" s="22"/>
      <c r="N24" s="21"/>
      <c r="O24" s="21"/>
      <c r="P24" s="24"/>
      <c r="Q24" s="24"/>
      <c r="R24" s="23"/>
      <c r="S24" s="23"/>
      <c r="T24" s="23"/>
      <c r="U24" s="23"/>
      <c r="V24" s="52"/>
      <c r="W24" s="23"/>
      <c r="X24" s="21"/>
      <c r="Y24" s="21"/>
      <c r="Z24" s="23"/>
      <c r="AA24" s="21"/>
      <c r="AB24" s="21"/>
      <c r="AC24" s="21"/>
      <c r="AD24" s="21"/>
      <c r="AE24" s="41"/>
      <c r="AF24" s="41"/>
      <c r="AG24" s="41"/>
      <c r="AH24" s="41"/>
      <c r="AI24" s="24"/>
      <c r="AJ24" s="24"/>
      <c r="AK24" s="24"/>
      <c r="AL24" s="21"/>
      <c r="AM24" s="21">
        <v>2028</v>
      </c>
      <c r="AN24" s="29" t="s">
        <v>2748</v>
      </c>
      <c r="AO24" s="29" t="s">
        <v>2749</v>
      </c>
      <c r="AP24" s="29"/>
      <c r="AQ24" s="29" t="s">
        <v>2782</v>
      </c>
      <c r="AR24" s="26"/>
      <c r="AS24" s="43"/>
      <c r="AT24" s="43"/>
      <c r="AU24" s="43"/>
      <c r="AV24" s="43"/>
      <c r="AW24" s="43"/>
      <c r="AX24" s="43"/>
      <c r="AY24" s="43"/>
      <c r="AZ24" s="43"/>
      <c r="BA24" s="43"/>
      <c r="BB24" s="43"/>
      <c r="BC24" s="43"/>
      <c r="BD24" s="1"/>
      <c r="BE24" s="1"/>
    </row>
    <row r="25" spans="1:57" ht="13.5" customHeight="1" x14ac:dyDescent="0.25">
      <c r="A25" s="19"/>
      <c r="B25" s="21"/>
      <c r="C25" s="21" t="s">
        <v>2785</v>
      </c>
      <c r="D25" s="21" t="str">
        <f>C25&amp;""&amp;'Tabella riassuntiva'!$E$1</f>
        <v>PP0200420008001B</v>
      </c>
      <c r="E25" s="21"/>
      <c r="F25" s="21" t="s">
        <v>2756</v>
      </c>
      <c r="G25" s="21"/>
      <c r="H25" s="21" t="s">
        <v>2786</v>
      </c>
      <c r="I25" s="21"/>
      <c r="J25" s="21" t="s">
        <v>2746</v>
      </c>
      <c r="K25" s="31" t="s">
        <v>2761</v>
      </c>
      <c r="L25" s="21"/>
      <c r="M25" s="22"/>
      <c r="N25" s="21"/>
      <c r="O25" s="21"/>
      <c r="P25" s="24"/>
      <c r="Q25" s="24"/>
      <c r="R25" s="23"/>
      <c r="S25" s="23"/>
      <c r="T25" s="23"/>
      <c r="U25" s="23"/>
      <c r="V25" s="52"/>
      <c r="W25" s="23"/>
      <c r="X25" s="21"/>
      <c r="Y25" s="21"/>
      <c r="Z25" s="23"/>
      <c r="AA25" s="21"/>
      <c r="AB25" s="21"/>
      <c r="AC25" s="21"/>
      <c r="AD25" s="21"/>
      <c r="AE25" s="41"/>
      <c r="AF25" s="41"/>
      <c r="AG25" s="41"/>
      <c r="AH25" s="41"/>
      <c r="AI25" s="24"/>
      <c r="AJ25" s="24"/>
      <c r="AK25" s="24"/>
      <c r="AL25" s="21"/>
      <c r="AM25" s="21">
        <v>2028</v>
      </c>
      <c r="AN25" s="29" t="s">
        <v>2748</v>
      </c>
      <c r="AO25" s="29" t="s">
        <v>2749</v>
      </c>
      <c r="AP25" s="29"/>
      <c r="AQ25" s="29" t="s">
        <v>2787</v>
      </c>
      <c r="AR25" s="26"/>
      <c r="AS25" s="43"/>
      <c r="AT25" s="43"/>
      <c r="AU25" s="43"/>
      <c r="AV25" s="43"/>
      <c r="AW25" s="43"/>
      <c r="AX25" s="43"/>
      <c r="AY25" s="43"/>
      <c r="AZ25" s="43"/>
      <c r="BA25" s="43"/>
      <c r="BB25" s="43"/>
      <c r="BC25" s="43"/>
      <c r="BD25" s="1"/>
      <c r="BE25" s="1"/>
    </row>
    <row r="26" spans="1:57" ht="13.5" customHeight="1" x14ac:dyDescent="0.25">
      <c r="A26" s="19"/>
      <c r="B26" s="21"/>
      <c r="C26" s="21" t="s">
        <v>2788</v>
      </c>
      <c r="D26" s="21" t="str">
        <f>C26&amp;""&amp;'Tabella riassuntiva'!$E$1</f>
        <v>PP0200420007001B</v>
      </c>
      <c r="E26" s="21"/>
      <c r="F26" s="21" t="s">
        <v>2756</v>
      </c>
      <c r="G26" s="21"/>
      <c r="H26" s="21" t="s">
        <v>2789</v>
      </c>
      <c r="I26" s="21"/>
      <c r="J26" s="21" t="s">
        <v>2746</v>
      </c>
      <c r="K26" s="31" t="s">
        <v>2770</v>
      </c>
      <c r="L26" s="21"/>
      <c r="M26" s="22"/>
      <c r="N26" s="21"/>
      <c r="O26" s="21"/>
      <c r="P26" s="24"/>
      <c r="Q26" s="24"/>
      <c r="R26" s="23"/>
      <c r="S26" s="23"/>
      <c r="T26" s="23"/>
      <c r="U26" s="23"/>
      <c r="V26" s="52"/>
      <c r="W26" s="23"/>
      <c r="X26" s="21"/>
      <c r="Y26" s="21"/>
      <c r="Z26" s="23"/>
      <c r="AA26" s="21"/>
      <c r="AB26" s="21"/>
      <c r="AC26" s="21"/>
      <c r="AD26" s="21"/>
      <c r="AE26" s="41"/>
      <c r="AF26" s="41"/>
      <c r="AG26" s="41"/>
      <c r="AH26" s="41"/>
      <c r="AI26" s="24"/>
      <c r="AJ26" s="24"/>
      <c r="AK26" s="24"/>
      <c r="AL26" s="21"/>
      <c r="AM26" s="21">
        <v>2028</v>
      </c>
      <c r="AN26" s="29" t="s">
        <v>2748</v>
      </c>
      <c r="AO26" s="29" t="s">
        <v>2749</v>
      </c>
      <c r="AP26" s="29"/>
      <c r="AQ26" s="29" t="s">
        <v>2790</v>
      </c>
      <c r="AR26" s="26"/>
      <c r="AS26" s="43"/>
      <c r="AT26" s="43"/>
      <c r="AU26" s="43"/>
      <c r="AV26" s="43"/>
      <c r="AW26" s="43"/>
      <c r="AX26" s="43"/>
      <c r="AY26" s="43"/>
      <c r="AZ26" s="43"/>
      <c r="BA26" s="43"/>
      <c r="BB26" s="43"/>
      <c r="BC26" s="43"/>
      <c r="BD26" s="1"/>
      <c r="BE26" s="1"/>
    </row>
    <row r="27" spans="1:57" ht="13.5" customHeight="1" x14ac:dyDescent="0.25">
      <c r="A27" s="19"/>
      <c r="B27" s="21"/>
      <c r="C27" s="21" t="s">
        <v>2791</v>
      </c>
      <c r="D27" s="21" t="str">
        <f>C27&amp;""&amp;'Tabella riassuntiva'!$E$1</f>
        <v>PP0200420001001B</v>
      </c>
      <c r="E27" s="21"/>
      <c r="F27" s="21" t="s">
        <v>2756</v>
      </c>
      <c r="G27" s="21"/>
      <c r="H27" s="21" t="s">
        <v>2792</v>
      </c>
      <c r="I27" s="21"/>
      <c r="J27" s="21" t="s">
        <v>2746</v>
      </c>
      <c r="K27" s="31" t="s">
        <v>2758</v>
      </c>
      <c r="L27" s="21"/>
      <c r="M27" s="22"/>
      <c r="N27" s="21"/>
      <c r="O27" s="21"/>
      <c r="P27" s="24"/>
      <c r="Q27" s="24"/>
      <c r="R27" s="23"/>
      <c r="S27" s="23"/>
      <c r="T27" s="23"/>
      <c r="U27" s="23"/>
      <c r="V27" s="52"/>
      <c r="W27" s="23"/>
      <c r="X27" s="21"/>
      <c r="Y27" s="21"/>
      <c r="Z27" s="23"/>
      <c r="AA27" s="21"/>
      <c r="AB27" s="21"/>
      <c r="AC27" s="21"/>
      <c r="AD27" s="21"/>
      <c r="AE27" s="41"/>
      <c r="AF27" s="41"/>
      <c r="AG27" s="41"/>
      <c r="AH27" s="41"/>
      <c r="AI27" s="24"/>
      <c r="AJ27" s="24"/>
      <c r="AK27" s="24"/>
      <c r="AL27" s="21"/>
      <c r="AM27" s="21">
        <v>2028</v>
      </c>
      <c r="AN27" s="29" t="s">
        <v>2748</v>
      </c>
      <c r="AO27" s="29" t="s">
        <v>2749</v>
      </c>
      <c r="AP27" s="29"/>
      <c r="AQ27" s="29" t="s">
        <v>2793</v>
      </c>
      <c r="AR27" s="26" t="s">
        <v>2794</v>
      </c>
      <c r="AS27" s="43"/>
      <c r="AT27" s="43"/>
      <c r="AU27" s="43"/>
      <c r="AV27" s="43"/>
      <c r="AW27" s="43"/>
      <c r="AX27" s="43"/>
      <c r="AY27" s="43"/>
      <c r="AZ27" s="43"/>
      <c r="BA27" s="43"/>
      <c r="BB27" s="43"/>
      <c r="BC27" s="43"/>
      <c r="BD27" s="1"/>
      <c r="BE27" s="1"/>
    </row>
    <row r="28" spans="1:57" ht="13.5" customHeight="1" x14ac:dyDescent="0.25">
      <c r="A28" s="19"/>
      <c r="B28" s="21"/>
      <c r="C28" s="21" t="s">
        <v>2795</v>
      </c>
      <c r="D28" s="21" t="str">
        <f>C28&amp;""&amp;'Tabella riassuntiva'!$E$1</f>
        <v>PP0200420005001B</v>
      </c>
      <c r="E28" s="21"/>
      <c r="F28" s="21" t="s">
        <v>2756</v>
      </c>
      <c r="G28" s="21"/>
      <c r="H28" s="21" t="s">
        <v>2796</v>
      </c>
      <c r="I28" s="21"/>
      <c r="J28" s="21" t="s">
        <v>2746</v>
      </c>
      <c r="K28" s="31" t="s">
        <v>2758</v>
      </c>
      <c r="L28" s="21"/>
      <c r="M28" s="22"/>
      <c r="N28" s="21"/>
      <c r="O28" s="21"/>
      <c r="P28" s="24"/>
      <c r="Q28" s="24"/>
      <c r="R28" s="23"/>
      <c r="S28" s="23"/>
      <c r="T28" s="23"/>
      <c r="U28" s="23"/>
      <c r="V28" s="52"/>
      <c r="W28" s="23"/>
      <c r="X28" s="21"/>
      <c r="Y28" s="21"/>
      <c r="Z28" s="23"/>
      <c r="AA28" s="21"/>
      <c r="AB28" s="21"/>
      <c r="AC28" s="21"/>
      <c r="AD28" s="21"/>
      <c r="AE28" s="41"/>
      <c r="AF28" s="41"/>
      <c r="AG28" s="41"/>
      <c r="AH28" s="41"/>
      <c r="AI28" s="24"/>
      <c r="AJ28" s="24"/>
      <c r="AK28" s="24"/>
      <c r="AL28" s="21"/>
      <c r="AM28" s="21">
        <v>2028</v>
      </c>
      <c r="AN28" s="29" t="s">
        <v>2748</v>
      </c>
      <c r="AO28" s="29" t="s">
        <v>2749</v>
      </c>
      <c r="AP28" s="29"/>
      <c r="AQ28" s="29" t="s">
        <v>2797</v>
      </c>
      <c r="AR28" s="26"/>
      <c r="AS28" s="43"/>
      <c r="AT28" s="43"/>
      <c r="AU28" s="43"/>
      <c r="AV28" s="43"/>
      <c r="AW28" s="43"/>
      <c r="AX28" s="43"/>
      <c r="AY28" s="43"/>
      <c r="AZ28" s="43"/>
      <c r="BA28" s="43"/>
      <c r="BB28" s="43"/>
      <c r="BC28" s="43"/>
      <c r="BD28" s="1"/>
      <c r="BE28" s="1"/>
    </row>
    <row r="29" spans="1:57" ht="13.5" customHeight="1" x14ac:dyDescent="0.25">
      <c r="A29" s="19"/>
      <c r="B29" s="21"/>
      <c r="C29" s="21" t="s">
        <v>2798</v>
      </c>
      <c r="D29" s="21" t="str">
        <f>C29&amp;""&amp;'Tabella riassuntiva'!$E$1</f>
        <v>PP0200420002001B</v>
      </c>
      <c r="E29" s="21"/>
      <c r="F29" s="21" t="s">
        <v>2756</v>
      </c>
      <c r="G29" s="21"/>
      <c r="H29" s="21" t="s">
        <v>2799</v>
      </c>
      <c r="I29" s="21"/>
      <c r="J29" s="21" t="s">
        <v>2746</v>
      </c>
      <c r="K29" s="31" t="s">
        <v>2747</v>
      </c>
      <c r="L29" s="21"/>
      <c r="M29" s="22"/>
      <c r="N29" s="21"/>
      <c r="O29" s="21"/>
      <c r="P29" s="24"/>
      <c r="Q29" s="24"/>
      <c r="R29" s="23"/>
      <c r="S29" s="23"/>
      <c r="T29" s="23"/>
      <c r="U29" s="23"/>
      <c r="V29" s="52"/>
      <c r="W29" s="23"/>
      <c r="X29" s="21"/>
      <c r="Y29" s="21"/>
      <c r="Z29" s="23"/>
      <c r="AA29" s="21"/>
      <c r="AB29" s="21"/>
      <c r="AC29" s="21"/>
      <c r="AD29" s="21"/>
      <c r="AE29" s="41"/>
      <c r="AF29" s="41"/>
      <c r="AG29" s="41"/>
      <c r="AH29" s="41"/>
      <c r="AI29" s="24"/>
      <c r="AJ29" s="24"/>
      <c r="AK29" s="24"/>
      <c r="AL29" s="21"/>
      <c r="AM29" s="21">
        <v>2028</v>
      </c>
      <c r="AN29" s="29" t="s">
        <v>2748</v>
      </c>
      <c r="AO29" s="29"/>
      <c r="AP29" s="29"/>
      <c r="AQ29" s="29"/>
      <c r="AR29" s="26"/>
      <c r="AS29" s="43"/>
      <c r="AT29" s="43"/>
      <c r="AU29" s="43"/>
      <c r="AV29" s="43"/>
      <c r="AW29" s="43"/>
      <c r="AX29" s="43"/>
      <c r="AY29" s="43"/>
      <c r="AZ29" s="43"/>
      <c r="BA29" s="43"/>
      <c r="BB29" s="43"/>
      <c r="BC29" s="43"/>
      <c r="BD29" s="1"/>
      <c r="BE29" s="1"/>
    </row>
    <row r="30" spans="1:57" ht="13.5" customHeight="1" x14ac:dyDescent="0.25">
      <c r="A30" s="19"/>
      <c r="B30" s="21"/>
      <c r="C30" s="21" t="s">
        <v>2800</v>
      </c>
      <c r="D30" s="21" t="str">
        <f>C30&amp;""&amp;'Tabella riassuntiva'!$E$1</f>
        <v>PP0200420017001B</v>
      </c>
      <c r="E30" s="21"/>
      <c r="F30" s="21" t="s">
        <v>2756</v>
      </c>
      <c r="G30" s="21"/>
      <c r="H30" s="21" t="s">
        <v>2801</v>
      </c>
      <c r="I30" s="21"/>
      <c r="J30" s="21" t="s">
        <v>2746</v>
      </c>
      <c r="K30" s="31" t="s">
        <v>2747</v>
      </c>
      <c r="L30" s="21"/>
      <c r="M30" s="22"/>
      <c r="N30" s="21"/>
      <c r="O30" s="21"/>
      <c r="P30" s="24"/>
      <c r="Q30" s="24"/>
      <c r="R30" s="23"/>
      <c r="S30" s="23"/>
      <c r="T30" s="23"/>
      <c r="U30" s="23"/>
      <c r="V30" s="52"/>
      <c r="W30" s="23"/>
      <c r="X30" s="21"/>
      <c r="Y30" s="21"/>
      <c r="Z30" s="23"/>
      <c r="AA30" s="21"/>
      <c r="AB30" s="21"/>
      <c r="AC30" s="21"/>
      <c r="AD30" s="21"/>
      <c r="AE30" s="41"/>
      <c r="AF30" s="41"/>
      <c r="AG30" s="41"/>
      <c r="AH30" s="41"/>
      <c r="AI30" s="24"/>
      <c r="AJ30" s="24"/>
      <c r="AK30" s="24"/>
      <c r="AL30" s="21"/>
      <c r="AM30" s="21">
        <v>2028</v>
      </c>
      <c r="AN30" s="29" t="s">
        <v>2748</v>
      </c>
      <c r="AO30" s="29"/>
      <c r="AP30" s="29"/>
      <c r="AQ30" s="29"/>
      <c r="AR30" s="26"/>
      <c r="AS30" s="43"/>
      <c r="AT30" s="43"/>
      <c r="AU30" s="43"/>
      <c r="AV30" s="43"/>
      <c r="AW30" s="43"/>
      <c r="AX30" s="43"/>
      <c r="AY30" s="43"/>
      <c r="AZ30" s="43"/>
      <c r="BA30" s="43"/>
      <c r="BB30" s="43"/>
      <c r="BC30" s="43"/>
      <c r="BD30" s="1"/>
      <c r="BE30" s="1"/>
    </row>
    <row r="31" spans="1:57" ht="13.5" customHeight="1" x14ac:dyDescent="0.25">
      <c r="A31" s="19"/>
      <c r="B31" s="21" t="s">
        <v>2802</v>
      </c>
      <c r="C31" s="21" t="s">
        <v>92</v>
      </c>
      <c r="D31" s="21" t="str">
        <f>C31&amp;""&amp;'Tabella riassuntiva'!$E$1</f>
        <v>-001B</v>
      </c>
      <c r="E31" s="21"/>
      <c r="F31" s="21" t="s">
        <v>2744</v>
      </c>
      <c r="G31" s="21"/>
      <c r="H31" s="21" t="s">
        <v>2803</v>
      </c>
      <c r="I31" s="21"/>
      <c r="J31" s="21" t="s">
        <v>2746</v>
      </c>
      <c r="K31" s="31" t="s">
        <v>2804</v>
      </c>
      <c r="L31" s="21" t="s">
        <v>2742</v>
      </c>
      <c r="M31" s="21" t="s">
        <v>2742</v>
      </c>
      <c r="N31" s="21" t="s">
        <v>2742</v>
      </c>
      <c r="O31" s="21" t="s">
        <v>2742</v>
      </c>
      <c r="P31" s="21" t="s">
        <v>2742</v>
      </c>
      <c r="Q31" s="21" t="s">
        <v>2742</v>
      </c>
      <c r="R31" s="21" t="s">
        <v>2742</v>
      </c>
      <c r="S31" s="21" t="s">
        <v>2742</v>
      </c>
      <c r="T31" s="21" t="s">
        <v>2742</v>
      </c>
      <c r="U31" s="21" t="s">
        <v>2742</v>
      </c>
      <c r="V31" s="21" t="s">
        <v>2742</v>
      </c>
      <c r="W31" s="21" t="s">
        <v>2742</v>
      </c>
      <c r="X31" s="21" t="s">
        <v>2742</v>
      </c>
      <c r="Y31" s="21" t="s">
        <v>2742</v>
      </c>
      <c r="Z31" s="21" t="s">
        <v>2742</v>
      </c>
      <c r="AA31" s="21" t="s">
        <v>2742</v>
      </c>
      <c r="AB31" s="21" t="s">
        <v>2742</v>
      </c>
      <c r="AC31" s="21" t="s">
        <v>2742</v>
      </c>
      <c r="AD31" s="21" t="s">
        <v>2742</v>
      </c>
      <c r="AE31" s="21" t="s">
        <v>2742</v>
      </c>
      <c r="AF31" s="21" t="s">
        <v>2742</v>
      </c>
      <c r="AG31" s="21" t="s">
        <v>2742</v>
      </c>
      <c r="AH31" s="21" t="s">
        <v>2742</v>
      </c>
      <c r="AI31" s="21" t="s">
        <v>2742</v>
      </c>
      <c r="AJ31" s="21" t="s">
        <v>2742</v>
      </c>
      <c r="AK31" s="21" t="s">
        <v>2742</v>
      </c>
      <c r="AL31" s="21" t="s">
        <v>2742</v>
      </c>
      <c r="AM31" s="21"/>
      <c r="AN31" s="29"/>
      <c r="AO31" s="29"/>
      <c r="AP31" s="29"/>
      <c r="AQ31" s="29"/>
      <c r="AR31" s="26"/>
      <c r="AS31" s="43"/>
      <c r="AT31" s="43"/>
      <c r="AU31" s="43"/>
      <c r="AV31" s="43"/>
      <c r="AW31" s="43"/>
      <c r="AX31" s="43"/>
      <c r="AY31" s="43"/>
      <c r="AZ31" s="43"/>
      <c r="BA31" s="43"/>
      <c r="BB31" s="43"/>
      <c r="BC31" s="43"/>
      <c r="BD31" s="1"/>
      <c r="BE31" s="1"/>
    </row>
    <row r="32" spans="1:57" ht="13.5" customHeight="1" x14ac:dyDescent="0.25">
      <c r="A32" s="19"/>
      <c r="B32" s="21"/>
      <c r="C32" s="21" t="s">
        <v>2805</v>
      </c>
      <c r="D32" s="21" t="str">
        <f>C32&amp;""&amp;'Tabella riassuntiva'!$E$1</f>
        <v>PP0200420013001B</v>
      </c>
      <c r="E32" s="21"/>
      <c r="F32" s="21" t="s">
        <v>2756</v>
      </c>
      <c r="G32" s="21" t="s">
        <v>2806</v>
      </c>
      <c r="H32" s="21" t="s">
        <v>2807</v>
      </c>
      <c r="I32" s="21"/>
      <c r="J32" s="21" t="s">
        <v>2808</v>
      </c>
      <c r="K32" s="31" t="s">
        <v>2809</v>
      </c>
      <c r="L32" s="21"/>
      <c r="M32" s="22"/>
      <c r="N32" s="21"/>
      <c r="O32" s="21"/>
      <c r="P32" s="24"/>
      <c r="Q32" s="24"/>
      <c r="R32" s="23"/>
      <c r="S32" s="23"/>
      <c r="T32" s="23"/>
      <c r="U32" s="23"/>
      <c r="V32" s="52"/>
      <c r="W32" s="23"/>
      <c r="X32" s="21"/>
      <c r="Y32" s="21"/>
      <c r="Z32" s="23"/>
      <c r="AA32" s="21"/>
      <c r="AB32" s="21"/>
      <c r="AC32" s="21"/>
      <c r="AD32" s="21"/>
      <c r="AE32" s="41"/>
      <c r="AF32" s="41"/>
      <c r="AG32" s="41"/>
      <c r="AH32" s="41"/>
      <c r="AI32" s="24"/>
      <c r="AJ32" s="24"/>
      <c r="AK32" s="24"/>
      <c r="AL32" s="21"/>
      <c r="AM32" s="21">
        <v>2027</v>
      </c>
      <c r="AN32" s="29" t="s">
        <v>2810</v>
      </c>
      <c r="AO32" s="29" t="s">
        <v>2749</v>
      </c>
      <c r="AP32" s="29"/>
      <c r="AQ32" s="29" t="s">
        <v>2811</v>
      </c>
      <c r="AR32" s="26"/>
      <c r="AS32" s="43"/>
      <c r="AT32" s="43"/>
      <c r="AU32" s="43"/>
      <c r="AV32" s="43"/>
      <c r="AW32" s="43"/>
      <c r="AX32" s="43"/>
      <c r="AY32" s="43"/>
      <c r="AZ32" s="43"/>
      <c r="BA32" s="43"/>
      <c r="BB32" s="43"/>
      <c r="BC32" s="43"/>
      <c r="BD32" s="1"/>
      <c r="BE32" s="1"/>
    </row>
    <row r="33" spans="1:57" ht="13.5" customHeight="1" x14ac:dyDescent="0.25">
      <c r="A33" s="19"/>
      <c r="B33" s="21"/>
      <c r="C33" s="21" t="s">
        <v>2812</v>
      </c>
      <c r="D33" s="21" t="str">
        <f>C33&amp;""&amp;'Tabella riassuntiva'!$E$1</f>
        <v>PP0200420012001B</v>
      </c>
      <c r="E33" s="21"/>
      <c r="F33" s="21" t="s">
        <v>2756</v>
      </c>
      <c r="G33" s="21"/>
      <c r="H33" s="21" t="s">
        <v>2807</v>
      </c>
      <c r="I33" s="21"/>
      <c r="J33" s="21" t="s">
        <v>2808</v>
      </c>
      <c r="K33" s="31" t="s">
        <v>2809</v>
      </c>
      <c r="L33" s="21"/>
      <c r="M33" s="22"/>
      <c r="N33" s="21"/>
      <c r="O33" s="21"/>
      <c r="P33" s="24"/>
      <c r="Q33" s="24"/>
      <c r="R33" s="23"/>
      <c r="S33" s="23"/>
      <c r="T33" s="23"/>
      <c r="U33" s="23"/>
      <c r="V33" s="52"/>
      <c r="W33" s="23"/>
      <c r="X33" s="21"/>
      <c r="Y33" s="21"/>
      <c r="Z33" s="23"/>
      <c r="AA33" s="21"/>
      <c r="AB33" s="21"/>
      <c r="AC33" s="21"/>
      <c r="AD33" s="21"/>
      <c r="AE33" s="41"/>
      <c r="AF33" s="41"/>
      <c r="AG33" s="41"/>
      <c r="AH33" s="41"/>
      <c r="AI33" s="24"/>
      <c r="AJ33" s="24"/>
      <c r="AK33" s="24"/>
      <c r="AL33" s="21"/>
      <c r="AM33" s="21">
        <v>2027</v>
      </c>
      <c r="AN33" s="29" t="s">
        <v>2810</v>
      </c>
      <c r="AO33" s="29" t="s">
        <v>2749</v>
      </c>
      <c r="AP33" s="29"/>
      <c r="AQ33" s="29" t="s">
        <v>2813</v>
      </c>
      <c r="AR33" s="26"/>
      <c r="AS33" s="43"/>
      <c r="AT33" s="43"/>
      <c r="AU33" s="43"/>
      <c r="AV33" s="43"/>
      <c r="AW33" s="43"/>
      <c r="AX33" s="43"/>
      <c r="AY33" s="43"/>
      <c r="AZ33" s="43"/>
      <c r="BA33" s="43"/>
      <c r="BB33" s="43"/>
      <c r="BC33" s="43"/>
      <c r="BD33" s="1"/>
      <c r="BE33" s="1"/>
    </row>
    <row r="34" spans="1:57" ht="13.5" customHeight="1" x14ac:dyDescent="0.25">
      <c r="A34" s="19"/>
      <c r="B34" s="21"/>
      <c r="C34" s="21" t="s">
        <v>2077</v>
      </c>
      <c r="D34" s="21" t="str">
        <f>C34&amp;""&amp;'Tabella riassuntiva'!$E$1</f>
        <v>PP0200730002001B</v>
      </c>
      <c r="E34" s="21"/>
      <c r="F34" s="21" t="s">
        <v>2814</v>
      </c>
      <c r="G34" s="21"/>
      <c r="H34" s="21" t="s">
        <v>2815</v>
      </c>
      <c r="I34" s="21"/>
      <c r="J34" s="21" t="s">
        <v>2816</v>
      </c>
      <c r="K34" s="31" t="s">
        <v>2817</v>
      </c>
      <c r="L34" s="21"/>
      <c r="M34" s="22"/>
      <c r="N34" s="21"/>
      <c r="O34" s="21"/>
      <c r="P34" s="24"/>
      <c r="Q34" s="24"/>
      <c r="R34" s="23"/>
      <c r="S34" s="23"/>
      <c r="T34" s="23"/>
      <c r="U34" s="23"/>
      <c r="V34" s="52"/>
      <c r="W34" s="23"/>
      <c r="X34" s="21"/>
      <c r="Y34" s="21"/>
      <c r="Z34" s="23"/>
      <c r="AA34" s="21"/>
      <c r="AB34" s="21"/>
      <c r="AC34" s="21"/>
      <c r="AD34" s="21"/>
      <c r="AE34" s="41"/>
      <c r="AF34" s="41"/>
      <c r="AG34" s="41"/>
      <c r="AH34" s="41"/>
      <c r="AI34" s="24"/>
      <c r="AJ34" s="24"/>
      <c r="AK34" s="24"/>
      <c r="AL34" s="21"/>
      <c r="AM34" s="21">
        <v>2028</v>
      </c>
      <c r="AN34" s="29" t="s">
        <v>2818</v>
      </c>
      <c r="AO34" s="29" t="s">
        <v>2710</v>
      </c>
      <c r="AP34" s="29"/>
      <c r="AQ34" s="29" t="s">
        <v>2819</v>
      </c>
      <c r="AR34" s="26"/>
      <c r="AS34" s="43"/>
      <c r="AT34" s="43"/>
      <c r="AU34" s="43"/>
      <c r="AV34" s="43"/>
      <c r="AW34" s="43"/>
      <c r="AX34" s="43"/>
      <c r="AY34" s="43"/>
      <c r="AZ34" s="43"/>
      <c r="BA34" s="43"/>
      <c r="BB34" s="43"/>
      <c r="BC34" s="43"/>
      <c r="BD34" s="1"/>
      <c r="BE34" s="1"/>
    </row>
    <row r="35" spans="1:57" ht="13.5" customHeight="1" x14ac:dyDescent="0.25">
      <c r="A35" s="19"/>
      <c r="B35" s="6"/>
      <c r="C35" s="21" t="s">
        <v>2820</v>
      </c>
      <c r="D35" s="21" t="str">
        <f>C35&amp;""&amp;'Tabella riassuntiva'!$E$1</f>
        <v>PP0200720001001B</v>
      </c>
      <c r="E35" s="21"/>
      <c r="F35" s="21" t="s">
        <v>2814</v>
      </c>
      <c r="G35" s="21" t="s">
        <v>2821</v>
      </c>
      <c r="H35" s="21" t="s">
        <v>2822</v>
      </c>
      <c r="I35" s="21"/>
      <c r="J35" s="21" t="s">
        <v>2816</v>
      </c>
      <c r="K35" s="31" t="s">
        <v>2823</v>
      </c>
      <c r="L35" s="21"/>
      <c r="M35" s="22"/>
      <c r="N35" s="21"/>
      <c r="O35" s="21"/>
      <c r="P35" s="24"/>
      <c r="Q35" s="24"/>
      <c r="R35" s="23"/>
      <c r="S35" s="23"/>
      <c r="T35" s="23"/>
      <c r="U35" s="23"/>
      <c r="V35" s="52"/>
      <c r="W35" s="23"/>
      <c r="X35" s="21"/>
      <c r="Y35" s="21"/>
      <c r="Z35" s="23"/>
      <c r="AA35" s="21"/>
      <c r="AB35" s="21"/>
      <c r="AC35" s="21"/>
      <c r="AD35" s="21"/>
      <c r="AE35" s="41"/>
      <c r="AF35" s="41"/>
      <c r="AG35" s="41"/>
      <c r="AH35" s="41"/>
      <c r="AI35" s="24"/>
      <c r="AJ35" s="24"/>
      <c r="AK35" s="24"/>
      <c r="AL35" s="21"/>
      <c r="AM35" s="21">
        <v>2028</v>
      </c>
      <c r="AN35" s="29" t="s">
        <v>2818</v>
      </c>
      <c r="AO35" s="29" t="s">
        <v>2710</v>
      </c>
      <c r="AP35" s="29"/>
      <c r="AQ35" s="29" t="s">
        <v>2824</v>
      </c>
      <c r="AR35" s="26"/>
      <c r="AS35" s="43"/>
      <c r="AT35" s="43"/>
      <c r="AU35" s="43"/>
      <c r="AV35" s="43"/>
      <c r="AW35" s="43"/>
      <c r="AX35" s="43"/>
      <c r="AY35" s="43"/>
      <c r="AZ35" s="43"/>
      <c r="BA35" s="43"/>
      <c r="BB35" s="43"/>
      <c r="BC35" s="43"/>
      <c r="BD35" s="1"/>
      <c r="BE35" s="1"/>
    </row>
    <row r="36" spans="1:57" ht="13.5" customHeight="1" x14ac:dyDescent="0.25">
      <c r="A36" s="19"/>
      <c r="C36" s="21" t="s">
        <v>2825</v>
      </c>
      <c r="D36" s="21" t="str">
        <f>C36&amp;""&amp;'Tabella riassuntiva'!$E$1</f>
        <v>PP0200720004001B</v>
      </c>
      <c r="E36" s="21"/>
      <c r="F36" s="21" t="s">
        <v>177</v>
      </c>
      <c r="G36" s="21"/>
      <c r="H36" s="21" t="s">
        <v>2826</v>
      </c>
      <c r="I36" s="21"/>
      <c r="J36" s="21" t="s">
        <v>2816</v>
      </c>
      <c r="K36" s="31" t="s">
        <v>2827</v>
      </c>
      <c r="L36" s="21"/>
      <c r="M36" s="22"/>
      <c r="N36" s="21"/>
      <c r="O36" s="21"/>
      <c r="P36" s="24"/>
      <c r="Q36" s="24"/>
      <c r="R36" s="23"/>
      <c r="S36" s="23"/>
      <c r="T36" s="23"/>
      <c r="U36" s="23"/>
      <c r="V36" s="52"/>
      <c r="W36" s="23"/>
      <c r="X36" s="21"/>
      <c r="Y36" s="21"/>
      <c r="Z36" s="23"/>
      <c r="AA36" s="21"/>
      <c r="AB36" s="21"/>
      <c r="AC36" s="21"/>
      <c r="AD36" s="21"/>
      <c r="AE36" s="41"/>
      <c r="AF36" s="41"/>
      <c r="AG36" s="41"/>
      <c r="AH36" s="41"/>
      <c r="AI36" s="24"/>
      <c r="AJ36" s="24"/>
      <c r="AK36" s="24"/>
      <c r="AL36" s="21"/>
      <c r="AM36" s="21">
        <v>2028</v>
      </c>
      <c r="AN36" s="29" t="s">
        <v>2818</v>
      </c>
      <c r="AO36" s="29" t="s">
        <v>2710</v>
      </c>
      <c r="AP36" s="29"/>
      <c r="AQ36" s="29" t="s">
        <v>2828</v>
      </c>
      <c r="AR36" s="26" t="s">
        <v>2829</v>
      </c>
      <c r="AS36" s="43"/>
      <c r="AT36" s="43"/>
      <c r="AU36" s="43"/>
      <c r="AV36" s="43"/>
      <c r="AW36" s="43"/>
      <c r="AX36" s="43"/>
      <c r="AY36" s="43"/>
      <c r="AZ36" s="43"/>
      <c r="BA36" s="43"/>
      <c r="BB36" s="43"/>
      <c r="BC36" s="43"/>
      <c r="BD36" s="1"/>
      <c r="BE36" s="1"/>
    </row>
    <row r="37" spans="1:57" ht="13.5" customHeight="1" x14ac:dyDescent="0.25">
      <c r="A37" s="19"/>
      <c r="B37" s="21"/>
      <c r="C37" s="21" t="s">
        <v>2830</v>
      </c>
      <c r="D37" s="21" t="str">
        <f>C37&amp;""&amp;'Tabella riassuntiva'!$E$1</f>
        <v>PP0200720005001B</v>
      </c>
      <c r="E37" s="21"/>
      <c r="F37" s="21" t="s">
        <v>177</v>
      </c>
      <c r="G37" s="21"/>
      <c r="H37" s="21" t="s">
        <v>2831</v>
      </c>
      <c r="I37" s="21"/>
      <c r="J37" s="21" t="s">
        <v>2816</v>
      </c>
      <c r="K37" s="31" t="s">
        <v>2827</v>
      </c>
      <c r="L37" s="21" t="s">
        <v>2832</v>
      </c>
      <c r="M37" s="22"/>
      <c r="N37" s="21"/>
      <c r="O37" s="21"/>
      <c r="P37" s="24"/>
      <c r="Q37" s="24"/>
      <c r="R37" s="23"/>
      <c r="S37" s="23"/>
      <c r="T37" s="23"/>
      <c r="U37" s="23"/>
      <c r="V37" s="52"/>
      <c r="W37" s="23"/>
      <c r="X37" s="21"/>
      <c r="Y37" s="21"/>
      <c r="Z37" s="23"/>
      <c r="AA37" s="21"/>
      <c r="AB37" s="21"/>
      <c r="AC37" s="21"/>
      <c r="AD37" s="21"/>
      <c r="AE37" s="41"/>
      <c r="AF37" s="41"/>
      <c r="AG37" s="41"/>
      <c r="AH37" s="41"/>
      <c r="AI37" s="24"/>
      <c r="AJ37" s="24"/>
      <c r="AK37" s="24"/>
      <c r="AL37" s="21"/>
      <c r="AM37" s="21">
        <v>2028</v>
      </c>
      <c r="AN37" s="29" t="s">
        <v>2818</v>
      </c>
      <c r="AO37" s="29" t="s">
        <v>2710</v>
      </c>
      <c r="AP37" s="29"/>
      <c r="AQ37" s="29" t="s">
        <v>2833</v>
      </c>
      <c r="AR37" s="26"/>
      <c r="AS37" s="43"/>
      <c r="AT37" s="43"/>
      <c r="AU37" s="43"/>
      <c r="AV37" s="43"/>
      <c r="AW37" s="43"/>
      <c r="AX37" s="43"/>
      <c r="AY37" s="43"/>
      <c r="AZ37" s="43"/>
      <c r="BA37" s="43"/>
      <c r="BB37" s="43"/>
      <c r="BC37" s="43"/>
      <c r="BD37" s="1"/>
      <c r="BE37" s="1"/>
    </row>
    <row r="38" spans="1:57" ht="13.5" customHeight="1" x14ac:dyDescent="0.25">
      <c r="A38" s="19"/>
      <c r="B38" s="21"/>
      <c r="C38" s="21" t="s">
        <v>2834</v>
      </c>
      <c r="D38" s="21" t="str">
        <f>C38&amp;""&amp;'Tabella riassuntiva'!$E$1</f>
        <v>PP0200720009001B</v>
      </c>
      <c r="E38" s="21"/>
      <c r="F38" s="21" t="s">
        <v>177</v>
      </c>
      <c r="G38" s="21"/>
      <c r="H38" s="21" t="s">
        <v>2831</v>
      </c>
      <c r="I38" s="21"/>
      <c r="J38" s="21" t="s">
        <v>2816</v>
      </c>
      <c r="K38" s="31" t="s">
        <v>2827</v>
      </c>
      <c r="L38" s="21"/>
      <c r="M38" s="22"/>
      <c r="N38" s="21"/>
      <c r="O38" s="21"/>
      <c r="P38" s="24"/>
      <c r="Q38" s="24"/>
      <c r="R38" s="23"/>
      <c r="S38" s="23"/>
      <c r="T38" s="23"/>
      <c r="U38" s="23"/>
      <c r="V38" s="52"/>
      <c r="W38" s="23"/>
      <c r="X38" s="21"/>
      <c r="Y38" s="21"/>
      <c r="Z38" s="23"/>
      <c r="AA38" s="21"/>
      <c r="AB38" s="21"/>
      <c r="AC38" s="21"/>
      <c r="AD38" s="21"/>
      <c r="AE38" s="41"/>
      <c r="AF38" s="41"/>
      <c r="AG38" s="41"/>
      <c r="AH38" s="41"/>
      <c r="AI38" s="24"/>
      <c r="AJ38" s="24"/>
      <c r="AK38" s="24"/>
      <c r="AL38" s="21"/>
      <c r="AM38" s="21">
        <v>2028</v>
      </c>
      <c r="AN38" s="29" t="s">
        <v>2818</v>
      </c>
      <c r="AO38" s="29"/>
      <c r="AP38" s="29"/>
      <c r="AQ38" s="29"/>
      <c r="AR38" s="26"/>
      <c r="AS38" s="43"/>
      <c r="AT38" s="43"/>
      <c r="AU38" s="43"/>
      <c r="AV38" s="43"/>
      <c r="AW38" s="43"/>
      <c r="AX38" s="43"/>
      <c r="AY38" s="43"/>
      <c r="AZ38" s="43"/>
      <c r="BA38" s="43"/>
      <c r="BB38" s="43"/>
      <c r="BC38" s="43"/>
      <c r="BD38" s="1"/>
      <c r="BE38" s="1"/>
    </row>
    <row r="39" spans="1:57" ht="13.5" customHeight="1" x14ac:dyDescent="0.25">
      <c r="A39" s="19"/>
      <c r="B39" s="21"/>
      <c r="C39" s="21" t="s">
        <v>2835</v>
      </c>
      <c r="D39" s="21" t="str">
        <f>C39&amp;""&amp;'Tabella riassuntiva'!$E$1</f>
        <v>PP0200720010001B</v>
      </c>
      <c r="E39" s="21"/>
      <c r="F39" s="21" t="s">
        <v>177</v>
      </c>
      <c r="G39" s="21"/>
      <c r="H39" s="21" t="s">
        <v>2836</v>
      </c>
      <c r="I39" s="21"/>
      <c r="J39" s="21" t="s">
        <v>2816</v>
      </c>
      <c r="K39" s="31" t="s">
        <v>2827</v>
      </c>
      <c r="L39" s="21"/>
      <c r="M39" s="22"/>
      <c r="N39" s="21"/>
      <c r="O39" s="21"/>
      <c r="P39" s="24"/>
      <c r="Q39" s="24"/>
      <c r="R39" s="23"/>
      <c r="S39" s="23"/>
      <c r="T39" s="23"/>
      <c r="U39" s="23"/>
      <c r="V39" s="52"/>
      <c r="W39" s="23"/>
      <c r="X39" s="21"/>
      <c r="Y39" s="21"/>
      <c r="Z39" s="23"/>
      <c r="AA39" s="21"/>
      <c r="AB39" s="21"/>
      <c r="AC39" s="21"/>
      <c r="AD39" s="21"/>
      <c r="AE39" s="41"/>
      <c r="AF39" s="41"/>
      <c r="AG39" s="41"/>
      <c r="AH39" s="41"/>
      <c r="AI39" s="24"/>
      <c r="AJ39" s="24"/>
      <c r="AK39" s="24"/>
      <c r="AL39" s="21"/>
      <c r="AM39" s="21">
        <v>2028</v>
      </c>
      <c r="AN39" s="29" t="s">
        <v>2818</v>
      </c>
      <c r="AO39" s="29" t="s">
        <v>2710</v>
      </c>
      <c r="AP39" s="29"/>
      <c r="AQ39" s="29" t="s">
        <v>2837</v>
      </c>
      <c r="AR39" s="26"/>
      <c r="AS39" s="43"/>
      <c r="AT39" s="43"/>
      <c r="AU39" s="43"/>
      <c r="AV39" s="43"/>
      <c r="AW39" s="43"/>
      <c r="AX39" s="43"/>
      <c r="AY39" s="43"/>
      <c r="AZ39" s="43"/>
      <c r="BA39" s="43"/>
      <c r="BB39" s="43"/>
      <c r="BC39" s="43"/>
      <c r="BD39" s="1"/>
      <c r="BE39" s="1"/>
    </row>
    <row r="40" spans="1:57" ht="13.5" customHeight="1" x14ac:dyDescent="0.25">
      <c r="A40" s="19"/>
      <c r="B40" s="21" t="s">
        <v>2838</v>
      </c>
      <c r="C40" s="21" t="s">
        <v>92</v>
      </c>
      <c r="D40" s="21" t="str">
        <f>C40&amp;""&amp;'Tabella riassuntiva'!$E$1</f>
        <v>-001B</v>
      </c>
      <c r="E40" s="21"/>
      <c r="F40" s="21" t="s">
        <v>177</v>
      </c>
      <c r="G40" s="21"/>
      <c r="H40" s="21" t="s">
        <v>2839</v>
      </c>
      <c r="I40" s="21"/>
      <c r="J40" s="21" t="s">
        <v>2816</v>
      </c>
      <c r="K40" s="31" t="s">
        <v>2840</v>
      </c>
      <c r="L40" s="21" t="s">
        <v>2742</v>
      </c>
      <c r="M40" s="22"/>
      <c r="N40" s="21"/>
      <c r="O40" s="21"/>
      <c r="P40" s="24"/>
      <c r="Q40" s="24"/>
      <c r="R40" s="23"/>
      <c r="S40" s="23"/>
      <c r="T40" s="23"/>
      <c r="U40" s="23"/>
      <c r="V40" s="52"/>
      <c r="W40" s="23"/>
      <c r="X40" s="21"/>
      <c r="Y40" s="21"/>
      <c r="Z40" s="23"/>
      <c r="AA40" s="21"/>
      <c r="AB40" s="21"/>
      <c r="AC40" s="21"/>
      <c r="AD40" s="21"/>
      <c r="AE40" s="41"/>
      <c r="AF40" s="41"/>
      <c r="AG40" s="41"/>
      <c r="AH40" s="41"/>
      <c r="AI40" s="24"/>
      <c r="AJ40" s="24"/>
      <c r="AK40" s="24"/>
      <c r="AL40" s="21"/>
      <c r="AM40" s="21"/>
      <c r="AN40" s="29"/>
      <c r="AO40" s="29"/>
      <c r="AP40" s="29"/>
      <c r="AQ40" s="29"/>
      <c r="AR40" s="26"/>
      <c r="AS40" s="43"/>
      <c r="AT40" s="43"/>
      <c r="AU40" s="43"/>
      <c r="AV40" s="43"/>
      <c r="AW40" s="43"/>
      <c r="AX40" s="43"/>
      <c r="AY40" s="43"/>
      <c r="AZ40" s="43"/>
      <c r="BA40" s="43"/>
      <c r="BB40" s="43"/>
      <c r="BC40" s="43"/>
      <c r="BD40" s="1"/>
      <c r="BE40" s="1"/>
    </row>
    <row r="41" spans="1:57" ht="13.5" customHeight="1" x14ac:dyDescent="0.25">
      <c r="A41" s="19"/>
      <c r="B41" s="21" t="s">
        <v>2841</v>
      </c>
      <c r="C41" s="21" t="s">
        <v>92</v>
      </c>
      <c r="D41" s="21" t="str">
        <f>C41&amp;""&amp;'Tabella riassuntiva'!$E$1</f>
        <v>-001B</v>
      </c>
      <c r="E41" s="21"/>
      <c r="F41" s="21" t="s">
        <v>177</v>
      </c>
      <c r="G41" s="21"/>
      <c r="H41" s="21" t="s">
        <v>2842</v>
      </c>
      <c r="I41" s="21"/>
      <c r="J41" s="21" t="s">
        <v>2816</v>
      </c>
      <c r="K41" s="31" t="s">
        <v>2827</v>
      </c>
      <c r="L41" s="21" t="s">
        <v>2742</v>
      </c>
      <c r="M41" s="22"/>
      <c r="N41" s="21"/>
      <c r="O41" s="21"/>
      <c r="P41" s="24"/>
      <c r="Q41" s="24"/>
      <c r="R41" s="23"/>
      <c r="S41" s="23"/>
      <c r="T41" s="23"/>
      <c r="U41" s="23"/>
      <c r="V41" s="52"/>
      <c r="W41" s="23"/>
      <c r="X41" s="21"/>
      <c r="Y41" s="21"/>
      <c r="Z41" s="23"/>
      <c r="AA41" s="21"/>
      <c r="AB41" s="21"/>
      <c r="AC41" s="21"/>
      <c r="AD41" s="21"/>
      <c r="AE41" s="41"/>
      <c r="AF41" s="41"/>
      <c r="AG41" s="41"/>
      <c r="AH41" s="41"/>
      <c r="AI41" s="24"/>
      <c r="AJ41" s="24"/>
      <c r="AK41" s="24"/>
      <c r="AL41" s="21"/>
      <c r="AM41" s="21"/>
      <c r="AN41" s="29"/>
      <c r="AO41" s="29"/>
      <c r="AP41" s="29"/>
      <c r="AQ41" s="29"/>
      <c r="AR41" s="26"/>
      <c r="AS41" s="43"/>
      <c r="AT41" s="43"/>
      <c r="AU41" s="43"/>
      <c r="AV41" s="43"/>
      <c r="AW41" s="43"/>
      <c r="AX41" s="43"/>
      <c r="AY41" s="43"/>
      <c r="AZ41" s="43"/>
      <c r="BA41" s="43"/>
      <c r="BB41" s="43"/>
      <c r="BC41" s="43"/>
      <c r="BD41" s="1"/>
      <c r="BE41" s="1"/>
    </row>
    <row r="42" spans="1:57" ht="13.5" customHeight="1" x14ac:dyDescent="0.25">
      <c r="A42" s="19"/>
      <c r="B42" s="21" t="s">
        <v>2843</v>
      </c>
      <c r="C42" s="21" t="s">
        <v>92</v>
      </c>
      <c r="D42" s="21" t="str">
        <f>C42&amp;""&amp;'Tabella riassuntiva'!$E$1</f>
        <v>-001B</v>
      </c>
      <c r="E42" s="21"/>
      <c r="F42" s="21" t="s">
        <v>177</v>
      </c>
      <c r="G42" s="21"/>
      <c r="H42" s="21" t="s">
        <v>2844</v>
      </c>
      <c r="I42" s="21"/>
      <c r="J42" s="21" t="s">
        <v>2816</v>
      </c>
      <c r="K42" s="31" t="s">
        <v>2827</v>
      </c>
      <c r="L42" s="21" t="s">
        <v>2742</v>
      </c>
      <c r="M42" s="22"/>
      <c r="N42" s="21"/>
      <c r="O42" s="21"/>
      <c r="P42" s="24"/>
      <c r="Q42" s="24"/>
      <c r="R42" s="23"/>
      <c r="S42" s="23"/>
      <c r="T42" s="23"/>
      <c r="U42" s="23"/>
      <c r="V42" s="52"/>
      <c r="W42" s="23"/>
      <c r="X42" s="21"/>
      <c r="Y42" s="21"/>
      <c r="Z42" s="23"/>
      <c r="AA42" s="21"/>
      <c r="AB42" s="21"/>
      <c r="AC42" s="21"/>
      <c r="AD42" s="21"/>
      <c r="AE42" s="41"/>
      <c r="AF42" s="41"/>
      <c r="AG42" s="41"/>
      <c r="AH42" s="41"/>
      <c r="AI42" s="24"/>
      <c r="AJ42" s="24"/>
      <c r="AK42" s="24"/>
      <c r="AL42" s="21"/>
      <c r="AM42" s="21"/>
      <c r="AN42" s="29"/>
      <c r="AO42" s="29"/>
      <c r="AP42" s="29"/>
      <c r="AQ42" s="29"/>
      <c r="AR42" s="26"/>
      <c r="AS42" s="43"/>
      <c r="AT42" s="43"/>
      <c r="AU42" s="43"/>
      <c r="AV42" s="43"/>
      <c r="AW42" s="43"/>
      <c r="AX42" s="43"/>
      <c r="AY42" s="43"/>
      <c r="AZ42" s="43"/>
      <c r="BA42" s="43"/>
      <c r="BB42" s="43"/>
      <c r="BC42" s="43"/>
      <c r="BD42" s="1"/>
      <c r="BE42" s="1"/>
    </row>
    <row r="43" spans="1:57" ht="13.5" customHeight="1" x14ac:dyDescent="0.25">
      <c r="A43" s="19"/>
      <c r="B43" s="21" t="s">
        <v>2845</v>
      </c>
      <c r="C43" s="21" t="s">
        <v>92</v>
      </c>
      <c r="D43" s="21" t="str">
        <f>C43&amp;""&amp;'Tabella riassuntiva'!$E$1</f>
        <v>-001B</v>
      </c>
      <c r="E43" s="21"/>
      <c r="F43" s="21" t="s">
        <v>177</v>
      </c>
      <c r="G43" s="21"/>
      <c r="H43" s="21" t="s">
        <v>2846</v>
      </c>
      <c r="I43" s="21"/>
      <c r="J43" s="21" t="s">
        <v>2816</v>
      </c>
      <c r="K43" s="31" t="s">
        <v>2827</v>
      </c>
      <c r="L43" s="21" t="s">
        <v>2742</v>
      </c>
      <c r="M43" s="21" t="s">
        <v>2816</v>
      </c>
      <c r="N43" s="31" t="s">
        <v>2827</v>
      </c>
      <c r="O43" s="21" t="s">
        <v>2742</v>
      </c>
      <c r="P43" s="21" t="s">
        <v>2816</v>
      </c>
      <c r="Q43" s="31" t="s">
        <v>2827</v>
      </c>
      <c r="R43" s="21" t="s">
        <v>2742</v>
      </c>
      <c r="S43" s="21" t="s">
        <v>2816</v>
      </c>
      <c r="T43" s="31" t="s">
        <v>2827</v>
      </c>
      <c r="U43" s="21" t="s">
        <v>2742</v>
      </c>
      <c r="V43" s="21" t="s">
        <v>2816</v>
      </c>
      <c r="W43" s="31" t="s">
        <v>2827</v>
      </c>
      <c r="X43" s="21" t="s">
        <v>2742</v>
      </c>
      <c r="Y43" s="21" t="s">
        <v>2816</v>
      </c>
      <c r="Z43" s="31" t="s">
        <v>2827</v>
      </c>
      <c r="AA43" s="21" t="s">
        <v>2742</v>
      </c>
      <c r="AB43" s="21" t="s">
        <v>2816</v>
      </c>
      <c r="AC43" s="31" t="s">
        <v>2827</v>
      </c>
      <c r="AD43" s="21" t="s">
        <v>2742</v>
      </c>
      <c r="AE43" s="21" t="s">
        <v>2816</v>
      </c>
      <c r="AF43" s="31" t="s">
        <v>2827</v>
      </c>
      <c r="AG43" s="21" t="s">
        <v>2742</v>
      </c>
      <c r="AH43" s="21" t="s">
        <v>2816</v>
      </c>
      <c r="AI43" s="31" t="s">
        <v>2827</v>
      </c>
      <c r="AJ43" s="21" t="s">
        <v>2742</v>
      </c>
      <c r="AK43" s="21" t="s">
        <v>2816</v>
      </c>
      <c r="AL43" s="31" t="s">
        <v>2827</v>
      </c>
      <c r="AM43" s="21"/>
      <c r="AN43" s="29"/>
      <c r="AO43" s="29"/>
      <c r="AP43" s="29"/>
      <c r="AQ43" s="29"/>
      <c r="AR43" s="26"/>
      <c r="AS43" s="43"/>
      <c r="AT43" s="43"/>
      <c r="AU43" s="43"/>
      <c r="AV43" s="43"/>
      <c r="AW43" s="43"/>
      <c r="AX43" s="43"/>
      <c r="AY43" s="43"/>
      <c r="AZ43" s="43"/>
      <c r="BA43" s="43"/>
      <c r="BB43" s="43"/>
      <c r="BC43" s="43"/>
      <c r="BD43" s="1"/>
      <c r="BE43" s="1"/>
    </row>
    <row r="44" spans="1:57" ht="13.5" customHeight="1" x14ac:dyDescent="0.25">
      <c r="A44" s="19"/>
      <c r="B44" s="21" t="s">
        <v>2847</v>
      </c>
      <c r="C44" s="21" t="s">
        <v>92</v>
      </c>
      <c r="D44" s="21" t="str">
        <f>C44&amp;""&amp;'Tabella riassuntiva'!$E$1</f>
        <v>-001B</v>
      </c>
      <c r="E44" s="21"/>
      <c r="F44" s="21" t="s">
        <v>177</v>
      </c>
      <c r="G44" s="21"/>
      <c r="H44" s="21" t="s">
        <v>2848</v>
      </c>
      <c r="I44" s="21"/>
      <c r="J44" s="21" t="s">
        <v>2816</v>
      </c>
      <c r="K44" s="31" t="s">
        <v>2827</v>
      </c>
      <c r="L44" s="21" t="s">
        <v>2742</v>
      </c>
      <c r="M44" s="22"/>
      <c r="N44" s="21"/>
      <c r="O44" s="21"/>
      <c r="P44" s="24"/>
      <c r="Q44" s="24"/>
      <c r="R44" s="23"/>
      <c r="S44" s="23"/>
      <c r="T44" s="23"/>
      <c r="U44" s="23"/>
      <c r="V44" s="52"/>
      <c r="W44" s="23"/>
      <c r="X44" s="21"/>
      <c r="Y44" s="21"/>
      <c r="Z44" s="23"/>
      <c r="AA44" s="21"/>
      <c r="AB44" s="21"/>
      <c r="AC44" s="21"/>
      <c r="AD44" s="21"/>
      <c r="AE44" s="41"/>
      <c r="AF44" s="41"/>
      <c r="AG44" s="41"/>
      <c r="AH44" s="41"/>
      <c r="AI44" s="24"/>
      <c r="AJ44" s="24"/>
      <c r="AK44" s="24"/>
      <c r="AL44" s="21"/>
      <c r="AM44" s="21"/>
      <c r="AN44" s="29"/>
      <c r="AO44" s="29"/>
      <c r="AP44" s="29"/>
      <c r="AQ44" s="29"/>
      <c r="AR44" s="26"/>
      <c r="AS44" s="43"/>
      <c r="AT44" s="43"/>
      <c r="AU44" s="43"/>
      <c r="AV44" s="43"/>
      <c r="AW44" s="43"/>
      <c r="AX44" s="43"/>
      <c r="AY44" s="43"/>
      <c r="AZ44" s="43"/>
      <c r="BA44" s="43"/>
      <c r="BB44" s="43"/>
      <c r="BC44" s="43"/>
      <c r="BD44" s="1"/>
      <c r="BE44" s="1"/>
    </row>
    <row r="45" spans="1:57" ht="13.5" customHeight="1" x14ac:dyDescent="0.25">
      <c r="A45" s="19"/>
      <c r="B45" s="21"/>
      <c r="C45" s="21" t="s">
        <v>2849</v>
      </c>
      <c r="D45" s="21" t="str">
        <f>C45&amp;""&amp;'Tabella riassuntiva'!$E$1</f>
        <v>PP0200470001001B</v>
      </c>
      <c r="E45" s="21"/>
      <c r="F45" s="21" t="s">
        <v>2850</v>
      </c>
      <c r="G45" s="21"/>
      <c r="H45" s="21" t="s">
        <v>2851</v>
      </c>
      <c r="I45" s="21"/>
      <c r="J45" s="21" t="s">
        <v>2852</v>
      </c>
      <c r="K45" s="31" t="s">
        <v>2853</v>
      </c>
      <c r="L45" s="21"/>
      <c r="M45" s="22"/>
      <c r="N45" s="21"/>
      <c r="O45" s="21"/>
      <c r="P45" s="24"/>
      <c r="Q45" s="24"/>
      <c r="R45" s="23"/>
      <c r="S45" s="23"/>
      <c r="T45" s="23"/>
      <c r="U45" s="23"/>
      <c r="V45" s="52"/>
      <c r="W45" s="23"/>
      <c r="X45" s="21"/>
      <c r="Y45" s="21"/>
      <c r="Z45" s="23"/>
      <c r="AA45" s="21"/>
      <c r="AB45" s="21"/>
      <c r="AC45" s="21"/>
      <c r="AD45" s="21"/>
      <c r="AE45" s="41"/>
      <c r="AF45" s="41"/>
      <c r="AG45" s="41"/>
      <c r="AH45" s="41"/>
      <c r="AI45" s="24"/>
      <c r="AJ45" s="24"/>
      <c r="AK45" s="24"/>
      <c r="AL45" s="21"/>
      <c r="AM45" s="21">
        <v>2025</v>
      </c>
      <c r="AN45" s="29" t="s">
        <v>2854</v>
      </c>
      <c r="AO45" s="29" t="s">
        <v>2710</v>
      </c>
      <c r="AP45" s="29">
        <v>2040</v>
      </c>
      <c r="AQ45" s="29" t="s">
        <v>2855</v>
      </c>
      <c r="AR45" s="26"/>
      <c r="AS45" s="43"/>
      <c r="AT45" s="43"/>
      <c r="AU45" s="43"/>
      <c r="AV45" s="43"/>
      <c r="AW45" s="43"/>
      <c r="AX45" s="43"/>
      <c r="AY45" s="43"/>
      <c r="AZ45" s="43"/>
      <c r="BA45" s="43"/>
      <c r="BB45" s="43"/>
      <c r="BC45" s="43"/>
      <c r="BD45" s="1"/>
      <c r="BE45" s="1"/>
    </row>
    <row r="46" spans="1:57" ht="13.5" customHeight="1" x14ac:dyDescent="0.25">
      <c r="A46" s="19"/>
      <c r="B46" s="21"/>
      <c r="C46" s="21" t="s">
        <v>2856</v>
      </c>
      <c r="D46" s="21" t="str">
        <f>C46&amp;""&amp;'Tabella riassuntiva'!$E$1</f>
        <v>PP0200470002001B</v>
      </c>
      <c r="E46" s="21"/>
      <c r="F46" s="21" t="s">
        <v>2850</v>
      </c>
      <c r="G46" s="21"/>
      <c r="H46" s="21" t="s">
        <v>2857</v>
      </c>
      <c r="I46" s="21"/>
      <c r="J46" s="21" t="s">
        <v>2852</v>
      </c>
      <c r="K46" s="31" t="s">
        <v>2858</v>
      </c>
      <c r="L46" s="21"/>
      <c r="M46" s="22"/>
      <c r="N46" s="21"/>
      <c r="O46" s="21"/>
      <c r="P46" s="24"/>
      <c r="Q46" s="24"/>
      <c r="R46" s="23"/>
      <c r="S46" s="23"/>
      <c r="T46" s="23"/>
      <c r="U46" s="23"/>
      <c r="V46" s="52"/>
      <c r="W46" s="23"/>
      <c r="X46" s="21"/>
      <c r="Y46" s="21"/>
      <c r="Z46" s="23"/>
      <c r="AA46" s="21"/>
      <c r="AB46" s="21"/>
      <c r="AC46" s="21"/>
      <c r="AD46" s="21"/>
      <c r="AE46" s="41"/>
      <c r="AF46" s="41"/>
      <c r="AG46" s="41"/>
      <c r="AH46" s="41"/>
      <c r="AI46" s="24"/>
      <c r="AJ46" s="24"/>
      <c r="AK46" s="24"/>
      <c r="AL46" s="21"/>
      <c r="AM46" s="21">
        <v>2025</v>
      </c>
      <c r="AN46" s="29" t="s">
        <v>2854</v>
      </c>
      <c r="AO46" s="29" t="s">
        <v>2710</v>
      </c>
      <c r="AP46" s="29">
        <f>2020+19</f>
        <v>2039</v>
      </c>
      <c r="AQ46" s="29" t="s">
        <v>2859</v>
      </c>
      <c r="AR46" s="26"/>
      <c r="AS46" s="43"/>
      <c r="AT46" s="43"/>
      <c r="AU46" s="43"/>
      <c r="AV46" s="43"/>
      <c r="AW46" s="43"/>
      <c r="AX46" s="43"/>
      <c r="AY46" s="43"/>
      <c r="AZ46" s="43"/>
      <c r="BA46" s="43"/>
      <c r="BB46" s="43"/>
      <c r="BC46" s="43"/>
      <c r="BD46" s="1"/>
      <c r="BE46" s="1"/>
    </row>
    <row r="47" spans="1:57" ht="13.5" customHeight="1" x14ac:dyDescent="0.25">
      <c r="A47" s="19"/>
      <c r="B47" s="21"/>
      <c r="C47" s="21" t="s">
        <v>2860</v>
      </c>
      <c r="D47" s="21" t="str">
        <f>C47&amp;""&amp;'Tabella riassuntiva'!$E$1</f>
        <v>PP0200470003001B</v>
      </c>
      <c r="E47" s="21"/>
      <c r="F47" s="21" t="s">
        <v>2850</v>
      </c>
      <c r="G47" s="21"/>
      <c r="H47" s="21" t="s">
        <v>2861</v>
      </c>
      <c r="I47" s="21"/>
      <c r="J47" s="21" t="s">
        <v>2852</v>
      </c>
      <c r="K47" s="31" t="s">
        <v>2858</v>
      </c>
      <c r="L47" s="21"/>
      <c r="M47" s="22"/>
      <c r="N47" s="21"/>
      <c r="O47" s="21"/>
      <c r="P47" s="24"/>
      <c r="Q47" s="24"/>
      <c r="R47" s="23"/>
      <c r="S47" s="23"/>
      <c r="T47" s="23"/>
      <c r="U47" s="23"/>
      <c r="V47" s="52"/>
      <c r="W47" s="23"/>
      <c r="X47" s="21"/>
      <c r="Y47" s="21"/>
      <c r="Z47" s="23"/>
      <c r="AA47" s="21"/>
      <c r="AB47" s="21"/>
      <c r="AC47" s="21"/>
      <c r="AD47" s="21"/>
      <c r="AE47" s="41"/>
      <c r="AF47" s="41"/>
      <c r="AG47" s="41"/>
      <c r="AH47" s="41"/>
      <c r="AI47" s="24"/>
      <c r="AJ47" s="24"/>
      <c r="AK47" s="24"/>
      <c r="AL47" s="21"/>
      <c r="AM47" s="21">
        <v>2025</v>
      </c>
      <c r="AN47" s="29" t="s">
        <v>2854</v>
      </c>
      <c r="AO47" s="29" t="s">
        <v>2710</v>
      </c>
      <c r="AP47" s="29">
        <f>2022+19</f>
        <v>2041</v>
      </c>
      <c r="AQ47" s="29" t="s">
        <v>2862</v>
      </c>
      <c r="AR47" s="26"/>
      <c r="AS47" s="43"/>
      <c r="AT47" s="43"/>
      <c r="AU47" s="43"/>
      <c r="AV47" s="43"/>
      <c r="AW47" s="43"/>
      <c r="AX47" s="43"/>
      <c r="AY47" s="43"/>
      <c r="AZ47" s="43"/>
      <c r="BA47" s="43"/>
      <c r="BB47" s="43"/>
      <c r="BC47" s="43"/>
      <c r="BD47" s="1"/>
      <c r="BE47" s="1"/>
    </row>
    <row r="48" spans="1:57" ht="13.5" customHeight="1" x14ac:dyDescent="0.25">
      <c r="A48" s="19"/>
      <c r="B48" s="21"/>
      <c r="C48" s="21" t="s">
        <v>2863</v>
      </c>
      <c r="D48" s="21" t="str">
        <f>C48&amp;""&amp;'Tabella riassuntiva'!$E$1</f>
        <v>PP0200470004001B</v>
      </c>
      <c r="E48" s="21"/>
      <c r="F48" s="21" t="s">
        <v>2850</v>
      </c>
      <c r="G48" s="21"/>
      <c r="H48" s="21" t="s">
        <v>2857</v>
      </c>
      <c r="I48" s="21"/>
      <c r="J48" s="21" t="s">
        <v>2852</v>
      </c>
      <c r="K48" s="31" t="s">
        <v>2864</v>
      </c>
      <c r="L48" s="21"/>
      <c r="M48" s="22"/>
      <c r="N48" s="21"/>
      <c r="O48" s="21"/>
      <c r="P48" s="24"/>
      <c r="Q48" s="24"/>
      <c r="R48" s="23"/>
      <c r="S48" s="23"/>
      <c r="T48" s="23"/>
      <c r="U48" s="23"/>
      <c r="V48" s="52"/>
      <c r="W48" s="23"/>
      <c r="X48" s="21"/>
      <c r="Y48" s="21"/>
      <c r="Z48" s="23"/>
      <c r="AA48" s="21"/>
      <c r="AB48" s="21"/>
      <c r="AC48" s="21"/>
      <c r="AD48" s="21"/>
      <c r="AE48" s="41"/>
      <c r="AF48" s="41"/>
      <c r="AG48" s="41"/>
      <c r="AH48" s="41"/>
      <c r="AI48" s="24"/>
      <c r="AJ48" s="24"/>
      <c r="AK48" s="24"/>
      <c r="AL48" s="21"/>
      <c r="AM48" s="21">
        <v>2025</v>
      </c>
      <c r="AN48" s="29" t="s">
        <v>2854</v>
      </c>
      <c r="AO48" s="29" t="s">
        <v>2865</v>
      </c>
      <c r="AP48" s="29"/>
      <c r="AQ48" s="29" t="s">
        <v>2866</v>
      </c>
      <c r="AR48" s="26"/>
      <c r="AS48" s="43"/>
      <c r="AT48" s="43"/>
      <c r="AU48" s="43"/>
      <c r="AV48" s="43"/>
      <c r="AW48" s="43"/>
      <c r="AX48" s="43"/>
      <c r="AY48" s="43"/>
      <c r="AZ48" s="43"/>
      <c r="BA48" s="43"/>
      <c r="BB48" s="43"/>
      <c r="BC48" s="43"/>
      <c r="BD48" s="1"/>
      <c r="BE48" s="1"/>
    </row>
    <row r="49" spans="1:57" ht="13.5" customHeight="1" x14ac:dyDescent="0.25">
      <c r="A49" s="19"/>
      <c r="B49" s="21"/>
      <c r="C49" s="21" t="s">
        <v>2867</v>
      </c>
      <c r="D49" s="21" t="str">
        <f>C49&amp;""&amp;'Tabella riassuntiva'!$E$1</f>
        <v>PP0200470005001B</v>
      </c>
      <c r="E49" s="21"/>
      <c r="F49" s="21" t="s">
        <v>2850</v>
      </c>
      <c r="G49" s="21"/>
      <c r="H49" s="21" t="s">
        <v>2868</v>
      </c>
      <c r="I49" s="21"/>
      <c r="J49" s="21" t="s">
        <v>2852</v>
      </c>
      <c r="K49" s="31" t="s">
        <v>2864</v>
      </c>
      <c r="L49" s="21"/>
      <c r="M49" s="22"/>
      <c r="N49" s="21"/>
      <c r="O49" s="21"/>
      <c r="P49" s="24"/>
      <c r="Q49" s="24"/>
      <c r="R49" s="23"/>
      <c r="S49" s="23"/>
      <c r="T49" s="23"/>
      <c r="U49" s="23"/>
      <c r="V49" s="52"/>
      <c r="W49" s="23"/>
      <c r="X49" s="21"/>
      <c r="Y49" s="21"/>
      <c r="Z49" s="23"/>
      <c r="AA49" s="21"/>
      <c r="AB49" s="21"/>
      <c r="AC49" s="21"/>
      <c r="AD49" s="21"/>
      <c r="AE49" s="41"/>
      <c r="AF49" s="41"/>
      <c r="AG49" s="41"/>
      <c r="AH49" s="41"/>
      <c r="AI49" s="24"/>
      <c r="AJ49" s="24"/>
      <c r="AK49" s="24"/>
      <c r="AL49" s="21"/>
      <c r="AM49" s="21">
        <v>2025</v>
      </c>
      <c r="AN49" s="29" t="s">
        <v>2854</v>
      </c>
      <c r="AO49" s="29" t="s">
        <v>2865</v>
      </c>
      <c r="AP49" s="29"/>
      <c r="AQ49" s="29" t="s">
        <v>2866</v>
      </c>
      <c r="AR49" s="26"/>
      <c r="AS49" s="43"/>
      <c r="AT49" s="43"/>
      <c r="AU49" s="43"/>
      <c r="AV49" s="43"/>
      <c r="AW49" s="43"/>
      <c r="AX49" s="43"/>
      <c r="AY49" s="43"/>
      <c r="AZ49" s="43"/>
      <c r="BA49" s="43"/>
      <c r="BB49" s="43"/>
      <c r="BC49" s="43"/>
      <c r="BD49" s="1"/>
      <c r="BE49" s="1"/>
    </row>
    <row r="50" spans="1:57" ht="13.5" customHeight="1" x14ac:dyDescent="0.25">
      <c r="A50" s="19"/>
      <c r="B50" s="21"/>
      <c r="C50" s="21" t="s">
        <v>2869</v>
      </c>
      <c r="D50" s="21" t="str">
        <f>C50&amp;""&amp;'Tabella riassuntiva'!$E$1</f>
        <v>PP0200470006001B</v>
      </c>
      <c r="E50" s="21"/>
      <c r="F50" s="21" t="s">
        <v>2850</v>
      </c>
      <c r="G50" s="21"/>
      <c r="H50" s="21" t="s">
        <v>2870</v>
      </c>
      <c r="I50" s="21"/>
      <c r="J50" s="21" t="s">
        <v>2852</v>
      </c>
      <c r="K50" s="31" t="s">
        <v>2864</v>
      </c>
      <c r="L50" s="21"/>
      <c r="M50" s="22"/>
      <c r="N50" s="21"/>
      <c r="O50" s="21"/>
      <c r="P50" s="24"/>
      <c r="Q50" s="24"/>
      <c r="R50" s="23"/>
      <c r="S50" s="23"/>
      <c r="T50" s="23"/>
      <c r="U50" s="23"/>
      <c r="V50" s="52"/>
      <c r="W50" s="23"/>
      <c r="X50" s="21"/>
      <c r="Y50" s="21"/>
      <c r="Z50" s="23"/>
      <c r="AA50" s="21"/>
      <c r="AB50" s="21"/>
      <c r="AC50" s="21"/>
      <c r="AD50" s="21"/>
      <c r="AE50" s="41"/>
      <c r="AF50" s="41"/>
      <c r="AG50" s="41"/>
      <c r="AH50" s="41"/>
      <c r="AI50" s="24"/>
      <c r="AJ50" s="24"/>
      <c r="AK50" s="24"/>
      <c r="AL50" s="21"/>
      <c r="AM50" s="21">
        <v>2025</v>
      </c>
      <c r="AN50" s="29" t="s">
        <v>2854</v>
      </c>
      <c r="AO50" s="29" t="s">
        <v>2865</v>
      </c>
      <c r="AP50" s="29"/>
      <c r="AQ50" s="29" t="s">
        <v>2866</v>
      </c>
      <c r="AR50" s="26"/>
      <c r="AS50" s="43"/>
      <c r="AT50" s="43"/>
      <c r="AU50" s="43"/>
      <c r="AV50" s="43"/>
      <c r="AW50" s="43"/>
      <c r="AX50" s="43"/>
      <c r="AY50" s="43"/>
      <c r="AZ50" s="43"/>
      <c r="BA50" s="43"/>
      <c r="BB50" s="43"/>
      <c r="BC50" s="43"/>
      <c r="BD50" s="1"/>
      <c r="BE50" s="1"/>
    </row>
    <row r="51" spans="1:57" ht="13.5" customHeight="1" x14ac:dyDescent="0.25">
      <c r="A51" s="19"/>
      <c r="B51" s="21"/>
      <c r="C51" s="21" t="s">
        <v>2871</v>
      </c>
      <c r="D51" s="21" t="str">
        <f>C51&amp;""&amp;'Tabella riassuntiva'!$E$1</f>
        <v>PP0200470007001B</v>
      </c>
      <c r="E51" s="21"/>
      <c r="F51" s="21" t="s">
        <v>2850</v>
      </c>
      <c r="G51" s="21"/>
      <c r="H51" s="21" t="s">
        <v>2861</v>
      </c>
      <c r="I51" s="21"/>
      <c r="J51" s="21" t="s">
        <v>2852</v>
      </c>
      <c r="K51" s="31" t="s">
        <v>2864</v>
      </c>
      <c r="L51" s="21"/>
      <c r="M51" s="22"/>
      <c r="N51" s="21"/>
      <c r="O51" s="21"/>
      <c r="P51" s="24"/>
      <c r="Q51" s="24"/>
      <c r="R51" s="23"/>
      <c r="S51" s="23"/>
      <c r="T51" s="23"/>
      <c r="U51" s="23"/>
      <c r="V51" s="52"/>
      <c r="W51" s="23"/>
      <c r="X51" s="21"/>
      <c r="Y51" s="21"/>
      <c r="Z51" s="23"/>
      <c r="AA51" s="21"/>
      <c r="AB51" s="21"/>
      <c r="AC51" s="21"/>
      <c r="AD51" s="21"/>
      <c r="AE51" s="41"/>
      <c r="AF51" s="41"/>
      <c r="AG51" s="41"/>
      <c r="AH51" s="41"/>
      <c r="AI51" s="24"/>
      <c r="AJ51" s="24"/>
      <c r="AK51" s="24"/>
      <c r="AL51" s="21"/>
      <c r="AM51" s="21">
        <v>2025</v>
      </c>
      <c r="AN51" s="29" t="s">
        <v>2854</v>
      </c>
      <c r="AO51" s="29" t="s">
        <v>2865</v>
      </c>
      <c r="AP51" s="29"/>
      <c r="AQ51" s="29" t="s">
        <v>2866</v>
      </c>
      <c r="AR51" s="26"/>
      <c r="AS51" s="43"/>
      <c r="AT51" s="43"/>
      <c r="AU51" s="43"/>
      <c r="AV51" s="43"/>
      <c r="AW51" s="43"/>
      <c r="AX51" s="43"/>
      <c r="AY51" s="43"/>
      <c r="AZ51" s="43"/>
      <c r="BA51" s="43"/>
      <c r="BB51" s="43"/>
      <c r="BC51" s="43"/>
      <c r="BD51" s="1"/>
      <c r="BE51" s="1"/>
    </row>
    <row r="52" spans="1:57" ht="13.5" customHeight="1" x14ac:dyDescent="0.25">
      <c r="A52" s="19"/>
      <c r="B52" s="21"/>
      <c r="C52" s="21" t="s">
        <v>2872</v>
      </c>
      <c r="D52" s="21" t="str">
        <f>C52&amp;""&amp;'Tabella riassuntiva'!$E$1</f>
        <v>PP0200470008001B</v>
      </c>
      <c r="E52" s="21"/>
      <c r="F52" s="21" t="s">
        <v>2850</v>
      </c>
      <c r="G52" s="21"/>
      <c r="H52" s="21" t="s">
        <v>2873</v>
      </c>
      <c r="I52" s="21"/>
      <c r="J52" s="21" t="s">
        <v>2852</v>
      </c>
      <c r="K52" s="31" t="s">
        <v>2864</v>
      </c>
      <c r="L52" s="21"/>
      <c r="M52" s="22"/>
      <c r="N52" s="21"/>
      <c r="O52" s="21"/>
      <c r="P52" s="24"/>
      <c r="Q52" s="24"/>
      <c r="R52" s="23"/>
      <c r="S52" s="23"/>
      <c r="T52" s="23"/>
      <c r="U52" s="23"/>
      <c r="V52" s="52"/>
      <c r="W52" s="23"/>
      <c r="X52" s="21"/>
      <c r="Y52" s="21"/>
      <c r="Z52" s="23"/>
      <c r="AA52" s="21"/>
      <c r="AB52" s="21"/>
      <c r="AC52" s="21"/>
      <c r="AD52" s="21"/>
      <c r="AE52" s="41"/>
      <c r="AF52" s="41"/>
      <c r="AG52" s="41"/>
      <c r="AH52" s="41"/>
      <c r="AI52" s="24"/>
      <c r="AJ52" s="24"/>
      <c r="AK52" s="24"/>
      <c r="AL52" s="21"/>
      <c r="AM52" s="21">
        <v>2025</v>
      </c>
      <c r="AN52" s="29" t="s">
        <v>2854</v>
      </c>
      <c r="AO52" s="29" t="s">
        <v>2865</v>
      </c>
      <c r="AP52" s="29"/>
      <c r="AQ52" s="29" t="s">
        <v>2866</v>
      </c>
      <c r="AR52" s="26"/>
      <c r="AS52" s="43"/>
      <c r="AT52" s="43"/>
      <c r="AU52" s="43"/>
      <c r="AV52" s="43"/>
      <c r="AW52" s="43"/>
      <c r="AX52" s="43"/>
      <c r="AY52" s="43"/>
      <c r="AZ52" s="43"/>
      <c r="BA52" s="43"/>
      <c r="BB52" s="43"/>
      <c r="BC52" s="43"/>
      <c r="BD52" s="1"/>
      <c r="BE52" s="1"/>
    </row>
    <row r="53" spans="1:57" ht="13.5" customHeight="1" x14ac:dyDescent="0.25">
      <c r="A53" s="19"/>
      <c r="B53" s="21"/>
      <c r="C53" s="21" t="s">
        <v>2874</v>
      </c>
      <c r="D53" s="21" t="str">
        <f>C53&amp;""&amp;'Tabella riassuntiva'!$E$1</f>
        <v>PP0200560001001B</v>
      </c>
      <c r="E53" s="21"/>
      <c r="F53" s="21" t="s">
        <v>2875</v>
      </c>
      <c r="G53" s="21"/>
      <c r="H53" s="21" t="s">
        <v>2876</v>
      </c>
      <c r="I53" s="21"/>
      <c r="J53" s="21" t="s">
        <v>2852</v>
      </c>
      <c r="K53" s="31" t="s">
        <v>2877</v>
      </c>
      <c r="L53" s="21"/>
      <c r="M53" s="22"/>
      <c r="N53" s="21"/>
      <c r="O53" s="21"/>
      <c r="P53" s="24"/>
      <c r="Q53" s="24"/>
      <c r="R53" s="23"/>
      <c r="S53" s="23"/>
      <c r="T53" s="23"/>
      <c r="U53" s="23"/>
      <c r="V53" s="52"/>
      <c r="W53" s="23"/>
      <c r="X53" s="21"/>
      <c r="Y53" s="21"/>
      <c r="Z53" s="23"/>
      <c r="AA53" s="21"/>
      <c r="AB53" s="21"/>
      <c r="AC53" s="21"/>
      <c r="AD53" s="21"/>
      <c r="AE53" s="41"/>
      <c r="AF53" s="41"/>
      <c r="AG53" s="41"/>
      <c r="AH53" s="41"/>
      <c r="AI53" s="24"/>
      <c r="AJ53" s="24"/>
      <c r="AK53" s="24"/>
      <c r="AL53" s="21"/>
      <c r="AM53" s="21">
        <v>2025</v>
      </c>
      <c r="AN53" s="29" t="s">
        <v>2854</v>
      </c>
      <c r="AO53" s="29" t="s">
        <v>2878</v>
      </c>
      <c r="AP53" s="29"/>
      <c r="AQ53" s="29" t="s">
        <v>2879</v>
      </c>
      <c r="AR53" s="26"/>
      <c r="AS53" s="43"/>
      <c r="AT53" s="43"/>
      <c r="AU53" s="43"/>
      <c r="AV53" s="43"/>
      <c r="AW53" s="43"/>
      <c r="AX53" s="43"/>
      <c r="AY53" s="43"/>
      <c r="AZ53" s="43"/>
      <c r="BA53" s="43"/>
      <c r="BB53" s="43"/>
      <c r="BC53" s="43"/>
      <c r="BD53" s="1"/>
      <c r="BE53" s="1"/>
    </row>
    <row r="54" spans="1:57" ht="13.5" customHeight="1" x14ac:dyDescent="0.25">
      <c r="A54" s="19"/>
      <c r="B54" s="21"/>
      <c r="C54" s="21" t="s">
        <v>2880</v>
      </c>
      <c r="D54" s="21" t="str">
        <f>C54&amp;""&amp;'Tabella riassuntiva'!$E$1</f>
        <v>PP0200560004001B</v>
      </c>
      <c r="E54" s="21"/>
      <c r="F54" s="21" t="s">
        <v>2875</v>
      </c>
      <c r="G54" s="21"/>
      <c r="H54" s="21" t="s">
        <v>2881</v>
      </c>
      <c r="I54" s="21"/>
      <c r="J54" s="21" t="s">
        <v>2852</v>
      </c>
      <c r="K54" s="31" t="s">
        <v>2882</v>
      </c>
      <c r="L54" s="21"/>
      <c r="M54" s="22"/>
      <c r="N54" s="21"/>
      <c r="O54" s="21"/>
      <c r="P54" s="24"/>
      <c r="Q54" s="24"/>
      <c r="R54" s="23"/>
      <c r="S54" s="23"/>
      <c r="T54" s="23"/>
      <c r="U54" s="23"/>
      <c r="V54" s="52"/>
      <c r="W54" s="23"/>
      <c r="X54" s="21"/>
      <c r="Y54" s="21"/>
      <c r="Z54" s="23"/>
      <c r="AA54" s="21"/>
      <c r="AB54" s="21"/>
      <c r="AC54" s="21"/>
      <c r="AD54" s="21"/>
      <c r="AE54" s="41"/>
      <c r="AF54" s="41"/>
      <c r="AG54" s="41"/>
      <c r="AH54" s="41"/>
      <c r="AI54" s="24"/>
      <c r="AJ54" s="24"/>
      <c r="AK54" s="24"/>
      <c r="AL54" s="21"/>
      <c r="AM54" s="21">
        <v>2025</v>
      </c>
      <c r="AN54" s="29" t="s">
        <v>2854</v>
      </c>
      <c r="AO54" s="29" t="s">
        <v>2710</v>
      </c>
      <c r="AP54" s="29"/>
      <c r="AQ54" s="29"/>
      <c r="AR54" s="26"/>
      <c r="AS54" s="43"/>
      <c r="AT54" s="43"/>
      <c r="AU54" s="43"/>
      <c r="AV54" s="43"/>
      <c r="AW54" s="43"/>
      <c r="AX54" s="43"/>
      <c r="AY54" s="43"/>
      <c r="AZ54" s="43"/>
      <c r="BA54" s="43"/>
      <c r="BB54" s="43"/>
      <c r="BC54" s="43"/>
      <c r="BD54" s="1"/>
      <c r="BE54" s="1"/>
    </row>
    <row r="55" spans="1:57" ht="13.5" customHeight="1" x14ac:dyDescent="0.25">
      <c r="A55" s="19"/>
      <c r="B55" s="21"/>
      <c r="C55" s="21" t="s">
        <v>2883</v>
      </c>
      <c r="D55" s="21" t="str">
        <f>C55&amp;""&amp;'Tabella riassuntiva'!$E$1</f>
        <v>PP0200560005001B</v>
      </c>
      <c r="E55" s="21"/>
      <c r="F55" s="21" t="s">
        <v>2875</v>
      </c>
      <c r="G55" s="21"/>
      <c r="H55" s="21" t="s">
        <v>2884</v>
      </c>
      <c r="I55" s="21"/>
      <c r="J55" s="21" t="s">
        <v>2852</v>
      </c>
      <c r="K55" s="31" t="s">
        <v>2882</v>
      </c>
      <c r="L55" s="21"/>
      <c r="M55" s="22"/>
      <c r="N55" s="21"/>
      <c r="O55" s="21"/>
      <c r="P55" s="24"/>
      <c r="Q55" s="24"/>
      <c r="R55" s="23"/>
      <c r="S55" s="23"/>
      <c r="T55" s="23"/>
      <c r="U55" s="23"/>
      <c r="V55" s="52"/>
      <c r="W55" s="23"/>
      <c r="X55" s="21"/>
      <c r="Y55" s="21"/>
      <c r="Z55" s="23"/>
      <c r="AA55" s="21"/>
      <c r="AB55" s="21"/>
      <c r="AC55" s="21"/>
      <c r="AD55" s="21"/>
      <c r="AE55" s="41"/>
      <c r="AF55" s="41"/>
      <c r="AG55" s="41"/>
      <c r="AH55" s="41"/>
      <c r="AI55" s="24"/>
      <c r="AJ55" s="24"/>
      <c r="AK55" s="24"/>
      <c r="AL55" s="21"/>
      <c r="AM55" s="21">
        <v>2025</v>
      </c>
      <c r="AN55" s="29" t="s">
        <v>2854</v>
      </c>
      <c r="AO55" s="29" t="s">
        <v>2710</v>
      </c>
      <c r="AP55" s="29"/>
      <c r="AQ55" s="29"/>
      <c r="AR55" s="26"/>
      <c r="AS55" s="43"/>
      <c r="AT55" s="43"/>
      <c r="AU55" s="43"/>
      <c r="AV55" s="43"/>
      <c r="AW55" s="43"/>
      <c r="AX55" s="43"/>
      <c r="AY55" s="43"/>
      <c r="AZ55" s="43"/>
      <c r="BA55" s="43"/>
      <c r="BB55" s="43"/>
      <c r="BC55" s="43"/>
      <c r="BD55" s="1"/>
      <c r="BE55" s="1"/>
    </row>
    <row r="56" spans="1:57" ht="13.5" customHeight="1" x14ac:dyDescent="0.25">
      <c r="A56" s="19"/>
      <c r="B56" s="21"/>
      <c r="C56" s="21" t="s">
        <v>2885</v>
      </c>
      <c r="D56" s="21" t="str">
        <f>C56&amp;""&amp;'Tabella riassuntiva'!$E$1</f>
        <v>PP0200560006001B</v>
      </c>
      <c r="E56" s="21"/>
      <c r="F56" s="21" t="s">
        <v>2875</v>
      </c>
      <c r="G56" s="21"/>
      <c r="H56" s="21" t="s">
        <v>2886</v>
      </c>
      <c r="I56" s="21"/>
      <c r="J56" s="21" t="s">
        <v>2852</v>
      </c>
      <c r="K56" s="31" t="s">
        <v>2882</v>
      </c>
      <c r="L56" s="21"/>
      <c r="M56" s="22"/>
      <c r="N56" s="21"/>
      <c r="O56" s="21"/>
      <c r="P56" s="24"/>
      <c r="Q56" s="24"/>
      <c r="R56" s="23"/>
      <c r="S56" s="23"/>
      <c r="T56" s="23"/>
      <c r="U56" s="23"/>
      <c r="V56" s="52"/>
      <c r="W56" s="23"/>
      <c r="X56" s="21"/>
      <c r="Y56" s="21"/>
      <c r="Z56" s="23"/>
      <c r="AA56" s="21"/>
      <c r="AB56" s="21"/>
      <c r="AC56" s="21"/>
      <c r="AD56" s="21"/>
      <c r="AE56" s="41"/>
      <c r="AF56" s="41"/>
      <c r="AG56" s="41"/>
      <c r="AH56" s="41"/>
      <c r="AI56" s="24"/>
      <c r="AJ56" s="24"/>
      <c r="AK56" s="24"/>
      <c r="AL56" s="21"/>
      <c r="AM56" s="21">
        <v>2025</v>
      </c>
      <c r="AN56" s="29" t="s">
        <v>2854</v>
      </c>
      <c r="AO56" s="29" t="s">
        <v>2710</v>
      </c>
      <c r="AP56" s="29"/>
      <c r="AQ56" s="29"/>
      <c r="AR56" s="26"/>
      <c r="AS56" s="43"/>
      <c r="AT56" s="43"/>
      <c r="AU56" s="43"/>
      <c r="AV56" s="43"/>
      <c r="AW56" s="43"/>
      <c r="AX56" s="43"/>
      <c r="AY56" s="43"/>
      <c r="AZ56" s="43"/>
      <c r="BA56" s="43"/>
      <c r="BB56" s="43"/>
      <c r="BC56" s="43"/>
      <c r="BD56" s="1"/>
      <c r="BE56" s="1"/>
    </row>
    <row r="57" spans="1:57" ht="13.5" customHeight="1" x14ac:dyDescent="0.25">
      <c r="A57" s="19"/>
      <c r="B57" s="21"/>
      <c r="C57" s="21" t="s">
        <v>2887</v>
      </c>
      <c r="D57" s="21" t="str">
        <f>C57&amp;""&amp;'Tabella riassuntiva'!$E$1</f>
        <v>PP0200560007001B</v>
      </c>
      <c r="E57" s="21"/>
      <c r="F57" s="21" t="s">
        <v>2875</v>
      </c>
      <c r="G57" s="21"/>
      <c r="H57" s="21" t="s">
        <v>2888</v>
      </c>
      <c r="I57" s="21"/>
      <c r="J57" s="21" t="s">
        <v>2852</v>
      </c>
      <c r="K57" s="31" t="s">
        <v>2882</v>
      </c>
      <c r="L57" s="21"/>
      <c r="M57" s="22"/>
      <c r="N57" s="21"/>
      <c r="O57" s="21"/>
      <c r="P57" s="24"/>
      <c r="Q57" s="24"/>
      <c r="R57" s="23"/>
      <c r="S57" s="23"/>
      <c r="T57" s="23"/>
      <c r="U57" s="23"/>
      <c r="V57" s="52"/>
      <c r="W57" s="23"/>
      <c r="X57" s="21"/>
      <c r="Y57" s="21"/>
      <c r="Z57" s="23"/>
      <c r="AA57" s="21"/>
      <c r="AB57" s="21"/>
      <c r="AC57" s="21"/>
      <c r="AD57" s="21"/>
      <c r="AE57" s="41"/>
      <c r="AF57" s="41"/>
      <c r="AG57" s="41"/>
      <c r="AH57" s="41"/>
      <c r="AI57" s="24"/>
      <c r="AJ57" s="24"/>
      <c r="AK57" s="24"/>
      <c r="AL57" s="21"/>
      <c r="AM57" s="21">
        <v>2025</v>
      </c>
      <c r="AN57" s="29" t="s">
        <v>2854</v>
      </c>
      <c r="AO57" s="29" t="s">
        <v>2710</v>
      </c>
      <c r="AP57" s="29"/>
      <c r="AQ57" s="29"/>
      <c r="AR57" s="26"/>
      <c r="AS57" s="43"/>
      <c r="AT57" s="43"/>
      <c r="AU57" s="43"/>
      <c r="AV57" s="43"/>
      <c r="AW57" s="43"/>
      <c r="AX57" s="43"/>
      <c r="AY57" s="43"/>
      <c r="AZ57" s="43"/>
      <c r="BA57" s="43"/>
      <c r="BB57" s="43"/>
      <c r="BC57" s="43"/>
      <c r="BD57" s="1"/>
      <c r="BE57" s="1"/>
    </row>
    <row r="58" spans="1:57" ht="13.5" customHeight="1" x14ac:dyDescent="0.25">
      <c r="A58" s="19"/>
      <c r="B58" s="21"/>
      <c r="C58" s="21" t="s">
        <v>2889</v>
      </c>
      <c r="D58" s="21" t="str">
        <f>C58&amp;""&amp;'Tabella riassuntiva'!$E$1</f>
        <v>PP0200560008001B</v>
      </c>
      <c r="E58" s="21"/>
      <c r="F58" s="21" t="s">
        <v>2875</v>
      </c>
      <c r="G58" s="21"/>
      <c r="H58" s="21" t="s">
        <v>2890</v>
      </c>
      <c r="I58" s="21"/>
      <c r="J58" s="21" t="s">
        <v>2852</v>
      </c>
      <c r="K58" s="31" t="s">
        <v>2891</v>
      </c>
      <c r="L58" s="21"/>
      <c r="M58" s="22"/>
      <c r="N58" s="21"/>
      <c r="O58" s="21"/>
      <c r="P58" s="24"/>
      <c r="Q58" s="24"/>
      <c r="R58" s="23"/>
      <c r="S58" s="23"/>
      <c r="T58" s="23"/>
      <c r="U58" s="23"/>
      <c r="V58" s="52"/>
      <c r="W58" s="23"/>
      <c r="X58" s="21"/>
      <c r="Y58" s="21"/>
      <c r="Z58" s="23"/>
      <c r="AA58" s="21"/>
      <c r="AB58" s="21"/>
      <c r="AC58" s="21"/>
      <c r="AD58" s="21"/>
      <c r="AE58" s="41"/>
      <c r="AF58" s="41"/>
      <c r="AG58" s="41"/>
      <c r="AH58" s="41"/>
      <c r="AI58" s="24"/>
      <c r="AJ58" s="24"/>
      <c r="AK58" s="24"/>
      <c r="AL58" s="21"/>
      <c r="AM58" s="21">
        <v>2025</v>
      </c>
      <c r="AN58" s="29" t="s">
        <v>2854</v>
      </c>
      <c r="AO58" s="29" t="s">
        <v>2710</v>
      </c>
      <c r="AP58" s="29"/>
      <c r="AQ58" s="29"/>
      <c r="AR58" s="26"/>
      <c r="AS58" s="43"/>
      <c r="AT58" s="43"/>
      <c r="AU58" s="43"/>
      <c r="AV58" s="43"/>
      <c r="AW58" s="43"/>
      <c r="AX58" s="43"/>
      <c r="AY58" s="43"/>
      <c r="AZ58" s="43"/>
      <c r="BA58" s="43"/>
      <c r="BB58" s="43"/>
      <c r="BC58" s="43"/>
      <c r="BD58" s="1"/>
      <c r="BE58" s="1"/>
    </row>
    <row r="59" spans="1:57" ht="13.5" customHeight="1" x14ac:dyDescent="0.25">
      <c r="A59" s="19"/>
      <c r="B59" s="21"/>
      <c r="C59" s="21" t="s">
        <v>2892</v>
      </c>
      <c r="D59" s="21" t="str">
        <f>C59&amp;""&amp;'Tabella riassuntiva'!$E$1</f>
        <v>PP0200560010001B</v>
      </c>
      <c r="E59" s="21"/>
      <c r="F59" s="21" t="s">
        <v>2875</v>
      </c>
      <c r="G59" s="21" t="s">
        <v>2893</v>
      </c>
      <c r="H59" s="21" t="s">
        <v>2894</v>
      </c>
      <c r="I59" s="21"/>
      <c r="J59" s="21" t="s">
        <v>2852</v>
      </c>
      <c r="K59" s="31" t="s">
        <v>2895</v>
      </c>
      <c r="L59" s="21"/>
      <c r="M59" s="22"/>
      <c r="N59" s="21"/>
      <c r="O59" s="21"/>
      <c r="P59" s="24"/>
      <c r="Q59" s="24"/>
      <c r="R59" s="23"/>
      <c r="S59" s="23"/>
      <c r="T59" s="23"/>
      <c r="U59" s="23"/>
      <c r="V59" s="52"/>
      <c r="W59" s="23"/>
      <c r="X59" s="21"/>
      <c r="Y59" s="21"/>
      <c r="Z59" s="23"/>
      <c r="AA59" s="21"/>
      <c r="AB59" s="21"/>
      <c r="AC59" s="21"/>
      <c r="AD59" s="21"/>
      <c r="AE59" s="41"/>
      <c r="AF59" s="41"/>
      <c r="AG59" s="41"/>
      <c r="AH59" s="41"/>
      <c r="AI59" s="24"/>
      <c r="AJ59" s="24"/>
      <c r="AK59" s="24"/>
      <c r="AL59" s="21"/>
      <c r="AM59" s="21">
        <v>2025</v>
      </c>
      <c r="AN59" s="29" t="s">
        <v>2854</v>
      </c>
      <c r="AO59" s="29" t="s">
        <v>2710</v>
      </c>
      <c r="AP59" s="29">
        <f t="shared" ref="AP59:AP60" si="0">2022+19</f>
        <v>2041</v>
      </c>
      <c r="AQ59" s="29" t="s">
        <v>2896</v>
      </c>
      <c r="AR59" s="26"/>
      <c r="AS59" s="43"/>
      <c r="AT59" s="43"/>
      <c r="AU59" s="43"/>
      <c r="AV59" s="43"/>
      <c r="AW59" s="43"/>
      <c r="AX59" s="43"/>
      <c r="AY59" s="43"/>
      <c r="AZ59" s="43"/>
      <c r="BA59" s="43"/>
      <c r="BB59" s="43"/>
      <c r="BC59" s="43"/>
      <c r="BD59" s="1"/>
      <c r="BE59" s="1"/>
    </row>
    <row r="60" spans="1:57" ht="13.5" customHeight="1" x14ac:dyDescent="0.25">
      <c r="A60" s="19"/>
      <c r="B60" s="21"/>
      <c r="C60" s="21" t="s">
        <v>2897</v>
      </c>
      <c r="D60" s="21" t="str">
        <f>C60&amp;""&amp;'Tabella riassuntiva'!$E$1</f>
        <v>PP0200560011001B</v>
      </c>
      <c r="E60" s="21"/>
      <c r="F60" s="21" t="s">
        <v>2875</v>
      </c>
      <c r="G60" s="21" t="s">
        <v>2893</v>
      </c>
      <c r="H60" s="21" t="s">
        <v>2894</v>
      </c>
      <c r="I60" s="21"/>
      <c r="J60" s="21" t="s">
        <v>2852</v>
      </c>
      <c r="K60" s="31" t="s">
        <v>2895</v>
      </c>
      <c r="L60" s="21"/>
      <c r="M60" s="22"/>
      <c r="N60" s="21"/>
      <c r="O60" s="21"/>
      <c r="P60" s="24"/>
      <c r="Q60" s="24"/>
      <c r="R60" s="23"/>
      <c r="S60" s="23"/>
      <c r="T60" s="23"/>
      <c r="U60" s="23"/>
      <c r="V60" s="52"/>
      <c r="W60" s="23"/>
      <c r="X60" s="21"/>
      <c r="Y60" s="21"/>
      <c r="Z60" s="23"/>
      <c r="AA60" s="21"/>
      <c r="AB60" s="21"/>
      <c r="AC60" s="21"/>
      <c r="AD60" s="21"/>
      <c r="AE60" s="41"/>
      <c r="AF60" s="41"/>
      <c r="AG60" s="41"/>
      <c r="AH60" s="41"/>
      <c r="AI60" s="24"/>
      <c r="AJ60" s="24"/>
      <c r="AK60" s="24"/>
      <c r="AL60" s="21"/>
      <c r="AM60" s="21">
        <v>2025</v>
      </c>
      <c r="AN60" s="29" t="s">
        <v>2854</v>
      </c>
      <c r="AO60" s="29" t="s">
        <v>2710</v>
      </c>
      <c r="AP60" s="29">
        <f t="shared" si="0"/>
        <v>2041</v>
      </c>
      <c r="AQ60" s="29" t="s">
        <v>2898</v>
      </c>
      <c r="AR60" s="26"/>
      <c r="AS60" s="43"/>
      <c r="AT60" s="43"/>
      <c r="AU60" s="43"/>
      <c r="AV60" s="43"/>
      <c r="AW60" s="43"/>
      <c r="AX60" s="43"/>
      <c r="AY60" s="43"/>
      <c r="AZ60" s="43"/>
      <c r="BA60" s="43"/>
      <c r="BB60" s="43"/>
      <c r="BC60" s="43"/>
      <c r="BD60" s="1"/>
      <c r="BE60" s="1"/>
    </row>
    <row r="61" spans="1:57" ht="13.5" customHeight="1" x14ac:dyDescent="0.25">
      <c r="A61" s="19"/>
      <c r="B61" s="21"/>
      <c r="C61" s="21" t="s">
        <v>2899</v>
      </c>
      <c r="D61" s="21" t="str">
        <f>C61&amp;""&amp;'Tabella riassuntiva'!$E$1</f>
        <v>PP0200560012001B</v>
      </c>
      <c r="E61" s="21"/>
      <c r="F61" s="21" t="s">
        <v>2875</v>
      </c>
      <c r="G61" s="21"/>
      <c r="H61" s="21" t="s">
        <v>2900</v>
      </c>
      <c r="I61" s="21"/>
      <c r="J61" s="21" t="s">
        <v>2852</v>
      </c>
      <c r="K61" s="31" t="s">
        <v>2895</v>
      </c>
      <c r="L61" s="21"/>
      <c r="M61" s="22"/>
      <c r="N61" s="21"/>
      <c r="O61" s="21"/>
      <c r="P61" s="24"/>
      <c r="Q61" s="24"/>
      <c r="R61" s="23"/>
      <c r="S61" s="23"/>
      <c r="T61" s="23"/>
      <c r="U61" s="23"/>
      <c r="V61" s="52"/>
      <c r="W61" s="23"/>
      <c r="X61" s="21"/>
      <c r="Y61" s="21"/>
      <c r="Z61" s="23"/>
      <c r="AA61" s="21"/>
      <c r="AB61" s="21"/>
      <c r="AC61" s="21"/>
      <c r="AD61" s="21"/>
      <c r="AE61" s="41"/>
      <c r="AF61" s="41"/>
      <c r="AG61" s="41"/>
      <c r="AH61" s="41"/>
      <c r="AI61" s="24"/>
      <c r="AJ61" s="24"/>
      <c r="AK61" s="24"/>
      <c r="AL61" s="21"/>
      <c r="AM61" s="21">
        <v>2025</v>
      </c>
      <c r="AN61" s="29" t="s">
        <v>2854</v>
      </c>
      <c r="AO61" s="29" t="s">
        <v>2710</v>
      </c>
      <c r="AP61" s="29">
        <v>2041</v>
      </c>
      <c r="AQ61" s="29" t="s">
        <v>2901</v>
      </c>
      <c r="AR61" s="26"/>
      <c r="AS61" s="43"/>
      <c r="AT61" s="43"/>
      <c r="AU61" s="43"/>
      <c r="AV61" s="43"/>
      <c r="AW61" s="43"/>
      <c r="AX61" s="43"/>
      <c r="AY61" s="43"/>
      <c r="AZ61" s="43"/>
      <c r="BA61" s="43"/>
      <c r="BB61" s="43"/>
      <c r="BC61" s="43"/>
      <c r="BD61" s="1"/>
      <c r="BE61" s="1"/>
    </row>
    <row r="62" spans="1:57" ht="13.5" customHeight="1" x14ac:dyDescent="0.25">
      <c r="A62" s="19"/>
      <c r="B62" s="21"/>
      <c r="C62" s="21" t="s">
        <v>2902</v>
      </c>
      <c r="D62" s="21" t="str">
        <f>C62&amp;""&amp;'Tabella riassuntiva'!$E$1</f>
        <v>PP0200560013001B</v>
      </c>
      <c r="E62" s="21"/>
      <c r="F62" s="21" t="s">
        <v>2875</v>
      </c>
      <c r="G62" s="21"/>
      <c r="H62" s="21" t="s">
        <v>2903</v>
      </c>
      <c r="I62" s="21"/>
      <c r="J62" s="21" t="s">
        <v>2852</v>
      </c>
      <c r="K62" s="31" t="s">
        <v>2895</v>
      </c>
      <c r="L62" s="21"/>
      <c r="M62" s="22"/>
      <c r="N62" s="21"/>
      <c r="O62" s="21"/>
      <c r="P62" s="24"/>
      <c r="Q62" s="24"/>
      <c r="R62" s="23"/>
      <c r="S62" s="23"/>
      <c r="T62" s="23"/>
      <c r="U62" s="23"/>
      <c r="V62" s="52"/>
      <c r="W62" s="23"/>
      <c r="X62" s="21"/>
      <c r="Y62" s="21"/>
      <c r="Z62" s="23"/>
      <c r="AA62" s="21"/>
      <c r="AB62" s="21"/>
      <c r="AC62" s="21"/>
      <c r="AD62" s="21"/>
      <c r="AE62" s="41"/>
      <c r="AF62" s="41"/>
      <c r="AG62" s="41"/>
      <c r="AH62" s="41"/>
      <c r="AI62" s="24"/>
      <c r="AJ62" s="24"/>
      <c r="AK62" s="24"/>
      <c r="AL62" s="21"/>
      <c r="AM62" s="21">
        <v>2025</v>
      </c>
      <c r="AN62" s="29" t="s">
        <v>2854</v>
      </c>
      <c r="AO62" s="29" t="s">
        <v>2710</v>
      </c>
      <c r="AP62" s="29">
        <v>2041</v>
      </c>
      <c r="AQ62" s="29" t="s">
        <v>2904</v>
      </c>
      <c r="AR62" s="26"/>
      <c r="AS62" s="43"/>
      <c r="AT62" s="43"/>
      <c r="AU62" s="43"/>
      <c r="AV62" s="43"/>
      <c r="AW62" s="43"/>
      <c r="AX62" s="43"/>
      <c r="AY62" s="43"/>
      <c r="AZ62" s="43"/>
      <c r="BA62" s="43"/>
      <c r="BB62" s="43"/>
      <c r="BC62" s="43"/>
      <c r="BD62" s="1"/>
      <c r="BE62" s="1"/>
    </row>
    <row r="63" spans="1:57" ht="13.5" customHeight="1" x14ac:dyDescent="0.25">
      <c r="A63" s="19"/>
      <c r="B63" s="21" t="s">
        <v>2905</v>
      </c>
      <c r="C63" s="21" t="s">
        <v>92</v>
      </c>
      <c r="D63" s="21" t="str">
        <f>C63&amp;""&amp;'Tabella riassuntiva'!$E$1</f>
        <v>-001B</v>
      </c>
      <c r="E63" s="21"/>
      <c r="F63" s="21" t="s">
        <v>2875</v>
      </c>
      <c r="G63" s="21"/>
      <c r="H63" s="21" t="s">
        <v>2906</v>
      </c>
      <c r="I63" s="21"/>
      <c r="J63" s="21" t="s">
        <v>2852</v>
      </c>
      <c r="K63" s="31" t="s">
        <v>2907</v>
      </c>
      <c r="L63" s="21" t="s">
        <v>2742</v>
      </c>
      <c r="M63" s="22"/>
      <c r="N63" s="21"/>
      <c r="O63" s="21"/>
      <c r="P63" s="24"/>
      <c r="Q63" s="24"/>
      <c r="R63" s="23"/>
      <c r="S63" s="23"/>
      <c r="T63" s="23"/>
      <c r="U63" s="23"/>
      <c r="V63" s="52"/>
      <c r="W63" s="23"/>
      <c r="X63" s="21"/>
      <c r="Y63" s="21"/>
      <c r="Z63" s="23"/>
      <c r="AA63" s="21"/>
      <c r="AB63" s="21"/>
      <c r="AC63" s="21"/>
      <c r="AD63" s="21"/>
      <c r="AE63" s="41"/>
      <c r="AF63" s="41"/>
      <c r="AG63" s="41"/>
      <c r="AH63" s="41"/>
      <c r="AI63" s="24"/>
      <c r="AJ63" s="24"/>
      <c r="AK63" s="24"/>
      <c r="AL63" s="21"/>
      <c r="AM63" s="21"/>
      <c r="AN63" s="29"/>
      <c r="AO63" s="29" t="s">
        <v>2710</v>
      </c>
      <c r="AP63" s="29"/>
      <c r="AQ63" s="29"/>
      <c r="AR63" s="26"/>
      <c r="AS63" s="43"/>
      <c r="AT63" s="43"/>
      <c r="AU63" s="43"/>
      <c r="AV63" s="43"/>
      <c r="AW63" s="43"/>
      <c r="AX63" s="43"/>
      <c r="AY63" s="43"/>
      <c r="AZ63" s="43"/>
      <c r="BA63" s="43"/>
      <c r="BB63" s="43"/>
      <c r="BC63" s="43"/>
      <c r="BD63" s="1"/>
      <c r="BE63" s="1"/>
    </row>
    <row r="64" spans="1:57" ht="13.5" customHeight="1" x14ac:dyDescent="0.25">
      <c r="A64" s="19"/>
      <c r="B64" s="21" t="s">
        <v>2908</v>
      </c>
      <c r="C64" s="21" t="s">
        <v>92</v>
      </c>
      <c r="D64" s="21" t="str">
        <f>C64&amp;""&amp;'Tabella riassuntiva'!$E$1</f>
        <v>-001B</v>
      </c>
      <c r="E64" s="21"/>
      <c r="F64" s="21" t="s">
        <v>2875</v>
      </c>
      <c r="G64" s="21"/>
      <c r="H64" s="21" t="s">
        <v>2701</v>
      </c>
      <c r="I64" s="21"/>
      <c r="J64" s="21" t="s">
        <v>2852</v>
      </c>
      <c r="K64" s="31" t="s">
        <v>2909</v>
      </c>
      <c r="L64" s="21" t="s">
        <v>2742</v>
      </c>
      <c r="M64" s="21" t="s">
        <v>2742</v>
      </c>
      <c r="N64" s="21" t="s">
        <v>2742</v>
      </c>
      <c r="O64" s="21" t="s">
        <v>2742</v>
      </c>
      <c r="P64" s="21" t="s">
        <v>2742</v>
      </c>
      <c r="Q64" s="21" t="s">
        <v>2742</v>
      </c>
      <c r="R64" s="21" t="s">
        <v>2742</v>
      </c>
      <c r="S64" s="21" t="s">
        <v>2742</v>
      </c>
      <c r="T64" s="21" t="s">
        <v>2742</v>
      </c>
      <c r="U64" s="21" t="s">
        <v>2742</v>
      </c>
      <c r="V64" s="21" t="s">
        <v>2742</v>
      </c>
      <c r="W64" s="21" t="s">
        <v>2742</v>
      </c>
      <c r="X64" s="21" t="s">
        <v>2742</v>
      </c>
      <c r="Y64" s="21" t="s">
        <v>2742</v>
      </c>
      <c r="Z64" s="21" t="s">
        <v>2742</v>
      </c>
      <c r="AA64" s="21" t="s">
        <v>2742</v>
      </c>
      <c r="AB64" s="21" t="s">
        <v>2742</v>
      </c>
      <c r="AC64" s="21" t="s">
        <v>2742</v>
      </c>
      <c r="AD64" s="21" t="s">
        <v>2742</v>
      </c>
      <c r="AE64" s="21" t="s">
        <v>2742</v>
      </c>
      <c r="AF64" s="21" t="s">
        <v>2742</v>
      </c>
      <c r="AG64" s="21" t="s">
        <v>2742</v>
      </c>
      <c r="AH64" s="21" t="s">
        <v>2742</v>
      </c>
      <c r="AI64" s="21" t="s">
        <v>2742</v>
      </c>
      <c r="AJ64" s="21" t="s">
        <v>2742</v>
      </c>
      <c r="AK64" s="21" t="s">
        <v>2742</v>
      </c>
      <c r="AL64" s="21" t="s">
        <v>2742</v>
      </c>
      <c r="AM64" s="21"/>
      <c r="AN64" s="29"/>
      <c r="AO64" s="29" t="s">
        <v>2710</v>
      </c>
      <c r="AP64" s="29"/>
      <c r="AQ64" s="29"/>
      <c r="AR64" s="26"/>
      <c r="AS64" s="43"/>
      <c r="AT64" s="43"/>
      <c r="AU64" s="43"/>
      <c r="AV64" s="43"/>
      <c r="AW64" s="43"/>
      <c r="AX64" s="43"/>
      <c r="AY64" s="43"/>
      <c r="AZ64" s="43"/>
      <c r="BA64" s="43"/>
      <c r="BB64" s="43"/>
      <c r="BC64" s="43"/>
      <c r="BD64" s="1"/>
      <c r="BE64" s="1"/>
    </row>
    <row r="65" spans="1:57" ht="13.5" customHeight="1" x14ac:dyDescent="0.25">
      <c r="A65" s="19"/>
      <c r="B65" s="21" t="s">
        <v>2910</v>
      </c>
      <c r="C65" s="21" t="s">
        <v>92</v>
      </c>
      <c r="D65" s="21" t="str">
        <f>C65&amp;""&amp;'Tabella riassuntiva'!$E$1</f>
        <v>-001B</v>
      </c>
      <c r="E65" s="21"/>
      <c r="F65" s="21" t="s">
        <v>2875</v>
      </c>
      <c r="G65" s="21"/>
      <c r="H65" s="21" t="s">
        <v>2911</v>
      </c>
      <c r="I65" s="21"/>
      <c r="J65" s="21" t="s">
        <v>2852</v>
      </c>
      <c r="K65" s="31" t="s">
        <v>2907</v>
      </c>
      <c r="L65" s="21" t="s">
        <v>2742</v>
      </c>
      <c r="M65" s="22"/>
      <c r="N65" s="21"/>
      <c r="O65" s="21"/>
      <c r="P65" s="24"/>
      <c r="Q65" s="24"/>
      <c r="R65" s="23"/>
      <c r="S65" s="23"/>
      <c r="T65" s="23"/>
      <c r="U65" s="23"/>
      <c r="V65" s="52"/>
      <c r="W65" s="23"/>
      <c r="X65" s="21"/>
      <c r="Y65" s="21"/>
      <c r="Z65" s="23"/>
      <c r="AA65" s="21"/>
      <c r="AB65" s="21"/>
      <c r="AC65" s="21"/>
      <c r="AD65" s="21"/>
      <c r="AE65" s="41"/>
      <c r="AF65" s="41"/>
      <c r="AG65" s="41"/>
      <c r="AH65" s="41"/>
      <c r="AI65" s="24"/>
      <c r="AJ65" s="24"/>
      <c r="AK65" s="24"/>
      <c r="AL65" s="21"/>
      <c r="AM65" s="21"/>
      <c r="AN65" s="29"/>
      <c r="AO65" s="29" t="s">
        <v>2710</v>
      </c>
      <c r="AP65" s="29"/>
      <c r="AQ65" s="29"/>
      <c r="AR65" s="26"/>
      <c r="AS65" s="43"/>
      <c r="AT65" s="43"/>
      <c r="AU65" s="43"/>
      <c r="AV65" s="43"/>
      <c r="AW65" s="43"/>
      <c r="AX65" s="43"/>
      <c r="AY65" s="43"/>
      <c r="AZ65" s="43"/>
      <c r="BA65" s="43"/>
      <c r="BB65" s="43"/>
      <c r="BC65" s="43"/>
      <c r="BD65" s="1"/>
      <c r="BE65" s="1"/>
    </row>
    <row r="66" spans="1:57" ht="13.5" customHeight="1" x14ac:dyDescent="0.25">
      <c r="A66" s="19"/>
      <c r="B66" s="21" t="s">
        <v>2912</v>
      </c>
      <c r="C66" s="21" t="s">
        <v>92</v>
      </c>
      <c r="D66" s="21" t="str">
        <f>C66&amp;""&amp;'Tabella riassuntiva'!$E$1</f>
        <v>-001B</v>
      </c>
      <c r="E66" s="21"/>
      <c r="F66" s="21" t="s">
        <v>2850</v>
      </c>
      <c r="G66" s="21"/>
      <c r="H66" s="21" t="s">
        <v>2913</v>
      </c>
      <c r="I66" s="21"/>
      <c r="J66" s="21" t="s">
        <v>2852</v>
      </c>
      <c r="K66" s="31" t="s">
        <v>2840</v>
      </c>
      <c r="L66" s="21" t="s">
        <v>2742</v>
      </c>
      <c r="M66" s="22"/>
      <c r="N66" s="21"/>
      <c r="O66" s="21"/>
      <c r="P66" s="24"/>
      <c r="Q66" s="24"/>
      <c r="R66" s="23"/>
      <c r="S66" s="23"/>
      <c r="T66" s="23"/>
      <c r="U66" s="23"/>
      <c r="V66" s="52"/>
      <c r="W66" s="23"/>
      <c r="X66" s="21"/>
      <c r="Y66" s="21"/>
      <c r="Z66" s="23"/>
      <c r="AA66" s="21"/>
      <c r="AB66" s="21"/>
      <c r="AC66" s="21"/>
      <c r="AD66" s="21"/>
      <c r="AE66" s="41"/>
      <c r="AF66" s="41"/>
      <c r="AG66" s="41"/>
      <c r="AH66" s="41"/>
      <c r="AI66" s="24"/>
      <c r="AJ66" s="24"/>
      <c r="AK66" s="24"/>
      <c r="AL66" s="21"/>
      <c r="AM66" s="21"/>
      <c r="AN66" s="29"/>
      <c r="AO66" s="29"/>
      <c r="AP66" s="29"/>
      <c r="AQ66" s="29"/>
      <c r="AR66" s="26"/>
      <c r="AS66" s="43"/>
      <c r="AT66" s="43"/>
      <c r="AU66" s="43"/>
      <c r="AV66" s="43"/>
      <c r="AW66" s="43"/>
      <c r="AX66" s="43"/>
      <c r="AY66" s="43"/>
      <c r="AZ66" s="43"/>
      <c r="BA66" s="43"/>
      <c r="BB66" s="43"/>
      <c r="BC66" s="43"/>
      <c r="BD66" s="1"/>
      <c r="BE66" s="1"/>
    </row>
    <row r="67" spans="1:57" ht="13.5" customHeight="1" x14ac:dyDescent="0.25">
      <c r="A67" s="19"/>
      <c r="B67" s="21"/>
      <c r="C67" s="21"/>
      <c r="D67" s="21" t="str">
        <f>C67&amp;""&amp;'Tabella riassuntiva'!$E$1</f>
        <v>001B</v>
      </c>
      <c r="E67" s="21"/>
      <c r="F67" s="21"/>
      <c r="G67" s="21"/>
      <c r="H67" s="21"/>
      <c r="I67" s="21"/>
      <c r="J67" s="21"/>
      <c r="K67" s="31"/>
      <c r="L67" s="21"/>
      <c r="M67" s="22"/>
      <c r="N67" s="21"/>
      <c r="O67" s="21"/>
      <c r="P67" s="24"/>
      <c r="Q67" s="24"/>
      <c r="R67" s="23"/>
      <c r="S67" s="23"/>
      <c r="T67" s="23"/>
      <c r="U67" s="23"/>
      <c r="V67" s="52"/>
      <c r="W67" s="23"/>
      <c r="X67" s="21"/>
      <c r="Y67" s="21"/>
      <c r="Z67" s="23"/>
      <c r="AA67" s="21"/>
      <c r="AB67" s="21"/>
      <c r="AC67" s="21"/>
      <c r="AD67" s="21"/>
      <c r="AE67" s="41"/>
      <c r="AF67" s="41"/>
      <c r="AG67" s="41"/>
      <c r="AH67" s="41"/>
      <c r="AI67" s="24"/>
      <c r="AJ67" s="24"/>
      <c r="AK67" s="24"/>
      <c r="AL67" s="21"/>
      <c r="AM67" s="21"/>
      <c r="AN67" s="29"/>
      <c r="AO67" s="29"/>
      <c r="AP67" s="29"/>
      <c r="AQ67" s="29"/>
      <c r="AR67" s="26"/>
      <c r="AS67" s="43"/>
      <c r="AT67" s="43"/>
      <c r="AU67" s="43"/>
      <c r="AV67" s="43"/>
      <c r="AW67" s="43"/>
      <c r="AX67" s="43"/>
      <c r="AY67" s="43"/>
      <c r="AZ67" s="43"/>
      <c r="BA67" s="43"/>
      <c r="BB67" s="43"/>
      <c r="BC67" s="43"/>
      <c r="BD67" s="1"/>
      <c r="BE67" s="1"/>
    </row>
    <row r="68" spans="1:57" ht="13.5" customHeight="1" x14ac:dyDescent="0.25">
      <c r="A68" s="19"/>
      <c r="B68" s="21"/>
      <c r="C68" s="21"/>
      <c r="D68" s="21" t="str">
        <f>C68&amp;""&amp;'Tabella riassuntiva'!$E$1</f>
        <v>001B</v>
      </c>
      <c r="E68" s="21"/>
      <c r="F68" s="21"/>
      <c r="G68" s="21"/>
      <c r="H68" s="21"/>
      <c r="I68" s="21"/>
      <c r="J68" s="21"/>
      <c r="K68" s="31"/>
      <c r="L68" s="21"/>
      <c r="M68" s="22"/>
      <c r="N68" s="21"/>
      <c r="O68" s="21"/>
      <c r="P68" s="24"/>
      <c r="Q68" s="24"/>
      <c r="R68" s="23"/>
      <c r="S68" s="23"/>
      <c r="T68" s="23"/>
      <c r="U68" s="23"/>
      <c r="V68" s="52"/>
      <c r="W68" s="23"/>
      <c r="X68" s="21"/>
      <c r="Y68" s="21"/>
      <c r="Z68" s="23"/>
      <c r="AA68" s="21"/>
      <c r="AB68" s="21"/>
      <c r="AC68" s="21"/>
      <c r="AD68" s="21"/>
      <c r="AE68" s="41"/>
      <c r="AF68" s="41"/>
      <c r="AG68" s="41"/>
      <c r="AH68" s="41"/>
      <c r="AI68" s="24"/>
      <c r="AJ68" s="24"/>
      <c r="AK68" s="24"/>
      <c r="AL68" s="21"/>
      <c r="AM68" s="21"/>
      <c r="AN68" s="29"/>
      <c r="AO68" s="29"/>
      <c r="AP68" s="29"/>
      <c r="AQ68" s="29"/>
      <c r="AR68" s="26"/>
      <c r="AS68" s="43"/>
      <c r="AT68" s="43"/>
      <c r="AU68" s="43"/>
      <c r="AV68" s="43"/>
      <c r="AW68" s="43"/>
      <c r="AX68" s="43"/>
      <c r="AY68" s="43"/>
      <c r="AZ68" s="43"/>
      <c r="BA68" s="43"/>
      <c r="BB68" s="43"/>
      <c r="BC68" s="43"/>
      <c r="BD68" s="1"/>
      <c r="BE68" s="1"/>
    </row>
    <row r="69" spans="1:57" ht="13.5" customHeight="1" x14ac:dyDescent="0.25">
      <c r="A69" s="19"/>
      <c r="B69" s="21"/>
      <c r="C69" s="21"/>
      <c r="D69" s="21" t="str">
        <f>C69&amp;""&amp;'Tabella riassuntiva'!$E$1</f>
        <v>001B</v>
      </c>
      <c r="E69" s="21"/>
      <c r="F69" s="21"/>
      <c r="G69" s="21"/>
      <c r="H69" s="21"/>
      <c r="I69" s="21"/>
      <c r="J69" s="21"/>
      <c r="K69" s="31"/>
      <c r="L69" s="21"/>
      <c r="M69" s="22"/>
      <c r="N69" s="21"/>
      <c r="O69" s="21"/>
      <c r="P69" s="24"/>
      <c r="Q69" s="24"/>
      <c r="R69" s="23"/>
      <c r="S69" s="23"/>
      <c r="T69" s="23"/>
      <c r="U69" s="23"/>
      <c r="V69" s="52"/>
      <c r="W69" s="23"/>
      <c r="X69" s="21"/>
      <c r="Y69" s="21"/>
      <c r="Z69" s="23"/>
      <c r="AA69" s="21"/>
      <c r="AB69" s="21"/>
      <c r="AC69" s="21"/>
      <c r="AD69" s="21"/>
      <c r="AE69" s="41"/>
      <c r="AF69" s="41"/>
      <c r="AG69" s="41"/>
      <c r="AH69" s="41"/>
      <c r="AI69" s="24"/>
      <c r="AJ69" s="24"/>
      <c r="AK69" s="24"/>
      <c r="AL69" s="21"/>
      <c r="AM69" s="21"/>
      <c r="AN69" s="29"/>
      <c r="AO69" s="29"/>
      <c r="AP69" s="29"/>
      <c r="AQ69" s="29"/>
      <c r="AR69" s="26"/>
      <c r="AS69" s="43"/>
      <c r="AT69" s="43"/>
      <c r="AU69" s="43"/>
      <c r="AV69" s="43"/>
      <c r="AW69" s="43"/>
      <c r="AX69" s="43"/>
      <c r="AY69" s="43"/>
      <c r="AZ69" s="43"/>
      <c r="BA69" s="43"/>
      <c r="BB69" s="43"/>
      <c r="BC69" s="43"/>
      <c r="BD69" s="1"/>
      <c r="BE69" s="1"/>
    </row>
    <row r="70" spans="1:57" ht="13.5" customHeight="1" x14ac:dyDescent="0.25">
      <c r="A70" s="19"/>
      <c r="B70" s="21"/>
      <c r="C70" s="21"/>
      <c r="D70" s="21" t="str">
        <f>C70&amp;""&amp;'Tabella riassuntiva'!$E$1</f>
        <v>001B</v>
      </c>
      <c r="E70" s="21"/>
      <c r="F70" s="21"/>
      <c r="G70" s="21"/>
      <c r="H70" s="21"/>
      <c r="I70" s="21"/>
      <c r="J70" s="21"/>
      <c r="K70" s="31"/>
      <c r="L70" s="21"/>
      <c r="M70" s="22"/>
      <c r="N70" s="21"/>
      <c r="O70" s="21"/>
      <c r="P70" s="24"/>
      <c r="Q70" s="24"/>
      <c r="R70" s="23"/>
      <c r="S70" s="23"/>
      <c r="T70" s="23"/>
      <c r="U70" s="23"/>
      <c r="V70" s="52"/>
      <c r="W70" s="23"/>
      <c r="X70" s="21"/>
      <c r="Y70" s="21"/>
      <c r="Z70" s="23"/>
      <c r="AA70" s="21"/>
      <c r="AB70" s="21"/>
      <c r="AC70" s="21"/>
      <c r="AD70" s="21"/>
      <c r="AE70" s="41"/>
      <c r="AF70" s="41"/>
      <c r="AG70" s="41"/>
      <c r="AH70" s="41"/>
      <c r="AI70" s="24"/>
      <c r="AJ70" s="24"/>
      <c r="AK70" s="24"/>
      <c r="AL70" s="21"/>
      <c r="AM70" s="21"/>
      <c r="AN70" s="29"/>
      <c r="AO70" s="29"/>
      <c r="AP70" s="29"/>
      <c r="AQ70" s="29"/>
      <c r="AR70" s="26"/>
      <c r="AS70" s="43"/>
      <c r="AT70" s="43"/>
      <c r="AU70" s="43"/>
      <c r="AV70" s="43"/>
      <c r="AW70" s="43"/>
      <c r="AX70" s="43"/>
      <c r="AY70" s="43"/>
      <c r="AZ70" s="43"/>
      <c r="BA70" s="43"/>
      <c r="BB70" s="43"/>
      <c r="BC70" s="43"/>
      <c r="BD70" s="1"/>
      <c r="BE70" s="1"/>
    </row>
    <row r="71" spans="1:57" ht="13.5" customHeight="1" x14ac:dyDescent="0.25">
      <c r="A71" s="19"/>
      <c r="B71" s="21"/>
      <c r="C71" s="21"/>
      <c r="D71" s="21" t="str">
        <f>C71&amp;""&amp;'Tabella riassuntiva'!$E$1</f>
        <v>001B</v>
      </c>
      <c r="E71" s="21"/>
      <c r="F71" s="21"/>
      <c r="G71" s="21"/>
      <c r="H71" s="21"/>
      <c r="I71" s="21"/>
      <c r="J71" s="21"/>
      <c r="K71" s="31"/>
      <c r="L71" s="21"/>
      <c r="M71" s="22"/>
      <c r="N71" s="21"/>
      <c r="O71" s="21"/>
      <c r="P71" s="24"/>
      <c r="Q71" s="24"/>
      <c r="R71" s="23"/>
      <c r="S71" s="23"/>
      <c r="T71" s="23"/>
      <c r="U71" s="23"/>
      <c r="V71" s="52"/>
      <c r="W71" s="23"/>
      <c r="X71" s="21"/>
      <c r="Y71" s="21"/>
      <c r="Z71" s="23"/>
      <c r="AA71" s="21"/>
      <c r="AB71" s="21"/>
      <c r="AC71" s="21"/>
      <c r="AD71" s="21"/>
      <c r="AE71" s="41"/>
      <c r="AF71" s="41"/>
      <c r="AG71" s="41"/>
      <c r="AH71" s="41"/>
      <c r="AI71" s="24"/>
      <c r="AJ71" s="24"/>
      <c r="AK71" s="24"/>
      <c r="AL71" s="21"/>
      <c r="AM71" s="21"/>
      <c r="AN71" s="29"/>
      <c r="AO71" s="29"/>
      <c r="AP71" s="29"/>
      <c r="AQ71" s="29"/>
      <c r="AR71" s="26"/>
      <c r="AS71" s="43"/>
      <c r="AT71" s="43"/>
      <c r="AU71" s="43"/>
      <c r="AV71" s="43"/>
      <c r="AW71" s="43"/>
      <c r="AX71" s="43"/>
      <c r="AY71" s="43"/>
      <c r="AZ71" s="43"/>
      <c r="BA71" s="43"/>
      <c r="BB71" s="43"/>
      <c r="BC71" s="43"/>
      <c r="BD71" s="1"/>
      <c r="BE71" s="1"/>
    </row>
    <row r="72" spans="1:57" ht="13.5" customHeight="1" x14ac:dyDescent="0.25">
      <c r="A72" s="19"/>
      <c r="B72" s="21"/>
      <c r="C72" s="21"/>
      <c r="D72" s="21" t="str">
        <f>C72&amp;""&amp;'Tabella riassuntiva'!$E$1</f>
        <v>001B</v>
      </c>
      <c r="E72" s="21"/>
      <c r="F72" s="21"/>
      <c r="G72" s="21"/>
      <c r="H72" s="21"/>
      <c r="I72" s="21"/>
      <c r="J72" s="21"/>
      <c r="K72" s="31"/>
      <c r="L72" s="21"/>
      <c r="M72" s="22"/>
      <c r="N72" s="21"/>
      <c r="O72" s="21"/>
      <c r="P72" s="24"/>
      <c r="Q72" s="24"/>
      <c r="R72" s="23"/>
      <c r="S72" s="23"/>
      <c r="T72" s="23"/>
      <c r="U72" s="23"/>
      <c r="V72" s="52"/>
      <c r="W72" s="23"/>
      <c r="X72" s="21"/>
      <c r="Y72" s="21"/>
      <c r="Z72" s="23"/>
      <c r="AA72" s="21"/>
      <c r="AB72" s="21"/>
      <c r="AC72" s="21"/>
      <c r="AD72" s="21"/>
      <c r="AE72" s="41"/>
      <c r="AF72" s="41"/>
      <c r="AG72" s="41"/>
      <c r="AH72" s="41"/>
      <c r="AI72" s="24"/>
      <c r="AJ72" s="24"/>
      <c r="AK72" s="24"/>
      <c r="AL72" s="21"/>
      <c r="AM72" s="21"/>
      <c r="AN72" s="29"/>
      <c r="AO72" s="29"/>
      <c r="AP72" s="29"/>
      <c r="AQ72" s="29"/>
      <c r="AR72" s="26"/>
      <c r="AS72" s="43"/>
      <c r="AT72" s="43"/>
      <c r="AU72" s="43"/>
      <c r="AV72" s="43"/>
      <c r="AW72" s="43"/>
      <c r="AX72" s="43"/>
      <c r="AY72" s="43"/>
      <c r="AZ72" s="43"/>
      <c r="BA72" s="43"/>
      <c r="BB72" s="43"/>
      <c r="BC72" s="43"/>
      <c r="BD72" s="1"/>
      <c r="BE72" s="1"/>
    </row>
    <row r="73" spans="1:57" ht="13.5" customHeight="1" x14ac:dyDescent="0.25">
      <c r="A73" s="19"/>
      <c r="B73" s="21"/>
      <c r="C73" s="21"/>
      <c r="D73" s="21" t="str">
        <f>C73&amp;""&amp;'Tabella riassuntiva'!$E$1</f>
        <v>001B</v>
      </c>
      <c r="E73" s="21"/>
      <c r="F73" s="21"/>
      <c r="G73" s="21"/>
      <c r="H73" s="21"/>
      <c r="I73" s="21"/>
      <c r="J73" s="21"/>
      <c r="K73" s="31"/>
      <c r="L73" s="21"/>
      <c r="M73" s="22"/>
      <c r="N73" s="21"/>
      <c r="O73" s="21"/>
      <c r="P73" s="24"/>
      <c r="Q73" s="24"/>
      <c r="R73" s="23"/>
      <c r="S73" s="23"/>
      <c r="T73" s="23"/>
      <c r="U73" s="23"/>
      <c r="V73" s="52"/>
      <c r="W73" s="23"/>
      <c r="X73" s="21"/>
      <c r="Y73" s="21"/>
      <c r="Z73" s="23"/>
      <c r="AA73" s="21"/>
      <c r="AB73" s="21"/>
      <c r="AC73" s="21"/>
      <c r="AD73" s="21"/>
      <c r="AE73" s="41"/>
      <c r="AF73" s="41"/>
      <c r="AG73" s="41"/>
      <c r="AH73" s="41"/>
      <c r="AI73" s="24"/>
      <c r="AJ73" s="24"/>
      <c r="AK73" s="24"/>
      <c r="AL73" s="21"/>
      <c r="AM73" s="21"/>
      <c r="AN73" s="29"/>
      <c r="AO73" s="29"/>
      <c r="AP73" s="29"/>
      <c r="AQ73" s="29"/>
      <c r="AR73" s="26"/>
      <c r="AS73" s="43"/>
      <c r="AT73" s="43"/>
      <c r="AU73" s="43"/>
      <c r="AV73" s="43"/>
      <c r="AW73" s="43"/>
      <c r="AX73" s="43"/>
      <c r="AY73" s="43"/>
      <c r="AZ73" s="43"/>
      <c r="BA73" s="43"/>
      <c r="BB73" s="43"/>
      <c r="BC73" s="43"/>
      <c r="BD73" s="1"/>
      <c r="BE73" s="1"/>
    </row>
    <row r="74" spans="1:57" ht="13.5" customHeight="1" x14ac:dyDescent="0.25">
      <c r="A74" s="19"/>
      <c r="B74" s="21"/>
      <c r="C74" s="21"/>
      <c r="D74" s="21" t="str">
        <f>C74&amp;""&amp;'Tabella riassuntiva'!$E$1</f>
        <v>001B</v>
      </c>
      <c r="E74" s="21"/>
      <c r="F74" s="21"/>
      <c r="G74" s="21"/>
      <c r="H74" s="21"/>
      <c r="I74" s="21"/>
      <c r="J74" s="21"/>
      <c r="K74" s="31"/>
      <c r="L74" s="21"/>
      <c r="M74" s="22"/>
      <c r="N74" s="21"/>
      <c r="O74" s="21"/>
      <c r="P74" s="24"/>
      <c r="Q74" s="24"/>
      <c r="R74" s="23"/>
      <c r="S74" s="23"/>
      <c r="T74" s="23"/>
      <c r="U74" s="23"/>
      <c r="V74" s="52"/>
      <c r="W74" s="23"/>
      <c r="X74" s="21"/>
      <c r="Y74" s="21"/>
      <c r="Z74" s="23"/>
      <c r="AA74" s="21"/>
      <c r="AB74" s="21"/>
      <c r="AC74" s="21"/>
      <c r="AD74" s="21"/>
      <c r="AE74" s="41"/>
      <c r="AF74" s="41"/>
      <c r="AG74" s="41"/>
      <c r="AH74" s="41"/>
      <c r="AI74" s="24"/>
      <c r="AJ74" s="24"/>
      <c r="AK74" s="24"/>
      <c r="AL74" s="21"/>
      <c r="AM74" s="21"/>
      <c r="AN74" s="29"/>
      <c r="AO74" s="29"/>
      <c r="AP74" s="29"/>
      <c r="AQ74" s="29"/>
      <c r="AR74" s="26"/>
      <c r="AS74" s="43"/>
      <c r="AT74" s="43"/>
      <c r="AU74" s="43"/>
      <c r="AV74" s="43"/>
      <c r="AW74" s="43"/>
      <c r="AX74" s="43"/>
      <c r="AY74" s="43"/>
      <c r="AZ74" s="43"/>
      <c r="BA74" s="43"/>
      <c r="BB74" s="43"/>
      <c r="BC74" s="43"/>
      <c r="BD74" s="1"/>
      <c r="BE74" s="1"/>
    </row>
    <row r="75" spans="1:57" ht="13.5" customHeight="1" x14ac:dyDescent="0.25">
      <c r="A75" s="19"/>
      <c r="B75" s="21"/>
      <c r="C75" s="21"/>
      <c r="D75" s="21"/>
      <c r="E75" s="21"/>
      <c r="F75" s="21"/>
      <c r="G75" s="21"/>
      <c r="H75" s="21"/>
      <c r="I75" s="21"/>
      <c r="J75" s="21"/>
      <c r="K75" s="31"/>
      <c r="L75" s="21"/>
      <c r="M75" s="22"/>
      <c r="N75" s="21"/>
      <c r="O75" s="21"/>
      <c r="P75" s="24"/>
      <c r="Q75" s="24"/>
      <c r="R75" s="23"/>
      <c r="S75" s="23"/>
      <c r="T75" s="23"/>
      <c r="U75" s="23"/>
      <c r="V75" s="52"/>
      <c r="W75" s="23"/>
      <c r="X75" s="21"/>
      <c r="Y75" s="21"/>
      <c r="Z75" s="23"/>
      <c r="AA75" s="21"/>
      <c r="AB75" s="21"/>
      <c r="AC75" s="21"/>
      <c r="AD75" s="21"/>
      <c r="AE75" s="41"/>
      <c r="AF75" s="41"/>
      <c r="AG75" s="41"/>
      <c r="AH75" s="41"/>
      <c r="AI75" s="24"/>
      <c r="AJ75" s="24"/>
      <c r="AK75" s="24"/>
      <c r="AL75" s="21"/>
      <c r="AM75" s="21"/>
      <c r="AN75" s="29"/>
      <c r="AO75" s="29"/>
      <c r="AP75" s="29"/>
      <c r="AQ75" s="29"/>
      <c r="AR75" s="26"/>
      <c r="AS75" s="43"/>
      <c r="AT75" s="43"/>
      <c r="AU75" s="43"/>
      <c r="AV75" s="43"/>
      <c r="AW75" s="43"/>
      <c r="AX75" s="43"/>
      <c r="AY75" s="43"/>
      <c r="AZ75" s="43"/>
      <c r="BA75" s="43"/>
      <c r="BB75" s="43"/>
      <c r="BC75" s="43"/>
      <c r="BD75" s="1"/>
      <c r="BE75" s="1"/>
    </row>
    <row r="76" spans="1:57" ht="13.5" customHeight="1" x14ac:dyDescent="0.25">
      <c r="A76" s="19"/>
      <c r="B76" s="21"/>
      <c r="C76" s="21"/>
      <c r="D76" s="21"/>
      <c r="E76" s="21"/>
      <c r="F76" s="21"/>
      <c r="G76" s="21"/>
      <c r="H76" s="21"/>
      <c r="I76" s="21"/>
      <c r="J76" s="21"/>
      <c r="K76" s="31"/>
      <c r="L76" s="21"/>
      <c r="M76" s="22"/>
      <c r="N76" s="21"/>
      <c r="O76" s="21"/>
      <c r="P76" s="24"/>
      <c r="Q76" s="24"/>
      <c r="R76" s="23"/>
      <c r="S76" s="23"/>
      <c r="T76" s="23"/>
      <c r="U76" s="23"/>
      <c r="V76" s="52"/>
      <c r="W76" s="23"/>
      <c r="X76" s="21"/>
      <c r="Y76" s="21"/>
      <c r="Z76" s="23"/>
      <c r="AA76" s="21"/>
      <c r="AB76" s="21"/>
      <c r="AC76" s="21"/>
      <c r="AD76" s="21"/>
      <c r="AE76" s="41"/>
      <c r="AF76" s="41"/>
      <c r="AG76" s="41"/>
      <c r="AH76" s="41"/>
      <c r="AI76" s="24"/>
      <c r="AJ76" s="24"/>
      <c r="AK76" s="24"/>
      <c r="AL76" s="21"/>
      <c r="AM76" s="21"/>
      <c r="AN76" s="29"/>
      <c r="AO76" s="29"/>
      <c r="AP76" s="29"/>
      <c r="AQ76" s="29"/>
      <c r="AR76" s="26"/>
      <c r="AS76" s="43"/>
      <c r="AT76" s="43"/>
      <c r="AU76" s="43"/>
      <c r="AV76" s="43"/>
      <c r="AW76" s="43"/>
      <c r="AX76" s="43"/>
      <c r="AY76" s="43"/>
      <c r="AZ76" s="43"/>
      <c r="BA76" s="43"/>
      <c r="BB76" s="43"/>
      <c r="BC76" s="43"/>
      <c r="BD76" s="1"/>
      <c r="BE76" s="1"/>
    </row>
    <row r="77" spans="1:57" ht="13.5" customHeight="1" x14ac:dyDescent="0.25">
      <c r="A77" s="19"/>
      <c r="B77" s="21"/>
      <c r="C77" s="21"/>
      <c r="D77" s="21"/>
      <c r="E77" s="21"/>
      <c r="F77" s="21"/>
      <c r="G77" s="21"/>
      <c r="H77" s="21"/>
      <c r="I77" s="21"/>
      <c r="J77" s="21"/>
      <c r="K77" s="31"/>
      <c r="L77" s="21"/>
      <c r="M77" s="22"/>
      <c r="N77" s="21"/>
      <c r="O77" s="21"/>
      <c r="P77" s="24"/>
      <c r="Q77" s="24"/>
      <c r="R77" s="23"/>
      <c r="S77" s="23"/>
      <c r="T77" s="23"/>
      <c r="U77" s="23"/>
      <c r="V77" s="52"/>
      <c r="W77" s="23"/>
      <c r="X77" s="21"/>
      <c r="Y77" s="21"/>
      <c r="Z77" s="23"/>
      <c r="AA77" s="21"/>
      <c r="AB77" s="21"/>
      <c r="AC77" s="21"/>
      <c r="AD77" s="21"/>
      <c r="AE77" s="41"/>
      <c r="AF77" s="41"/>
      <c r="AG77" s="41"/>
      <c r="AH77" s="41"/>
      <c r="AI77" s="24"/>
      <c r="AJ77" s="24"/>
      <c r="AK77" s="24"/>
      <c r="AL77" s="21"/>
      <c r="AM77" s="21"/>
      <c r="AN77" s="29"/>
      <c r="AO77" s="29"/>
      <c r="AP77" s="29"/>
      <c r="AQ77" s="29"/>
      <c r="AR77" s="26"/>
      <c r="AS77" s="43"/>
      <c r="AT77" s="43"/>
      <c r="AU77" s="43"/>
      <c r="AV77" s="43"/>
      <c r="AW77" s="43"/>
      <c r="AX77" s="43"/>
      <c r="AY77" s="43"/>
      <c r="AZ77" s="43"/>
      <c r="BA77" s="43"/>
      <c r="BB77" s="43"/>
      <c r="BC77" s="43"/>
      <c r="BD77" s="1"/>
      <c r="BE77" s="1"/>
    </row>
    <row r="78" spans="1:57" ht="13.5" customHeight="1" x14ac:dyDescent="0.25">
      <c r="A78" s="19"/>
      <c r="B78" s="21"/>
      <c r="C78" s="21"/>
      <c r="D78" s="21"/>
      <c r="E78" s="21"/>
      <c r="F78" s="21"/>
      <c r="G78" s="21"/>
      <c r="H78" s="21"/>
      <c r="I78" s="21"/>
      <c r="J78" s="21"/>
      <c r="K78" s="31"/>
      <c r="L78" s="21"/>
      <c r="M78" s="22"/>
      <c r="N78" s="21"/>
      <c r="O78" s="21"/>
      <c r="P78" s="24"/>
      <c r="Q78" s="24"/>
      <c r="R78" s="23"/>
      <c r="S78" s="23"/>
      <c r="T78" s="23"/>
      <c r="U78" s="23"/>
      <c r="V78" s="52"/>
      <c r="W78" s="23"/>
      <c r="X78" s="21"/>
      <c r="Y78" s="21"/>
      <c r="Z78" s="23"/>
      <c r="AA78" s="21"/>
      <c r="AB78" s="21"/>
      <c r="AC78" s="21"/>
      <c r="AD78" s="21"/>
      <c r="AE78" s="41"/>
      <c r="AF78" s="41"/>
      <c r="AG78" s="41"/>
      <c r="AH78" s="41"/>
      <c r="AI78" s="24"/>
      <c r="AJ78" s="24"/>
      <c r="AK78" s="24"/>
      <c r="AL78" s="21"/>
      <c r="AM78" s="21"/>
      <c r="AN78" s="29"/>
      <c r="AO78" s="29"/>
      <c r="AP78" s="29"/>
      <c r="AQ78" s="29"/>
      <c r="AR78" s="26"/>
      <c r="AS78" s="43"/>
      <c r="AT78" s="43"/>
      <c r="AU78" s="43"/>
      <c r="AV78" s="43"/>
      <c r="AW78" s="43"/>
      <c r="AX78" s="43"/>
      <c r="AY78" s="43"/>
      <c r="AZ78" s="43"/>
      <c r="BA78" s="43"/>
      <c r="BB78" s="43"/>
      <c r="BC78" s="43"/>
      <c r="BD78" s="1"/>
      <c r="BE78" s="1"/>
    </row>
    <row r="79" spans="1:57" ht="13.5" customHeight="1" x14ac:dyDescent="0.25">
      <c r="A79" s="19"/>
      <c r="B79" s="21"/>
      <c r="C79" s="21"/>
      <c r="D79" s="21"/>
      <c r="E79" s="21"/>
      <c r="F79" s="21"/>
      <c r="G79" s="21"/>
      <c r="H79" s="21"/>
      <c r="I79" s="21"/>
      <c r="J79" s="21"/>
      <c r="K79" s="31"/>
      <c r="L79" s="21"/>
      <c r="M79" s="22"/>
      <c r="N79" s="21"/>
      <c r="O79" s="21"/>
      <c r="P79" s="24"/>
      <c r="Q79" s="24"/>
      <c r="R79" s="23"/>
      <c r="S79" s="23"/>
      <c r="T79" s="23"/>
      <c r="U79" s="23"/>
      <c r="V79" s="52"/>
      <c r="W79" s="23"/>
      <c r="X79" s="21"/>
      <c r="Y79" s="21"/>
      <c r="Z79" s="23"/>
      <c r="AA79" s="21"/>
      <c r="AB79" s="21"/>
      <c r="AC79" s="21"/>
      <c r="AD79" s="21"/>
      <c r="AE79" s="41"/>
      <c r="AF79" s="41"/>
      <c r="AG79" s="41"/>
      <c r="AH79" s="41"/>
      <c r="AI79" s="24"/>
      <c r="AJ79" s="24"/>
      <c r="AK79" s="24"/>
      <c r="AL79" s="21"/>
      <c r="AM79" s="21"/>
      <c r="AN79" s="29"/>
      <c r="AO79" s="29"/>
      <c r="AP79" s="29"/>
      <c r="AQ79" s="29"/>
      <c r="AR79" s="26"/>
      <c r="AS79" s="43"/>
      <c r="AT79" s="43"/>
      <c r="AU79" s="43"/>
      <c r="AV79" s="43"/>
      <c r="AW79" s="43"/>
      <c r="AX79" s="43"/>
      <c r="AY79" s="43"/>
      <c r="AZ79" s="43"/>
      <c r="BA79" s="43"/>
      <c r="BB79" s="43"/>
      <c r="BC79" s="43"/>
      <c r="BD79" s="1"/>
      <c r="BE79" s="1"/>
    </row>
    <row r="80" spans="1:57" ht="13.5" customHeight="1" x14ac:dyDescent="0.25">
      <c r="A80" s="19"/>
      <c r="B80" s="21"/>
      <c r="C80" s="21"/>
      <c r="D80" s="21"/>
      <c r="E80" s="21"/>
      <c r="F80" s="21"/>
      <c r="G80" s="21"/>
      <c r="H80" s="21"/>
      <c r="I80" s="21"/>
      <c r="J80" s="21"/>
      <c r="K80" s="31"/>
      <c r="L80" s="21"/>
      <c r="M80" s="22"/>
      <c r="N80" s="21"/>
      <c r="O80" s="21"/>
      <c r="P80" s="24"/>
      <c r="Q80" s="24"/>
      <c r="R80" s="23"/>
      <c r="S80" s="23"/>
      <c r="T80" s="23"/>
      <c r="U80" s="23"/>
      <c r="V80" s="52"/>
      <c r="W80" s="23"/>
      <c r="X80" s="21"/>
      <c r="Y80" s="21"/>
      <c r="Z80" s="23"/>
      <c r="AA80" s="21"/>
      <c r="AB80" s="21"/>
      <c r="AC80" s="21"/>
      <c r="AD80" s="21"/>
      <c r="AE80" s="41"/>
      <c r="AF80" s="41"/>
      <c r="AG80" s="41"/>
      <c r="AH80" s="41"/>
      <c r="AI80" s="24"/>
      <c r="AJ80" s="24"/>
      <c r="AK80" s="24"/>
      <c r="AL80" s="21"/>
      <c r="AM80" s="21"/>
      <c r="AN80" s="29"/>
      <c r="AO80" s="29"/>
      <c r="AP80" s="29"/>
      <c r="AQ80" s="29"/>
      <c r="AR80" s="26"/>
      <c r="AS80" s="43"/>
      <c r="AT80" s="43"/>
      <c r="AU80" s="43"/>
      <c r="AV80" s="43"/>
      <c r="AW80" s="43"/>
      <c r="AX80" s="43"/>
      <c r="AY80" s="43"/>
      <c r="AZ80" s="43"/>
      <c r="BA80" s="43"/>
      <c r="BB80" s="43"/>
      <c r="BC80" s="43"/>
      <c r="BD80" s="1"/>
      <c r="BE80" s="1"/>
    </row>
    <row r="81" spans="1:57" ht="13.5" customHeight="1" x14ac:dyDescent="0.25">
      <c r="A81" s="19"/>
      <c r="B81" s="21"/>
      <c r="C81" s="21"/>
      <c r="D81" s="21"/>
      <c r="E81" s="21"/>
      <c r="F81" s="21"/>
      <c r="G81" s="21"/>
      <c r="H81" s="21"/>
      <c r="I81" s="21"/>
      <c r="J81" s="21"/>
      <c r="K81" s="31"/>
      <c r="L81" s="21"/>
      <c r="M81" s="22"/>
      <c r="N81" s="21"/>
      <c r="O81" s="21"/>
      <c r="P81" s="24"/>
      <c r="Q81" s="24"/>
      <c r="R81" s="23"/>
      <c r="S81" s="23"/>
      <c r="T81" s="23"/>
      <c r="U81" s="23"/>
      <c r="V81" s="52"/>
      <c r="W81" s="23"/>
      <c r="X81" s="21"/>
      <c r="Y81" s="21"/>
      <c r="Z81" s="23"/>
      <c r="AA81" s="21"/>
      <c r="AB81" s="21"/>
      <c r="AC81" s="21"/>
      <c r="AD81" s="21"/>
      <c r="AE81" s="41"/>
      <c r="AF81" s="41"/>
      <c r="AG81" s="41"/>
      <c r="AH81" s="41"/>
      <c r="AI81" s="24"/>
      <c r="AJ81" s="24"/>
      <c r="AK81" s="24"/>
      <c r="AL81" s="21"/>
      <c r="AM81" s="21"/>
      <c r="AN81" s="29"/>
      <c r="AO81" s="29"/>
      <c r="AP81" s="29"/>
      <c r="AQ81" s="29"/>
      <c r="AR81" s="26"/>
      <c r="AS81" s="43"/>
      <c r="AT81" s="43"/>
      <c r="AU81" s="43"/>
      <c r="AV81" s="43"/>
      <c r="AW81" s="43"/>
      <c r="AX81" s="43"/>
      <c r="AY81" s="43"/>
      <c r="AZ81" s="43"/>
      <c r="BA81" s="43"/>
      <c r="BB81" s="43"/>
      <c r="BC81" s="43"/>
      <c r="BD81" s="1"/>
      <c r="BE81" s="1"/>
    </row>
    <row r="82" spans="1:57" ht="13.5" customHeight="1" x14ac:dyDescent="0.25">
      <c r="A82" s="19"/>
      <c r="B82" s="21"/>
      <c r="C82" s="21"/>
      <c r="D82" s="21"/>
      <c r="E82" s="21"/>
      <c r="F82" s="21"/>
      <c r="G82" s="21"/>
      <c r="H82" s="21"/>
      <c r="I82" s="21"/>
      <c r="J82" s="21"/>
      <c r="K82" s="31"/>
      <c r="L82" s="21"/>
      <c r="M82" s="22"/>
      <c r="N82" s="21"/>
      <c r="O82" s="21"/>
      <c r="P82" s="24"/>
      <c r="Q82" s="24"/>
      <c r="R82" s="23"/>
      <c r="S82" s="23"/>
      <c r="T82" s="23"/>
      <c r="U82" s="23"/>
      <c r="V82" s="52"/>
      <c r="W82" s="23"/>
      <c r="X82" s="21"/>
      <c r="Y82" s="21"/>
      <c r="Z82" s="23"/>
      <c r="AA82" s="21"/>
      <c r="AB82" s="21"/>
      <c r="AC82" s="21"/>
      <c r="AD82" s="21"/>
      <c r="AE82" s="41"/>
      <c r="AF82" s="41"/>
      <c r="AG82" s="41"/>
      <c r="AH82" s="41"/>
      <c r="AI82" s="24"/>
      <c r="AJ82" s="24"/>
      <c r="AK82" s="24"/>
      <c r="AL82" s="21"/>
      <c r="AM82" s="21"/>
      <c r="AN82" s="29"/>
      <c r="AO82" s="29"/>
      <c r="AP82" s="29"/>
      <c r="AQ82" s="29"/>
      <c r="AR82" s="26"/>
      <c r="AS82" s="43"/>
      <c r="AT82" s="43"/>
      <c r="AU82" s="43"/>
      <c r="AV82" s="43"/>
      <c r="AW82" s="43"/>
      <c r="AX82" s="43"/>
      <c r="AY82" s="43"/>
      <c r="AZ82" s="43"/>
      <c r="BA82" s="43"/>
      <c r="BB82" s="43"/>
      <c r="BC82" s="43"/>
      <c r="BD82" s="1"/>
      <c r="BE82" s="1"/>
    </row>
    <row r="83" spans="1:57" ht="13.5" customHeight="1" x14ac:dyDescent="0.25">
      <c r="A83" s="19"/>
      <c r="B83" s="21"/>
      <c r="C83" s="21"/>
      <c r="D83" s="21"/>
      <c r="E83" s="21"/>
      <c r="F83" s="21"/>
      <c r="G83" s="21"/>
      <c r="H83" s="21"/>
      <c r="I83" s="21"/>
      <c r="J83" s="21"/>
      <c r="K83" s="31"/>
      <c r="L83" s="21"/>
      <c r="M83" s="22"/>
      <c r="N83" s="21"/>
      <c r="O83" s="21"/>
      <c r="P83" s="24"/>
      <c r="Q83" s="24"/>
      <c r="R83" s="23"/>
      <c r="S83" s="23"/>
      <c r="T83" s="23"/>
      <c r="U83" s="23"/>
      <c r="V83" s="52"/>
      <c r="W83" s="23"/>
      <c r="X83" s="21"/>
      <c r="Y83" s="21"/>
      <c r="Z83" s="23"/>
      <c r="AA83" s="21"/>
      <c r="AB83" s="21"/>
      <c r="AC83" s="21"/>
      <c r="AD83" s="21"/>
      <c r="AE83" s="41"/>
      <c r="AF83" s="41"/>
      <c r="AG83" s="41"/>
      <c r="AH83" s="41"/>
      <c r="AI83" s="24"/>
      <c r="AJ83" s="24"/>
      <c r="AK83" s="24"/>
      <c r="AL83" s="21"/>
      <c r="AM83" s="21"/>
      <c r="AN83" s="29"/>
      <c r="AO83" s="29"/>
      <c r="AP83" s="29"/>
      <c r="AQ83" s="29"/>
      <c r="AR83" s="26"/>
      <c r="AS83" s="43"/>
      <c r="AT83" s="43"/>
      <c r="AU83" s="43"/>
      <c r="AV83" s="43"/>
      <c r="AW83" s="43"/>
      <c r="AX83" s="43"/>
      <c r="AY83" s="43"/>
      <c r="AZ83" s="43"/>
      <c r="BA83" s="43"/>
      <c r="BB83" s="43"/>
      <c r="BC83" s="43"/>
      <c r="BD83" s="1"/>
      <c r="BE83" s="1"/>
    </row>
    <row r="84" spans="1:57" ht="13.5" customHeight="1" x14ac:dyDescent="0.25">
      <c r="A84" s="19"/>
      <c r="B84" s="21"/>
      <c r="C84" s="21"/>
      <c r="D84" s="21"/>
      <c r="E84" s="21"/>
      <c r="F84" s="21"/>
      <c r="G84" s="21"/>
      <c r="H84" s="21"/>
      <c r="I84" s="21"/>
      <c r="J84" s="21"/>
      <c r="K84" s="31"/>
      <c r="L84" s="21"/>
      <c r="M84" s="22"/>
      <c r="N84" s="21"/>
      <c r="O84" s="21"/>
      <c r="P84" s="24"/>
      <c r="Q84" s="24"/>
      <c r="R84" s="23"/>
      <c r="S84" s="23"/>
      <c r="T84" s="23"/>
      <c r="U84" s="23"/>
      <c r="V84" s="52"/>
      <c r="W84" s="23"/>
      <c r="X84" s="21"/>
      <c r="Y84" s="21"/>
      <c r="Z84" s="23"/>
      <c r="AA84" s="21"/>
      <c r="AB84" s="21"/>
      <c r="AC84" s="21"/>
      <c r="AD84" s="21"/>
      <c r="AE84" s="41"/>
      <c r="AF84" s="41"/>
      <c r="AG84" s="41"/>
      <c r="AH84" s="41"/>
      <c r="AI84" s="24"/>
      <c r="AJ84" s="24"/>
      <c r="AK84" s="24"/>
      <c r="AL84" s="21"/>
      <c r="AM84" s="21"/>
      <c r="AN84" s="29"/>
      <c r="AO84" s="29"/>
      <c r="AP84" s="29"/>
      <c r="AQ84" s="29"/>
      <c r="AR84" s="26"/>
      <c r="AS84" s="43"/>
      <c r="AT84" s="43"/>
      <c r="AU84" s="43"/>
      <c r="AV84" s="43"/>
      <c r="AW84" s="43"/>
      <c r="AX84" s="43"/>
      <c r="AY84" s="43"/>
      <c r="AZ84" s="43"/>
      <c r="BA84" s="43"/>
      <c r="BB84" s="43"/>
      <c r="BC84" s="43"/>
      <c r="BD84" s="1"/>
      <c r="BE84" s="1"/>
    </row>
    <row r="85" spans="1:57" ht="13.5" customHeight="1" x14ac:dyDescent="0.25">
      <c r="A85" s="19"/>
      <c r="B85" s="21"/>
      <c r="C85" s="21"/>
      <c r="D85" s="21"/>
      <c r="E85" s="21"/>
      <c r="F85" s="21"/>
      <c r="G85" s="21"/>
      <c r="H85" s="21"/>
      <c r="I85" s="21"/>
      <c r="J85" s="21"/>
      <c r="K85" s="31"/>
      <c r="L85" s="21"/>
      <c r="M85" s="22"/>
      <c r="N85" s="21"/>
      <c r="O85" s="21"/>
      <c r="P85" s="24"/>
      <c r="Q85" s="24"/>
      <c r="R85" s="23"/>
      <c r="S85" s="23"/>
      <c r="T85" s="23"/>
      <c r="U85" s="23"/>
      <c r="V85" s="52"/>
      <c r="W85" s="23"/>
      <c r="X85" s="21"/>
      <c r="Y85" s="21"/>
      <c r="Z85" s="23"/>
      <c r="AA85" s="21"/>
      <c r="AB85" s="21"/>
      <c r="AC85" s="21"/>
      <c r="AD85" s="21"/>
      <c r="AE85" s="41"/>
      <c r="AF85" s="41"/>
      <c r="AG85" s="41"/>
      <c r="AH85" s="41"/>
      <c r="AI85" s="24"/>
      <c r="AJ85" s="24"/>
      <c r="AK85" s="24"/>
      <c r="AL85" s="21"/>
      <c r="AM85" s="21"/>
      <c r="AN85" s="29"/>
      <c r="AO85" s="29"/>
      <c r="AP85" s="29"/>
      <c r="AQ85" s="29"/>
      <c r="AR85" s="26"/>
      <c r="AS85" s="43"/>
      <c r="AT85" s="43"/>
      <c r="AU85" s="43"/>
      <c r="AV85" s="43"/>
      <c r="AW85" s="43"/>
      <c r="AX85" s="43"/>
      <c r="AY85" s="43"/>
      <c r="AZ85" s="43"/>
      <c r="BA85" s="43"/>
      <c r="BB85" s="43"/>
      <c r="BC85" s="43"/>
      <c r="BD85" s="1"/>
      <c r="BE85" s="1"/>
    </row>
    <row r="86" spans="1:57" ht="13.5" customHeight="1" x14ac:dyDescent="0.25">
      <c r="A86" s="19"/>
      <c r="B86" s="21"/>
      <c r="C86" s="21"/>
      <c r="D86" s="21"/>
      <c r="E86" s="21"/>
      <c r="F86" s="21"/>
      <c r="G86" s="21"/>
      <c r="H86" s="21"/>
      <c r="I86" s="21"/>
      <c r="J86" s="21"/>
      <c r="K86" s="31"/>
      <c r="L86" s="21"/>
      <c r="M86" s="22"/>
      <c r="N86" s="21"/>
      <c r="O86" s="21"/>
      <c r="P86" s="24"/>
      <c r="Q86" s="24"/>
      <c r="R86" s="23"/>
      <c r="S86" s="23"/>
      <c r="T86" s="23"/>
      <c r="U86" s="23"/>
      <c r="V86" s="52"/>
      <c r="W86" s="23"/>
      <c r="X86" s="21"/>
      <c r="Y86" s="21"/>
      <c r="Z86" s="23"/>
      <c r="AA86" s="21"/>
      <c r="AB86" s="21"/>
      <c r="AC86" s="21"/>
      <c r="AD86" s="21"/>
      <c r="AE86" s="41"/>
      <c r="AF86" s="41"/>
      <c r="AG86" s="41"/>
      <c r="AH86" s="41"/>
      <c r="AI86" s="24"/>
      <c r="AJ86" s="24"/>
      <c r="AK86" s="24"/>
      <c r="AL86" s="21"/>
      <c r="AM86" s="21"/>
      <c r="AN86" s="29"/>
      <c r="AO86" s="29"/>
      <c r="AP86" s="29"/>
      <c r="AQ86" s="29"/>
      <c r="AR86" s="26"/>
      <c r="AS86" s="43"/>
      <c r="AT86" s="43"/>
      <c r="AU86" s="43"/>
      <c r="AV86" s="43"/>
      <c r="AW86" s="43"/>
      <c r="AX86" s="43"/>
      <c r="AY86" s="43"/>
      <c r="AZ86" s="43"/>
      <c r="BA86" s="43"/>
      <c r="BB86" s="43"/>
      <c r="BC86" s="43"/>
      <c r="BD86" s="1"/>
      <c r="BE86" s="1"/>
    </row>
    <row r="87" spans="1:57" ht="14.25" customHeight="1" x14ac:dyDescent="0.25">
      <c r="A87" s="182"/>
      <c r="B87" s="38"/>
      <c r="C87" s="38"/>
      <c r="D87" s="38"/>
      <c r="E87" s="38"/>
      <c r="F87" s="38"/>
      <c r="G87" s="38"/>
      <c r="H87" s="38"/>
      <c r="I87" s="38"/>
      <c r="J87" s="38"/>
      <c r="K87" s="38"/>
      <c r="L87" s="38"/>
      <c r="M87" s="178"/>
      <c r="N87" s="38"/>
      <c r="O87" s="38"/>
      <c r="P87" s="38"/>
      <c r="Q87" s="38"/>
      <c r="R87" s="38"/>
      <c r="S87" s="38"/>
      <c r="T87" s="38"/>
      <c r="U87" s="38"/>
      <c r="V87" s="38"/>
      <c r="W87" s="38"/>
      <c r="X87" s="38"/>
      <c r="Y87" s="38"/>
      <c r="Z87" s="38"/>
      <c r="AA87" s="38"/>
      <c r="AB87" s="38"/>
      <c r="AC87" s="38"/>
      <c r="AD87" s="38"/>
      <c r="AE87" s="178"/>
      <c r="AF87" s="178"/>
      <c r="AG87" s="178"/>
      <c r="AH87" s="178"/>
      <c r="AI87" s="38"/>
      <c r="AJ87" s="38"/>
      <c r="AK87" s="38"/>
      <c r="AL87" s="38"/>
      <c r="AM87" s="179"/>
      <c r="AN87" s="180"/>
      <c r="AO87" s="181"/>
      <c r="AP87" s="180"/>
      <c r="AQ87" s="181"/>
      <c r="AR87" s="183"/>
      <c r="AS87" s="38"/>
      <c r="AT87" s="38"/>
      <c r="AU87" s="38"/>
      <c r="AV87" s="38"/>
      <c r="AW87" s="38"/>
      <c r="AX87" s="38"/>
      <c r="AY87" s="38"/>
      <c r="AZ87" s="38"/>
      <c r="BA87" s="38"/>
      <c r="BB87" s="38"/>
      <c r="BC87" s="38"/>
      <c r="BD87" s="1"/>
      <c r="BE87" s="1"/>
    </row>
    <row r="88" spans="1:57" ht="14.25" customHeight="1" x14ac:dyDescent="0.25">
      <c r="A88" s="182"/>
      <c r="B88" s="38"/>
      <c r="C88" s="38"/>
      <c r="D88" s="38"/>
      <c r="E88" s="38"/>
      <c r="F88" s="38"/>
      <c r="G88" s="38"/>
      <c r="H88" s="38"/>
      <c r="I88" s="38"/>
      <c r="J88" s="38"/>
      <c r="K88" s="38"/>
      <c r="L88" s="38"/>
      <c r="M88" s="178"/>
      <c r="N88" s="38"/>
      <c r="O88" s="38"/>
      <c r="P88" s="38"/>
      <c r="Q88" s="38"/>
      <c r="R88" s="38"/>
      <c r="S88" s="38"/>
      <c r="T88" s="38"/>
      <c r="U88" s="38"/>
      <c r="V88" s="38"/>
      <c r="W88" s="38"/>
      <c r="X88" s="38"/>
      <c r="Y88" s="38"/>
      <c r="Z88" s="38"/>
      <c r="AA88" s="38"/>
      <c r="AB88" s="38"/>
      <c r="AC88" s="38"/>
      <c r="AD88" s="38"/>
      <c r="AE88" s="178"/>
      <c r="AF88" s="178"/>
      <c r="AG88" s="178"/>
      <c r="AH88" s="178"/>
      <c r="AI88" s="38"/>
      <c r="AJ88" s="38"/>
      <c r="AK88" s="38"/>
      <c r="AL88" s="38"/>
      <c r="AM88" s="179"/>
      <c r="AN88" s="180"/>
      <c r="AO88" s="181"/>
      <c r="AP88" s="180"/>
      <c r="AQ88" s="181"/>
      <c r="AR88" s="183"/>
      <c r="AS88" s="38"/>
      <c r="AT88" s="38"/>
      <c r="AU88" s="38"/>
      <c r="AV88" s="38"/>
      <c r="AW88" s="38"/>
      <c r="AX88" s="38"/>
      <c r="AY88" s="38"/>
      <c r="AZ88" s="38"/>
      <c r="BA88" s="38"/>
      <c r="BB88" s="38"/>
      <c r="BC88" s="38"/>
      <c r="BD88" s="1"/>
      <c r="BE88" s="1"/>
    </row>
    <row r="89" spans="1:57" ht="14.25" customHeight="1" x14ac:dyDescent="0.25">
      <c r="A89" s="182"/>
      <c r="B89" s="38"/>
      <c r="C89" s="38"/>
      <c r="D89" s="38"/>
      <c r="E89" s="38"/>
      <c r="F89" s="38"/>
      <c r="G89" s="38"/>
      <c r="H89" s="38"/>
      <c r="I89" s="38"/>
      <c r="J89" s="38"/>
      <c r="K89" s="38"/>
      <c r="L89" s="38"/>
      <c r="M89" s="178"/>
      <c r="N89" s="38"/>
      <c r="O89" s="38"/>
      <c r="P89" s="38"/>
      <c r="Q89" s="38"/>
      <c r="R89" s="38"/>
      <c r="S89" s="38"/>
      <c r="T89" s="38"/>
      <c r="U89" s="38"/>
      <c r="V89" s="38"/>
      <c r="W89" s="38"/>
      <c r="X89" s="38"/>
      <c r="Y89" s="38"/>
      <c r="Z89" s="38"/>
      <c r="AA89" s="38"/>
      <c r="AB89" s="38"/>
      <c r="AC89" s="38"/>
      <c r="AD89" s="38"/>
      <c r="AE89" s="178"/>
      <c r="AF89" s="178"/>
      <c r="AG89" s="178"/>
      <c r="AH89" s="178"/>
      <c r="AI89" s="38"/>
      <c r="AJ89" s="38"/>
      <c r="AK89" s="38"/>
      <c r="AL89" s="38"/>
      <c r="AM89" s="179"/>
      <c r="AN89" s="180"/>
      <c r="AO89" s="181"/>
      <c r="AP89" s="180"/>
      <c r="AQ89" s="181"/>
      <c r="AR89" s="183"/>
      <c r="AS89" s="38"/>
      <c r="AT89" s="38"/>
      <c r="AU89" s="38"/>
      <c r="AV89" s="38"/>
      <c r="AW89" s="38"/>
      <c r="AX89" s="38"/>
      <c r="AY89" s="38"/>
      <c r="AZ89" s="38"/>
      <c r="BA89" s="38"/>
      <c r="BB89" s="38"/>
      <c r="BC89" s="38"/>
      <c r="BD89" s="1"/>
      <c r="BE89" s="1"/>
    </row>
    <row r="90" spans="1:57" ht="14.25" customHeight="1" x14ac:dyDescent="0.25">
      <c r="A90" s="182"/>
      <c r="B90" s="38"/>
      <c r="C90" s="38"/>
      <c r="D90" s="38"/>
      <c r="E90" s="38"/>
      <c r="F90" s="38"/>
      <c r="G90" s="38"/>
      <c r="H90" s="38"/>
      <c r="I90" s="38"/>
      <c r="J90" s="38"/>
      <c r="K90" s="38"/>
      <c r="L90" s="38"/>
      <c r="M90" s="178"/>
      <c r="N90" s="38"/>
      <c r="O90" s="38"/>
      <c r="P90" s="38"/>
      <c r="Q90" s="38"/>
      <c r="R90" s="38"/>
      <c r="S90" s="38"/>
      <c r="T90" s="38"/>
      <c r="U90" s="38"/>
      <c r="V90" s="38"/>
      <c r="W90" s="38"/>
      <c r="X90" s="38"/>
      <c r="Y90" s="38"/>
      <c r="Z90" s="38"/>
      <c r="AA90" s="38"/>
      <c r="AB90" s="38"/>
      <c r="AC90" s="38"/>
      <c r="AD90" s="38"/>
      <c r="AE90" s="178"/>
      <c r="AF90" s="178"/>
      <c r="AG90" s="178"/>
      <c r="AH90" s="178"/>
      <c r="AI90" s="38"/>
      <c r="AJ90" s="38"/>
      <c r="AK90" s="38"/>
      <c r="AL90" s="38"/>
      <c r="AM90" s="179"/>
      <c r="AN90" s="180"/>
      <c r="AO90" s="181"/>
      <c r="AP90" s="180"/>
      <c r="AQ90" s="181"/>
      <c r="AR90" s="183"/>
      <c r="AS90" s="38"/>
      <c r="AT90" s="38"/>
      <c r="AU90" s="38"/>
      <c r="AV90" s="38"/>
      <c r="AW90" s="38"/>
      <c r="AX90" s="38"/>
      <c r="AY90" s="38"/>
      <c r="AZ90" s="38"/>
      <c r="BA90" s="38"/>
      <c r="BB90" s="38"/>
      <c r="BC90" s="38"/>
      <c r="BD90" s="1"/>
      <c r="BE90" s="1"/>
    </row>
    <row r="91" spans="1:57" ht="14.25" customHeight="1" x14ac:dyDescent="0.25">
      <c r="A91" s="182"/>
      <c r="B91" s="38"/>
      <c r="C91" s="38"/>
      <c r="D91" s="38"/>
      <c r="E91" s="38"/>
      <c r="F91" s="38"/>
      <c r="G91" s="38"/>
      <c r="H91" s="38"/>
      <c r="I91" s="38"/>
      <c r="J91" s="38"/>
      <c r="K91" s="38"/>
      <c r="L91" s="38"/>
      <c r="M91" s="178"/>
      <c r="N91" s="38"/>
      <c r="O91" s="38"/>
      <c r="P91" s="38"/>
      <c r="Q91" s="38"/>
      <c r="R91" s="38"/>
      <c r="S91" s="38"/>
      <c r="T91" s="38"/>
      <c r="U91" s="38"/>
      <c r="V91" s="38"/>
      <c r="W91" s="38"/>
      <c r="X91" s="38"/>
      <c r="Y91" s="38"/>
      <c r="Z91" s="38"/>
      <c r="AA91" s="38"/>
      <c r="AB91" s="38"/>
      <c r="AC91" s="38"/>
      <c r="AD91" s="38"/>
      <c r="AE91" s="178"/>
      <c r="AF91" s="178"/>
      <c r="AG91" s="178"/>
      <c r="AH91" s="178"/>
      <c r="AI91" s="38"/>
      <c r="AJ91" s="38"/>
      <c r="AK91" s="38"/>
      <c r="AL91" s="38"/>
      <c r="AM91" s="179"/>
      <c r="AN91" s="180"/>
      <c r="AO91" s="181"/>
      <c r="AP91" s="180"/>
      <c r="AQ91" s="181"/>
      <c r="AR91" s="183"/>
      <c r="AS91" s="38"/>
      <c r="AT91" s="38"/>
      <c r="AU91" s="38"/>
      <c r="AV91" s="38"/>
      <c r="AW91" s="38"/>
      <c r="AX91" s="38"/>
      <c r="AY91" s="38"/>
      <c r="AZ91" s="38"/>
      <c r="BA91" s="38"/>
      <c r="BB91" s="38"/>
      <c r="BC91" s="38"/>
      <c r="BD91" s="1"/>
      <c r="BE91" s="1"/>
    </row>
    <row r="92" spans="1:57" ht="14.25" customHeight="1" x14ac:dyDescent="0.25">
      <c r="A92" s="182"/>
      <c r="B92" s="38"/>
      <c r="C92" s="38"/>
      <c r="D92" s="38"/>
      <c r="E92" s="38"/>
      <c r="F92" s="38"/>
      <c r="G92" s="38"/>
      <c r="H92" s="38"/>
      <c r="I92" s="38"/>
      <c r="J92" s="38"/>
      <c r="K92" s="38"/>
      <c r="L92" s="38"/>
      <c r="M92" s="178"/>
      <c r="N92" s="38"/>
      <c r="O92" s="38"/>
      <c r="P92" s="38"/>
      <c r="Q92" s="38"/>
      <c r="R92" s="38"/>
      <c r="S92" s="38"/>
      <c r="T92" s="38"/>
      <c r="U92" s="38"/>
      <c r="V92" s="38"/>
      <c r="W92" s="38"/>
      <c r="X92" s="38"/>
      <c r="Y92" s="38"/>
      <c r="Z92" s="38"/>
      <c r="AA92" s="38"/>
      <c r="AB92" s="38"/>
      <c r="AC92" s="38"/>
      <c r="AD92" s="38"/>
      <c r="AE92" s="178"/>
      <c r="AF92" s="178"/>
      <c r="AG92" s="178"/>
      <c r="AH92" s="178"/>
      <c r="AI92" s="38"/>
      <c r="AJ92" s="38"/>
      <c r="AK92" s="38"/>
      <c r="AL92" s="38"/>
      <c r="AM92" s="179"/>
      <c r="AN92" s="180"/>
      <c r="AO92" s="181"/>
      <c r="AP92" s="180"/>
      <c r="AQ92" s="181"/>
      <c r="AR92" s="183"/>
      <c r="AS92" s="38"/>
      <c r="AT92" s="38"/>
      <c r="AU92" s="38"/>
      <c r="AV92" s="38"/>
      <c r="AW92" s="38"/>
      <c r="AX92" s="38"/>
      <c r="AY92" s="38"/>
      <c r="AZ92" s="38"/>
      <c r="BA92" s="38"/>
      <c r="BB92" s="38"/>
      <c r="BC92" s="38"/>
      <c r="BD92" s="1"/>
      <c r="BE92" s="1"/>
    </row>
    <row r="93" spans="1:57" ht="14.25" customHeight="1" x14ac:dyDescent="0.25">
      <c r="A93" s="182"/>
      <c r="B93" s="38"/>
      <c r="C93" s="38"/>
      <c r="D93" s="38"/>
      <c r="E93" s="38"/>
      <c r="F93" s="38"/>
      <c r="G93" s="38"/>
      <c r="H93" s="38"/>
      <c r="I93" s="38"/>
      <c r="J93" s="38"/>
      <c r="K93" s="38"/>
      <c r="L93" s="38"/>
      <c r="M93" s="178"/>
      <c r="N93" s="38"/>
      <c r="O93" s="38"/>
      <c r="P93" s="38"/>
      <c r="Q93" s="38"/>
      <c r="R93" s="38"/>
      <c r="S93" s="38"/>
      <c r="T93" s="38"/>
      <c r="U93" s="38"/>
      <c r="V93" s="38"/>
      <c r="W93" s="38"/>
      <c r="X93" s="38"/>
      <c r="Y93" s="38"/>
      <c r="Z93" s="38"/>
      <c r="AA93" s="38"/>
      <c r="AB93" s="38"/>
      <c r="AC93" s="38"/>
      <c r="AD93" s="38"/>
      <c r="AE93" s="178"/>
      <c r="AF93" s="178"/>
      <c r="AG93" s="178"/>
      <c r="AH93" s="178"/>
      <c r="AI93" s="38"/>
      <c r="AJ93" s="38"/>
      <c r="AK93" s="38"/>
      <c r="AL93" s="38"/>
      <c r="AM93" s="179"/>
      <c r="AN93" s="180"/>
      <c r="AO93" s="181"/>
      <c r="AP93" s="180"/>
      <c r="AQ93" s="181"/>
      <c r="AR93" s="183"/>
      <c r="AS93" s="38"/>
      <c r="AT93" s="38"/>
      <c r="AU93" s="38"/>
      <c r="AV93" s="38"/>
      <c r="AW93" s="38"/>
      <c r="AX93" s="38"/>
      <c r="AY93" s="38"/>
      <c r="AZ93" s="38"/>
      <c r="BA93" s="38"/>
      <c r="BB93" s="38"/>
      <c r="BC93" s="38"/>
      <c r="BD93" s="1"/>
      <c r="BE93" s="1"/>
    </row>
    <row r="94" spans="1:57" ht="14.25" customHeight="1" x14ac:dyDescent="0.25">
      <c r="A94" s="182"/>
      <c r="B94" s="38"/>
      <c r="C94" s="38"/>
      <c r="D94" s="38"/>
      <c r="E94" s="38"/>
      <c r="F94" s="38"/>
      <c r="G94" s="38"/>
      <c r="H94" s="38"/>
      <c r="I94" s="38"/>
      <c r="J94" s="38"/>
      <c r="K94" s="38"/>
      <c r="L94" s="38"/>
      <c r="M94" s="178"/>
      <c r="N94" s="38"/>
      <c r="O94" s="38"/>
      <c r="P94" s="38"/>
      <c r="Q94" s="38"/>
      <c r="R94" s="38"/>
      <c r="S94" s="38"/>
      <c r="T94" s="38"/>
      <c r="U94" s="38"/>
      <c r="V94" s="38"/>
      <c r="W94" s="38"/>
      <c r="X94" s="38"/>
      <c r="Y94" s="38"/>
      <c r="Z94" s="38"/>
      <c r="AA94" s="38"/>
      <c r="AB94" s="38"/>
      <c r="AC94" s="38"/>
      <c r="AD94" s="38"/>
      <c r="AE94" s="178"/>
      <c r="AF94" s="178"/>
      <c r="AG94" s="178"/>
      <c r="AH94" s="178"/>
      <c r="AI94" s="38"/>
      <c r="AJ94" s="38"/>
      <c r="AK94" s="38"/>
      <c r="AL94" s="38"/>
      <c r="AM94" s="179"/>
      <c r="AN94" s="180"/>
      <c r="AO94" s="181"/>
      <c r="AP94" s="180"/>
      <c r="AQ94" s="181"/>
      <c r="AR94" s="183"/>
      <c r="AS94" s="38"/>
      <c r="AT94" s="38"/>
      <c r="AU94" s="38"/>
      <c r="AV94" s="38"/>
      <c r="AW94" s="38"/>
      <c r="AX94" s="38"/>
      <c r="AY94" s="38"/>
      <c r="AZ94" s="38"/>
      <c r="BA94" s="38"/>
      <c r="BB94" s="38"/>
      <c r="BC94" s="38"/>
      <c r="BD94" s="1"/>
      <c r="BE94" s="1"/>
    </row>
    <row r="95" spans="1:57" ht="14.25" customHeight="1" x14ac:dyDescent="0.25">
      <c r="A95" s="182"/>
      <c r="B95" s="38"/>
      <c r="C95" s="38"/>
      <c r="D95" s="38"/>
      <c r="E95" s="38"/>
      <c r="F95" s="38"/>
      <c r="G95" s="38"/>
      <c r="H95" s="38"/>
      <c r="I95" s="38"/>
      <c r="J95" s="38"/>
      <c r="K95" s="38"/>
      <c r="L95" s="38"/>
      <c r="M95" s="178"/>
      <c r="N95" s="38"/>
      <c r="O95" s="38"/>
      <c r="P95" s="38"/>
      <c r="Q95" s="38"/>
      <c r="R95" s="38"/>
      <c r="S95" s="38"/>
      <c r="T95" s="38"/>
      <c r="U95" s="38"/>
      <c r="V95" s="38"/>
      <c r="W95" s="38"/>
      <c r="X95" s="38"/>
      <c r="Y95" s="38"/>
      <c r="Z95" s="38"/>
      <c r="AA95" s="38"/>
      <c r="AB95" s="38"/>
      <c r="AC95" s="38"/>
      <c r="AD95" s="38"/>
      <c r="AE95" s="178"/>
      <c r="AF95" s="178"/>
      <c r="AG95" s="178"/>
      <c r="AH95" s="178"/>
      <c r="AI95" s="38"/>
      <c r="AJ95" s="38"/>
      <c r="AK95" s="38"/>
      <c r="AL95" s="38"/>
      <c r="AM95" s="179"/>
      <c r="AN95" s="180"/>
      <c r="AO95" s="181"/>
      <c r="AP95" s="180"/>
      <c r="AQ95" s="181"/>
      <c r="AR95" s="183"/>
      <c r="AS95" s="38"/>
      <c r="AT95" s="38"/>
      <c r="AU95" s="38"/>
      <c r="AV95" s="38"/>
      <c r="AW95" s="38"/>
      <c r="AX95" s="38"/>
      <c r="AY95" s="38"/>
      <c r="AZ95" s="38"/>
      <c r="BA95" s="38"/>
      <c r="BB95" s="38"/>
      <c r="BC95" s="38"/>
      <c r="BD95" s="1"/>
      <c r="BE95" s="1"/>
    </row>
    <row r="96" spans="1:57" ht="14.25" customHeight="1" x14ac:dyDescent="0.25">
      <c r="A96" s="182"/>
      <c r="B96" s="38"/>
      <c r="C96" s="38"/>
      <c r="D96" s="38"/>
      <c r="E96" s="38"/>
      <c r="F96" s="38"/>
      <c r="G96" s="38"/>
      <c r="H96" s="38"/>
      <c r="I96" s="38"/>
      <c r="J96" s="38"/>
      <c r="K96" s="38"/>
      <c r="L96" s="38"/>
      <c r="M96" s="178"/>
      <c r="N96" s="38"/>
      <c r="O96" s="38"/>
      <c r="P96" s="38"/>
      <c r="Q96" s="38"/>
      <c r="R96" s="38"/>
      <c r="S96" s="38"/>
      <c r="T96" s="38"/>
      <c r="U96" s="38"/>
      <c r="V96" s="38"/>
      <c r="W96" s="38"/>
      <c r="X96" s="38"/>
      <c r="Y96" s="38"/>
      <c r="Z96" s="38"/>
      <c r="AA96" s="38"/>
      <c r="AB96" s="38"/>
      <c r="AC96" s="38"/>
      <c r="AD96" s="38"/>
      <c r="AE96" s="178"/>
      <c r="AF96" s="178"/>
      <c r="AG96" s="178"/>
      <c r="AH96" s="178"/>
      <c r="AI96" s="38"/>
      <c r="AJ96" s="38"/>
      <c r="AK96" s="38"/>
      <c r="AL96" s="38"/>
      <c r="AM96" s="179"/>
      <c r="AN96" s="180"/>
      <c r="AO96" s="181"/>
      <c r="AP96" s="180"/>
      <c r="AQ96" s="181"/>
      <c r="AR96" s="183"/>
      <c r="AS96" s="38"/>
      <c r="AT96" s="38"/>
      <c r="AU96" s="38"/>
      <c r="AV96" s="38"/>
      <c r="AW96" s="38"/>
      <c r="AX96" s="38"/>
      <c r="AY96" s="38"/>
      <c r="AZ96" s="38"/>
      <c r="BA96" s="38"/>
      <c r="BB96" s="38"/>
      <c r="BC96" s="38"/>
      <c r="BD96" s="1"/>
      <c r="BE96" s="1"/>
    </row>
    <row r="97" spans="1:57" ht="14.25" customHeight="1" x14ac:dyDescent="0.25">
      <c r="A97" s="182"/>
      <c r="B97" s="38"/>
      <c r="C97" s="38"/>
      <c r="D97" s="38"/>
      <c r="E97" s="38"/>
      <c r="F97" s="38"/>
      <c r="G97" s="38"/>
      <c r="H97" s="38"/>
      <c r="I97" s="38"/>
      <c r="J97" s="38"/>
      <c r="K97" s="38"/>
      <c r="L97" s="38"/>
      <c r="M97" s="178"/>
      <c r="N97" s="38"/>
      <c r="O97" s="38"/>
      <c r="P97" s="38"/>
      <c r="Q97" s="38"/>
      <c r="R97" s="38"/>
      <c r="S97" s="38"/>
      <c r="T97" s="38"/>
      <c r="U97" s="38"/>
      <c r="V97" s="38"/>
      <c r="W97" s="38"/>
      <c r="X97" s="38"/>
      <c r="Y97" s="38"/>
      <c r="Z97" s="38"/>
      <c r="AA97" s="38"/>
      <c r="AB97" s="38"/>
      <c r="AC97" s="38"/>
      <c r="AD97" s="38"/>
      <c r="AE97" s="178"/>
      <c r="AF97" s="178"/>
      <c r="AG97" s="178"/>
      <c r="AH97" s="178"/>
      <c r="AI97" s="38"/>
      <c r="AJ97" s="38"/>
      <c r="AK97" s="38"/>
      <c r="AL97" s="38"/>
      <c r="AM97" s="179"/>
      <c r="AN97" s="180"/>
      <c r="AO97" s="181"/>
      <c r="AP97" s="180"/>
      <c r="AQ97" s="181"/>
      <c r="AR97" s="183"/>
      <c r="AS97" s="38"/>
      <c r="AT97" s="38"/>
      <c r="AU97" s="38"/>
      <c r="AV97" s="38"/>
      <c r="AW97" s="38"/>
      <c r="AX97" s="38"/>
      <c r="AY97" s="38"/>
      <c r="AZ97" s="38"/>
      <c r="BA97" s="38"/>
      <c r="BB97" s="38"/>
      <c r="BC97" s="38"/>
      <c r="BD97" s="1"/>
      <c r="BE97" s="1"/>
    </row>
    <row r="98" spans="1:57" ht="14.25" customHeight="1" x14ac:dyDescent="0.25">
      <c r="A98" s="182"/>
      <c r="B98" s="38"/>
      <c r="C98" s="38"/>
      <c r="D98" s="38"/>
      <c r="E98" s="38"/>
      <c r="F98" s="38"/>
      <c r="G98" s="38"/>
      <c r="H98" s="38"/>
      <c r="I98" s="38"/>
      <c r="J98" s="38"/>
      <c r="K98" s="38"/>
      <c r="L98" s="38"/>
      <c r="M98" s="178"/>
      <c r="N98" s="38"/>
      <c r="O98" s="38"/>
      <c r="P98" s="38"/>
      <c r="Q98" s="38"/>
      <c r="R98" s="38"/>
      <c r="S98" s="38"/>
      <c r="T98" s="38"/>
      <c r="U98" s="38"/>
      <c r="V98" s="38"/>
      <c r="W98" s="38"/>
      <c r="X98" s="38"/>
      <c r="Y98" s="38"/>
      <c r="Z98" s="38"/>
      <c r="AA98" s="38"/>
      <c r="AB98" s="38"/>
      <c r="AC98" s="38"/>
      <c r="AD98" s="38"/>
      <c r="AE98" s="178"/>
      <c r="AF98" s="178"/>
      <c r="AG98" s="178"/>
      <c r="AH98" s="178"/>
      <c r="AI98" s="38"/>
      <c r="AJ98" s="38"/>
      <c r="AK98" s="38"/>
      <c r="AL98" s="38"/>
      <c r="AM98" s="179"/>
      <c r="AN98" s="180"/>
      <c r="AO98" s="181"/>
      <c r="AP98" s="180"/>
      <c r="AQ98" s="181"/>
      <c r="AR98" s="183"/>
      <c r="AS98" s="38"/>
      <c r="AT98" s="38"/>
      <c r="AU98" s="38"/>
      <c r="AV98" s="38"/>
      <c r="AW98" s="38"/>
      <c r="AX98" s="38"/>
      <c r="AY98" s="38"/>
      <c r="AZ98" s="38"/>
      <c r="BA98" s="38"/>
      <c r="BB98" s="38"/>
      <c r="BC98" s="38"/>
      <c r="BD98" s="1"/>
      <c r="BE98" s="1"/>
    </row>
    <row r="99" spans="1:57" ht="14.25" customHeight="1" x14ac:dyDescent="0.25">
      <c r="A99" s="182"/>
      <c r="B99" s="38"/>
      <c r="C99" s="38"/>
      <c r="D99" s="38"/>
      <c r="E99" s="38"/>
      <c r="F99" s="38"/>
      <c r="G99" s="38"/>
      <c r="H99" s="38"/>
      <c r="I99" s="38"/>
      <c r="J99" s="38"/>
      <c r="K99" s="38"/>
      <c r="L99" s="38"/>
      <c r="M99" s="178"/>
      <c r="N99" s="38"/>
      <c r="O99" s="38"/>
      <c r="P99" s="38"/>
      <c r="Q99" s="38"/>
      <c r="R99" s="38"/>
      <c r="S99" s="38"/>
      <c r="T99" s="38"/>
      <c r="U99" s="38"/>
      <c r="V99" s="38"/>
      <c r="W99" s="38"/>
      <c r="X99" s="38"/>
      <c r="Y99" s="38"/>
      <c r="Z99" s="38"/>
      <c r="AA99" s="38"/>
      <c r="AB99" s="38"/>
      <c r="AC99" s="38"/>
      <c r="AD99" s="38"/>
      <c r="AE99" s="178"/>
      <c r="AF99" s="178"/>
      <c r="AG99" s="178"/>
      <c r="AH99" s="178"/>
      <c r="AI99" s="38"/>
      <c r="AJ99" s="38"/>
      <c r="AK99" s="38"/>
      <c r="AL99" s="38"/>
      <c r="AM99" s="179"/>
      <c r="AN99" s="180"/>
      <c r="AO99" s="181"/>
      <c r="AP99" s="180"/>
      <c r="AQ99" s="181"/>
      <c r="AR99" s="183"/>
      <c r="AS99" s="38"/>
      <c r="AT99" s="38"/>
      <c r="AU99" s="38"/>
      <c r="AV99" s="38"/>
      <c r="AW99" s="38"/>
      <c r="AX99" s="38"/>
      <c r="AY99" s="38"/>
      <c r="AZ99" s="38"/>
      <c r="BA99" s="38"/>
      <c r="BB99" s="38"/>
      <c r="BC99" s="38"/>
      <c r="BD99" s="1"/>
      <c r="BE99" s="1"/>
    </row>
    <row r="100" spans="1:57" ht="14.25" customHeight="1" x14ac:dyDescent="0.25">
      <c r="A100" s="182"/>
      <c r="B100" s="38"/>
      <c r="C100" s="38"/>
      <c r="D100" s="38"/>
      <c r="E100" s="38"/>
      <c r="F100" s="38"/>
      <c r="G100" s="38"/>
      <c r="H100" s="38"/>
      <c r="I100" s="38"/>
      <c r="J100" s="38"/>
      <c r="K100" s="38"/>
      <c r="L100" s="38"/>
      <c r="M100" s="178"/>
      <c r="N100" s="38"/>
      <c r="O100" s="38"/>
      <c r="P100" s="38"/>
      <c r="Q100" s="38"/>
      <c r="R100" s="38"/>
      <c r="S100" s="38"/>
      <c r="T100" s="38"/>
      <c r="U100" s="38"/>
      <c r="V100" s="38"/>
      <c r="W100" s="38"/>
      <c r="X100" s="38"/>
      <c r="Y100" s="38"/>
      <c r="Z100" s="38"/>
      <c r="AA100" s="38"/>
      <c r="AB100" s="38"/>
      <c r="AC100" s="38"/>
      <c r="AD100" s="38"/>
      <c r="AE100" s="178"/>
      <c r="AF100" s="178"/>
      <c r="AG100" s="178"/>
      <c r="AH100" s="178"/>
      <c r="AI100" s="38"/>
      <c r="AJ100" s="38"/>
      <c r="AK100" s="38"/>
      <c r="AL100" s="38"/>
      <c r="AM100" s="179"/>
      <c r="AN100" s="180"/>
      <c r="AO100" s="181"/>
      <c r="AP100" s="180"/>
      <c r="AQ100" s="181"/>
      <c r="AR100" s="183"/>
      <c r="AS100" s="38"/>
      <c r="AT100" s="38"/>
      <c r="AU100" s="38"/>
      <c r="AV100" s="38"/>
      <c r="AW100" s="38"/>
      <c r="AX100" s="38"/>
      <c r="AY100" s="38"/>
      <c r="AZ100" s="38"/>
      <c r="BA100" s="38"/>
      <c r="BB100" s="38"/>
      <c r="BC100" s="38"/>
      <c r="BD100" s="1"/>
      <c r="BE100" s="1"/>
    </row>
    <row r="101" spans="1:57" ht="14.25" customHeight="1" x14ac:dyDescent="0.25">
      <c r="A101" s="182"/>
      <c r="B101" s="38"/>
      <c r="C101" s="38"/>
      <c r="D101" s="38"/>
      <c r="E101" s="38"/>
      <c r="F101" s="38"/>
      <c r="G101" s="38"/>
      <c r="H101" s="38"/>
      <c r="I101" s="38"/>
      <c r="J101" s="38"/>
      <c r="K101" s="38"/>
      <c r="L101" s="38"/>
      <c r="M101" s="178"/>
      <c r="N101" s="38"/>
      <c r="O101" s="38"/>
      <c r="P101" s="38"/>
      <c r="Q101" s="38"/>
      <c r="R101" s="38"/>
      <c r="S101" s="38"/>
      <c r="T101" s="38"/>
      <c r="U101" s="38"/>
      <c r="V101" s="38"/>
      <c r="W101" s="38"/>
      <c r="X101" s="38"/>
      <c r="Y101" s="38"/>
      <c r="Z101" s="38"/>
      <c r="AA101" s="38"/>
      <c r="AB101" s="38"/>
      <c r="AC101" s="38"/>
      <c r="AD101" s="38"/>
      <c r="AE101" s="178"/>
      <c r="AF101" s="178"/>
      <c r="AG101" s="178"/>
      <c r="AH101" s="178"/>
      <c r="AI101" s="38"/>
      <c r="AJ101" s="38"/>
      <c r="AK101" s="38"/>
      <c r="AL101" s="38"/>
      <c r="AM101" s="179"/>
      <c r="AN101" s="180"/>
      <c r="AO101" s="181"/>
      <c r="AP101" s="180"/>
      <c r="AQ101" s="181"/>
      <c r="AR101" s="183"/>
      <c r="AS101" s="38"/>
      <c r="AT101" s="38"/>
      <c r="AU101" s="38"/>
      <c r="AV101" s="38"/>
      <c r="AW101" s="38"/>
      <c r="AX101" s="38"/>
      <c r="AY101" s="38"/>
      <c r="AZ101" s="38"/>
      <c r="BA101" s="38"/>
      <c r="BB101" s="38"/>
      <c r="BC101" s="38"/>
      <c r="BD101" s="1"/>
      <c r="BE101" s="1"/>
    </row>
    <row r="102" spans="1:57" ht="14.25" customHeight="1" x14ac:dyDescent="0.25">
      <c r="A102" s="182"/>
      <c r="B102" s="38"/>
      <c r="C102" s="38"/>
      <c r="D102" s="38"/>
      <c r="E102" s="38"/>
      <c r="F102" s="38"/>
      <c r="G102" s="38"/>
      <c r="H102" s="38"/>
      <c r="I102" s="38"/>
      <c r="J102" s="38"/>
      <c r="K102" s="38"/>
      <c r="L102" s="38"/>
      <c r="M102" s="178"/>
      <c r="N102" s="38"/>
      <c r="O102" s="38"/>
      <c r="P102" s="38"/>
      <c r="Q102" s="38"/>
      <c r="R102" s="38"/>
      <c r="S102" s="38"/>
      <c r="T102" s="38"/>
      <c r="U102" s="38"/>
      <c r="V102" s="38"/>
      <c r="W102" s="38"/>
      <c r="X102" s="38"/>
      <c r="Y102" s="38"/>
      <c r="Z102" s="38"/>
      <c r="AA102" s="38"/>
      <c r="AB102" s="38"/>
      <c r="AC102" s="38"/>
      <c r="AD102" s="38"/>
      <c r="AE102" s="178"/>
      <c r="AF102" s="178"/>
      <c r="AG102" s="178"/>
      <c r="AH102" s="178"/>
      <c r="AI102" s="38"/>
      <c r="AJ102" s="38"/>
      <c r="AK102" s="38"/>
      <c r="AL102" s="38"/>
      <c r="AM102" s="179"/>
      <c r="AN102" s="180"/>
      <c r="AO102" s="181"/>
      <c r="AP102" s="180"/>
      <c r="AQ102" s="181"/>
      <c r="AR102" s="183"/>
      <c r="AS102" s="38"/>
      <c r="AT102" s="38"/>
      <c r="AU102" s="38"/>
      <c r="AV102" s="38"/>
      <c r="AW102" s="38"/>
      <c r="AX102" s="38"/>
      <c r="AY102" s="38"/>
      <c r="AZ102" s="38"/>
      <c r="BA102" s="38"/>
      <c r="BB102" s="38"/>
      <c r="BC102" s="38"/>
      <c r="BD102" s="1"/>
      <c r="BE102" s="1"/>
    </row>
    <row r="103" spans="1:57" ht="14.25" customHeight="1" x14ac:dyDescent="0.25">
      <c r="A103" s="182"/>
      <c r="B103" s="38"/>
      <c r="C103" s="38"/>
      <c r="D103" s="38"/>
      <c r="E103" s="38"/>
      <c r="F103" s="38"/>
      <c r="G103" s="38"/>
      <c r="H103" s="38"/>
      <c r="I103" s="38"/>
      <c r="J103" s="38"/>
      <c r="K103" s="38"/>
      <c r="L103" s="38"/>
      <c r="M103" s="178"/>
      <c r="N103" s="38"/>
      <c r="O103" s="38"/>
      <c r="P103" s="38"/>
      <c r="Q103" s="38"/>
      <c r="R103" s="38"/>
      <c r="S103" s="38"/>
      <c r="T103" s="38"/>
      <c r="U103" s="38"/>
      <c r="V103" s="38"/>
      <c r="W103" s="38"/>
      <c r="X103" s="38"/>
      <c r="Y103" s="38"/>
      <c r="Z103" s="38"/>
      <c r="AA103" s="38"/>
      <c r="AB103" s="38"/>
      <c r="AC103" s="38"/>
      <c r="AD103" s="38"/>
      <c r="AE103" s="178"/>
      <c r="AF103" s="178"/>
      <c r="AG103" s="178"/>
      <c r="AH103" s="178"/>
      <c r="AI103" s="38"/>
      <c r="AJ103" s="38"/>
      <c r="AK103" s="38"/>
      <c r="AL103" s="38"/>
      <c r="AM103" s="179"/>
      <c r="AN103" s="180"/>
      <c r="AO103" s="181"/>
      <c r="AP103" s="180"/>
      <c r="AQ103" s="181"/>
      <c r="AR103" s="183"/>
      <c r="AS103" s="38"/>
      <c r="AT103" s="38"/>
      <c r="AU103" s="38"/>
      <c r="AV103" s="38"/>
      <c r="AW103" s="38"/>
      <c r="AX103" s="38"/>
      <c r="AY103" s="38"/>
      <c r="AZ103" s="38"/>
      <c r="BA103" s="38"/>
      <c r="BB103" s="38"/>
      <c r="BC103" s="38"/>
      <c r="BD103" s="1"/>
      <c r="BE103" s="1"/>
    </row>
    <row r="104" spans="1:57" ht="14.25" customHeight="1" x14ac:dyDescent="0.25">
      <c r="A104" s="182"/>
      <c r="B104" s="38"/>
      <c r="C104" s="38"/>
      <c r="D104" s="38"/>
      <c r="E104" s="38"/>
      <c r="F104" s="38"/>
      <c r="G104" s="38"/>
      <c r="H104" s="38"/>
      <c r="I104" s="38"/>
      <c r="J104" s="38"/>
      <c r="K104" s="38"/>
      <c r="L104" s="38"/>
      <c r="M104" s="178"/>
      <c r="N104" s="38"/>
      <c r="O104" s="38"/>
      <c r="P104" s="38"/>
      <c r="Q104" s="38"/>
      <c r="R104" s="38"/>
      <c r="S104" s="38"/>
      <c r="T104" s="38"/>
      <c r="U104" s="38"/>
      <c r="V104" s="38"/>
      <c r="W104" s="38"/>
      <c r="X104" s="38"/>
      <c r="Y104" s="38"/>
      <c r="Z104" s="38"/>
      <c r="AA104" s="38"/>
      <c r="AB104" s="38"/>
      <c r="AC104" s="38"/>
      <c r="AD104" s="38"/>
      <c r="AE104" s="178"/>
      <c r="AF104" s="178"/>
      <c r="AG104" s="178"/>
      <c r="AH104" s="178"/>
      <c r="AI104" s="38"/>
      <c r="AJ104" s="38"/>
      <c r="AK104" s="38"/>
      <c r="AL104" s="38"/>
      <c r="AM104" s="179"/>
      <c r="AN104" s="180"/>
      <c r="AO104" s="181"/>
      <c r="AP104" s="180"/>
      <c r="AQ104" s="181"/>
      <c r="AR104" s="183"/>
      <c r="AS104" s="38"/>
      <c r="AT104" s="38"/>
      <c r="AU104" s="38"/>
      <c r="AV104" s="38"/>
      <c r="AW104" s="38"/>
      <c r="AX104" s="38"/>
      <c r="AY104" s="38"/>
      <c r="AZ104" s="38"/>
      <c r="BA104" s="38"/>
      <c r="BB104" s="38"/>
      <c r="BC104" s="38"/>
      <c r="BD104" s="1"/>
      <c r="BE104" s="1"/>
    </row>
    <row r="105" spans="1:57" ht="14.25" customHeight="1" x14ac:dyDescent="0.25">
      <c r="A105" s="182"/>
      <c r="B105" s="38"/>
      <c r="C105" s="38"/>
      <c r="D105" s="38"/>
      <c r="E105" s="38"/>
      <c r="F105" s="38"/>
      <c r="G105" s="38"/>
      <c r="H105" s="38"/>
      <c r="I105" s="38"/>
      <c r="J105" s="38"/>
      <c r="K105" s="38"/>
      <c r="L105" s="38"/>
      <c r="M105" s="178"/>
      <c r="N105" s="38"/>
      <c r="O105" s="38"/>
      <c r="P105" s="38"/>
      <c r="Q105" s="38"/>
      <c r="R105" s="38"/>
      <c r="S105" s="38"/>
      <c r="T105" s="38"/>
      <c r="U105" s="38"/>
      <c r="V105" s="38"/>
      <c r="W105" s="38"/>
      <c r="X105" s="38"/>
      <c r="Y105" s="38"/>
      <c r="Z105" s="38"/>
      <c r="AA105" s="38"/>
      <c r="AB105" s="38"/>
      <c r="AC105" s="38"/>
      <c r="AD105" s="38"/>
      <c r="AE105" s="178"/>
      <c r="AF105" s="178"/>
      <c r="AG105" s="178"/>
      <c r="AH105" s="178"/>
      <c r="AI105" s="38"/>
      <c r="AJ105" s="38"/>
      <c r="AK105" s="38"/>
      <c r="AL105" s="38"/>
      <c r="AM105" s="179"/>
      <c r="AN105" s="180"/>
      <c r="AO105" s="181"/>
      <c r="AP105" s="180"/>
      <c r="AQ105" s="181"/>
      <c r="AR105" s="183"/>
      <c r="AS105" s="38"/>
      <c r="AT105" s="38"/>
      <c r="AU105" s="38"/>
      <c r="AV105" s="38"/>
      <c r="AW105" s="38"/>
      <c r="AX105" s="38"/>
      <c r="AY105" s="38"/>
      <c r="AZ105" s="38"/>
      <c r="BA105" s="38"/>
      <c r="BB105" s="38"/>
      <c r="BC105" s="38"/>
      <c r="BD105" s="1"/>
      <c r="BE105" s="1"/>
    </row>
    <row r="106" spans="1:57" ht="14.25" customHeight="1" x14ac:dyDescent="0.25">
      <c r="A106" s="182"/>
      <c r="B106" s="38"/>
      <c r="C106" s="38"/>
      <c r="D106" s="38"/>
      <c r="E106" s="38"/>
      <c r="F106" s="38"/>
      <c r="G106" s="38"/>
      <c r="H106" s="38"/>
      <c r="I106" s="38"/>
      <c r="J106" s="38"/>
      <c r="K106" s="38"/>
      <c r="L106" s="38"/>
      <c r="M106" s="178"/>
      <c r="N106" s="38"/>
      <c r="O106" s="38"/>
      <c r="P106" s="38"/>
      <c r="Q106" s="38"/>
      <c r="R106" s="38"/>
      <c r="S106" s="38"/>
      <c r="T106" s="38"/>
      <c r="U106" s="38"/>
      <c r="V106" s="38"/>
      <c r="W106" s="38"/>
      <c r="X106" s="38"/>
      <c r="Y106" s="38"/>
      <c r="Z106" s="38"/>
      <c r="AA106" s="38"/>
      <c r="AB106" s="38"/>
      <c r="AC106" s="38"/>
      <c r="AD106" s="38"/>
      <c r="AE106" s="178"/>
      <c r="AF106" s="178"/>
      <c r="AG106" s="178"/>
      <c r="AH106" s="178"/>
      <c r="AI106" s="38"/>
      <c r="AJ106" s="38"/>
      <c r="AK106" s="38"/>
      <c r="AL106" s="38"/>
      <c r="AM106" s="179"/>
      <c r="AN106" s="180"/>
      <c r="AO106" s="181"/>
      <c r="AP106" s="180"/>
      <c r="AQ106" s="181"/>
      <c r="AR106" s="183"/>
      <c r="AS106" s="38"/>
      <c r="AT106" s="38"/>
      <c r="AU106" s="38"/>
      <c r="AV106" s="38"/>
      <c r="AW106" s="38"/>
      <c r="AX106" s="38"/>
      <c r="AY106" s="38"/>
      <c r="AZ106" s="38"/>
      <c r="BA106" s="38"/>
      <c r="BB106" s="38"/>
      <c r="BC106" s="38"/>
      <c r="BD106" s="1"/>
      <c r="BE106" s="1"/>
    </row>
    <row r="107" spans="1:57" ht="14.25" customHeight="1" x14ac:dyDescent="0.25">
      <c r="A107" s="182"/>
      <c r="B107" s="38"/>
      <c r="C107" s="38"/>
      <c r="D107" s="38"/>
      <c r="E107" s="38"/>
      <c r="F107" s="38"/>
      <c r="G107" s="38"/>
      <c r="H107" s="38"/>
      <c r="I107" s="38"/>
      <c r="J107" s="38"/>
      <c r="K107" s="38"/>
      <c r="L107" s="38"/>
      <c r="M107" s="178"/>
      <c r="N107" s="38"/>
      <c r="O107" s="38"/>
      <c r="P107" s="38"/>
      <c r="Q107" s="38"/>
      <c r="R107" s="38"/>
      <c r="S107" s="38"/>
      <c r="T107" s="38"/>
      <c r="U107" s="38"/>
      <c r="V107" s="38"/>
      <c r="W107" s="38"/>
      <c r="X107" s="38"/>
      <c r="Y107" s="38"/>
      <c r="Z107" s="38"/>
      <c r="AA107" s="38"/>
      <c r="AB107" s="38"/>
      <c r="AC107" s="38"/>
      <c r="AD107" s="38"/>
      <c r="AE107" s="178"/>
      <c r="AF107" s="178"/>
      <c r="AG107" s="178"/>
      <c r="AH107" s="178"/>
      <c r="AI107" s="38"/>
      <c r="AJ107" s="38"/>
      <c r="AK107" s="38"/>
      <c r="AL107" s="38"/>
      <c r="AM107" s="179"/>
      <c r="AN107" s="180"/>
      <c r="AO107" s="181"/>
      <c r="AP107" s="180"/>
      <c r="AQ107" s="181"/>
      <c r="AR107" s="183"/>
      <c r="AS107" s="38"/>
      <c r="AT107" s="38"/>
      <c r="AU107" s="38"/>
      <c r="AV107" s="38"/>
      <c r="AW107" s="38"/>
      <c r="AX107" s="38"/>
      <c r="AY107" s="38"/>
      <c r="AZ107" s="38"/>
      <c r="BA107" s="38"/>
      <c r="BB107" s="38"/>
      <c r="BC107" s="38"/>
      <c r="BD107" s="1"/>
      <c r="BE107" s="1"/>
    </row>
    <row r="108" spans="1:57" ht="14.25" customHeight="1" x14ac:dyDescent="0.25">
      <c r="A108" s="182"/>
      <c r="B108" s="38"/>
      <c r="C108" s="38"/>
      <c r="D108" s="38"/>
      <c r="E108" s="38"/>
      <c r="F108" s="38"/>
      <c r="G108" s="38"/>
      <c r="H108" s="38"/>
      <c r="I108" s="38"/>
      <c r="J108" s="38"/>
      <c r="K108" s="38"/>
      <c r="L108" s="38"/>
      <c r="M108" s="178"/>
      <c r="N108" s="38"/>
      <c r="O108" s="38"/>
      <c r="P108" s="38"/>
      <c r="Q108" s="38"/>
      <c r="R108" s="38"/>
      <c r="S108" s="38"/>
      <c r="T108" s="38"/>
      <c r="U108" s="38"/>
      <c r="V108" s="38"/>
      <c r="W108" s="38"/>
      <c r="X108" s="38"/>
      <c r="Y108" s="38"/>
      <c r="Z108" s="38"/>
      <c r="AA108" s="38"/>
      <c r="AB108" s="38"/>
      <c r="AC108" s="38"/>
      <c r="AD108" s="38"/>
      <c r="AE108" s="178"/>
      <c r="AF108" s="178"/>
      <c r="AG108" s="178"/>
      <c r="AH108" s="178"/>
      <c r="AI108" s="38"/>
      <c r="AJ108" s="38"/>
      <c r="AK108" s="38"/>
      <c r="AL108" s="38"/>
      <c r="AM108" s="179"/>
      <c r="AN108" s="180"/>
      <c r="AO108" s="181"/>
      <c r="AP108" s="180"/>
      <c r="AQ108" s="181"/>
      <c r="AR108" s="183"/>
      <c r="AS108" s="38"/>
      <c r="AT108" s="38"/>
      <c r="AU108" s="38"/>
      <c r="AV108" s="38"/>
      <c r="AW108" s="38"/>
      <c r="AX108" s="38"/>
      <c r="AY108" s="38"/>
      <c r="AZ108" s="38"/>
      <c r="BA108" s="38"/>
      <c r="BB108" s="38"/>
      <c r="BC108" s="38"/>
      <c r="BD108" s="1"/>
      <c r="BE108" s="1"/>
    </row>
    <row r="109" spans="1:57" ht="14.25" customHeight="1" x14ac:dyDescent="0.25">
      <c r="A109" s="182"/>
      <c r="B109" s="38"/>
      <c r="C109" s="38"/>
      <c r="D109" s="38"/>
      <c r="E109" s="38"/>
      <c r="F109" s="38"/>
      <c r="G109" s="38"/>
      <c r="H109" s="38"/>
      <c r="I109" s="38"/>
      <c r="J109" s="38"/>
      <c r="K109" s="38"/>
      <c r="L109" s="38"/>
      <c r="M109" s="178"/>
      <c r="N109" s="38"/>
      <c r="O109" s="38"/>
      <c r="P109" s="38"/>
      <c r="Q109" s="38"/>
      <c r="R109" s="38"/>
      <c r="S109" s="38"/>
      <c r="T109" s="38"/>
      <c r="U109" s="38"/>
      <c r="V109" s="38"/>
      <c r="W109" s="38"/>
      <c r="X109" s="38"/>
      <c r="Y109" s="38"/>
      <c r="Z109" s="38"/>
      <c r="AA109" s="38"/>
      <c r="AB109" s="38"/>
      <c r="AC109" s="38"/>
      <c r="AD109" s="38"/>
      <c r="AE109" s="178"/>
      <c r="AF109" s="178"/>
      <c r="AG109" s="178"/>
      <c r="AH109" s="178"/>
      <c r="AI109" s="38"/>
      <c r="AJ109" s="38"/>
      <c r="AK109" s="38"/>
      <c r="AL109" s="38"/>
      <c r="AM109" s="179"/>
      <c r="AN109" s="180"/>
      <c r="AO109" s="181"/>
      <c r="AP109" s="180"/>
      <c r="AQ109" s="181"/>
      <c r="AR109" s="183"/>
      <c r="AS109" s="38"/>
      <c r="AT109" s="38"/>
      <c r="AU109" s="38"/>
      <c r="AV109" s="38"/>
      <c r="AW109" s="38"/>
      <c r="AX109" s="38"/>
      <c r="AY109" s="38"/>
      <c r="AZ109" s="38"/>
      <c r="BA109" s="38"/>
      <c r="BB109" s="38"/>
      <c r="BC109" s="38"/>
      <c r="BD109" s="1"/>
      <c r="BE109" s="1"/>
    </row>
    <row r="110" spans="1:57" ht="14.25" customHeight="1" x14ac:dyDescent="0.25">
      <c r="A110" s="182"/>
      <c r="B110" s="38"/>
      <c r="C110" s="38"/>
      <c r="D110" s="38"/>
      <c r="E110" s="38"/>
      <c r="F110" s="38"/>
      <c r="G110" s="38"/>
      <c r="H110" s="38"/>
      <c r="I110" s="38"/>
      <c r="J110" s="38"/>
      <c r="K110" s="38"/>
      <c r="L110" s="38"/>
      <c r="M110" s="178"/>
      <c r="N110" s="38"/>
      <c r="O110" s="38"/>
      <c r="P110" s="38"/>
      <c r="Q110" s="38"/>
      <c r="R110" s="38"/>
      <c r="S110" s="38"/>
      <c r="T110" s="38"/>
      <c r="U110" s="38"/>
      <c r="V110" s="38"/>
      <c r="W110" s="38"/>
      <c r="X110" s="38"/>
      <c r="Y110" s="38"/>
      <c r="Z110" s="38"/>
      <c r="AA110" s="38"/>
      <c r="AB110" s="38"/>
      <c r="AC110" s="38"/>
      <c r="AD110" s="38"/>
      <c r="AE110" s="178"/>
      <c r="AF110" s="178"/>
      <c r="AG110" s="178"/>
      <c r="AH110" s="178"/>
      <c r="AI110" s="38"/>
      <c r="AJ110" s="38"/>
      <c r="AK110" s="38"/>
      <c r="AL110" s="38"/>
      <c r="AM110" s="179"/>
      <c r="AN110" s="180"/>
      <c r="AO110" s="181"/>
      <c r="AP110" s="180"/>
      <c r="AQ110" s="181"/>
      <c r="AR110" s="183"/>
      <c r="AS110" s="38"/>
      <c r="AT110" s="38"/>
      <c r="AU110" s="38"/>
      <c r="AV110" s="38"/>
      <c r="AW110" s="38"/>
      <c r="AX110" s="38"/>
      <c r="AY110" s="38"/>
      <c r="AZ110" s="38"/>
      <c r="BA110" s="38"/>
      <c r="BB110" s="38"/>
      <c r="BC110" s="38"/>
      <c r="BD110" s="1"/>
      <c r="BE110" s="1"/>
    </row>
    <row r="111" spans="1:57" ht="14.25" customHeight="1" x14ac:dyDescent="0.25">
      <c r="A111" s="182"/>
      <c r="B111" s="38"/>
      <c r="C111" s="38"/>
      <c r="D111" s="38"/>
      <c r="E111" s="38"/>
      <c r="F111" s="38"/>
      <c r="G111" s="38"/>
      <c r="H111" s="38"/>
      <c r="I111" s="38"/>
      <c r="J111" s="38"/>
      <c r="K111" s="38"/>
      <c r="L111" s="38"/>
      <c r="M111" s="178"/>
      <c r="N111" s="38"/>
      <c r="O111" s="38"/>
      <c r="P111" s="38"/>
      <c r="Q111" s="38"/>
      <c r="R111" s="38"/>
      <c r="S111" s="38"/>
      <c r="T111" s="38"/>
      <c r="U111" s="38"/>
      <c r="V111" s="38"/>
      <c r="W111" s="38"/>
      <c r="X111" s="38"/>
      <c r="Y111" s="38"/>
      <c r="Z111" s="38"/>
      <c r="AA111" s="38"/>
      <c r="AB111" s="38"/>
      <c r="AC111" s="38"/>
      <c r="AD111" s="38"/>
      <c r="AE111" s="178"/>
      <c r="AF111" s="178"/>
      <c r="AG111" s="178"/>
      <c r="AH111" s="178"/>
      <c r="AI111" s="38"/>
      <c r="AJ111" s="38"/>
      <c r="AK111" s="38"/>
      <c r="AL111" s="38"/>
      <c r="AM111" s="179"/>
      <c r="AN111" s="180"/>
      <c r="AO111" s="181"/>
      <c r="AP111" s="180"/>
      <c r="AQ111" s="181"/>
      <c r="AR111" s="183"/>
      <c r="AS111" s="38"/>
      <c r="AT111" s="38"/>
      <c r="AU111" s="38"/>
      <c r="AV111" s="38"/>
      <c r="AW111" s="38"/>
      <c r="AX111" s="38"/>
      <c r="AY111" s="38"/>
      <c r="AZ111" s="38"/>
      <c r="BA111" s="38"/>
      <c r="BB111" s="38"/>
      <c r="BC111" s="38"/>
      <c r="BD111" s="1"/>
      <c r="BE111" s="1"/>
    </row>
    <row r="112" spans="1:57" ht="14.25" customHeight="1" x14ac:dyDescent="0.25">
      <c r="A112" s="182"/>
      <c r="B112" s="38"/>
      <c r="C112" s="38"/>
      <c r="D112" s="38"/>
      <c r="E112" s="38"/>
      <c r="F112" s="38"/>
      <c r="G112" s="38"/>
      <c r="H112" s="38"/>
      <c r="I112" s="38"/>
      <c r="J112" s="38"/>
      <c r="K112" s="38"/>
      <c r="L112" s="38"/>
      <c r="M112" s="178"/>
      <c r="N112" s="38"/>
      <c r="O112" s="38"/>
      <c r="P112" s="38"/>
      <c r="Q112" s="38"/>
      <c r="R112" s="38"/>
      <c r="S112" s="38"/>
      <c r="T112" s="38"/>
      <c r="U112" s="38"/>
      <c r="V112" s="38"/>
      <c r="W112" s="38"/>
      <c r="X112" s="38"/>
      <c r="Y112" s="38"/>
      <c r="Z112" s="38"/>
      <c r="AA112" s="38"/>
      <c r="AB112" s="38"/>
      <c r="AC112" s="38"/>
      <c r="AD112" s="38"/>
      <c r="AE112" s="178"/>
      <c r="AF112" s="178"/>
      <c r="AG112" s="178"/>
      <c r="AH112" s="178"/>
      <c r="AI112" s="38"/>
      <c r="AJ112" s="38"/>
      <c r="AK112" s="38"/>
      <c r="AL112" s="38"/>
      <c r="AM112" s="179"/>
      <c r="AN112" s="180"/>
      <c r="AO112" s="181"/>
      <c r="AP112" s="180"/>
      <c r="AQ112" s="181"/>
      <c r="AR112" s="183"/>
      <c r="AS112" s="38"/>
      <c r="AT112" s="38"/>
      <c r="AU112" s="38"/>
      <c r="AV112" s="38"/>
      <c r="AW112" s="38"/>
      <c r="AX112" s="38"/>
      <c r="AY112" s="38"/>
      <c r="AZ112" s="38"/>
      <c r="BA112" s="38"/>
      <c r="BB112" s="38"/>
      <c r="BC112" s="38"/>
      <c r="BD112" s="1"/>
      <c r="BE112" s="1"/>
    </row>
    <row r="113" spans="1:57" ht="14.25" customHeight="1" x14ac:dyDescent="0.25">
      <c r="A113" s="182"/>
      <c r="B113" s="38"/>
      <c r="C113" s="38"/>
      <c r="D113" s="38"/>
      <c r="E113" s="38"/>
      <c r="F113" s="38"/>
      <c r="G113" s="38"/>
      <c r="H113" s="38"/>
      <c r="I113" s="38"/>
      <c r="J113" s="38"/>
      <c r="K113" s="38"/>
      <c r="L113" s="38"/>
      <c r="M113" s="178"/>
      <c r="N113" s="38"/>
      <c r="O113" s="38"/>
      <c r="P113" s="38"/>
      <c r="Q113" s="38"/>
      <c r="R113" s="38"/>
      <c r="S113" s="38"/>
      <c r="T113" s="38"/>
      <c r="U113" s="38"/>
      <c r="V113" s="38"/>
      <c r="W113" s="38"/>
      <c r="X113" s="38"/>
      <c r="Y113" s="38"/>
      <c r="Z113" s="38"/>
      <c r="AA113" s="38"/>
      <c r="AB113" s="38"/>
      <c r="AC113" s="38"/>
      <c r="AD113" s="38"/>
      <c r="AE113" s="178"/>
      <c r="AF113" s="178"/>
      <c r="AG113" s="178"/>
      <c r="AH113" s="178"/>
      <c r="AI113" s="38"/>
      <c r="AJ113" s="38"/>
      <c r="AK113" s="38"/>
      <c r="AL113" s="38"/>
      <c r="AM113" s="179"/>
      <c r="AN113" s="180"/>
      <c r="AO113" s="181"/>
      <c r="AP113" s="180"/>
      <c r="AQ113" s="181"/>
      <c r="AR113" s="183"/>
      <c r="AS113" s="38"/>
      <c r="AT113" s="38"/>
      <c r="AU113" s="38"/>
      <c r="AV113" s="38"/>
      <c r="AW113" s="38"/>
      <c r="AX113" s="38"/>
      <c r="AY113" s="38"/>
      <c r="AZ113" s="38"/>
      <c r="BA113" s="38"/>
      <c r="BB113" s="38"/>
      <c r="BC113" s="38"/>
      <c r="BD113" s="1"/>
      <c r="BE113" s="1"/>
    </row>
    <row r="114" spans="1:57" ht="14.25" customHeight="1" x14ac:dyDescent="0.25">
      <c r="A114" s="182"/>
      <c r="B114" s="38"/>
      <c r="C114" s="38"/>
      <c r="D114" s="38"/>
      <c r="E114" s="38"/>
      <c r="F114" s="38"/>
      <c r="G114" s="38"/>
      <c r="H114" s="38"/>
      <c r="I114" s="38"/>
      <c r="J114" s="38"/>
      <c r="K114" s="38"/>
      <c r="L114" s="38"/>
      <c r="M114" s="178"/>
      <c r="N114" s="38"/>
      <c r="O114" s="38"/>
      <c r="P114" s="38"/>
      <c r="Q114" s="38"/>
      <c r="R114" s="38"/>
      <c r="S114" s="38"/>
      <c r="T114" s="38"/>
      <c r="U114" s="38"/>
      <c r="V114" s="38"/>
      <c r="W114" s="38"/>
      <c r="X114" s="38"/>
      <c r="Y114" s="38"/>
      <c r="Z114" s="38"/>
      <c r="AA114" s="38"/>
      <c r="AB114" s="38"/>
      <c r="AC114" s="38"/>
      <c r="AD114" s="38"/>
      <c r="AE114" s="178"/>
      <c r="AF114" s="178"/>
      <c r="AG114" s="178"/>
      <c r="AH114" s="178"/>
      <c r="AI114" s="38"/>
      <c r="AJ114" s="38"/>
      <c r="AK114" s="38"/>
      <c r="AL114" s="38"/>
      <c r="AM114" s="179"/>
      <c r="AN114" s="180"/>
      <c r="AO114" s="181"/>
      <c r="AP114" s="180"/>
      <c r="AQ114" s="181"/>
      <c r="AR114" s="183"/>
      <c r="AS114" s="38"/>
      <c r="AT114" s="38"/>
      <c r="AU114" s="38"/>
      <c r="AV114" s="38"/>
      <c r="AW114" s="38"/>
      <c r="AX114" s="38"/>
      <c r="AY114" s="38"/>
      <c r="AZ114" s="38"/>
      <c r="BA114" s="38"/>
      <c r="BB114" s="38"/>
      <c r="BC114" s="38"/>
      <c r="BD114" s="1"/>
      <c r="BE114" s="1"/>
    </row>
    <row r="115" spans="1:57" ht="14.25" customHeight="1" x14ac:dyDescent="0.25">
      <c r="A115" s="182"/>
      <c r="B115" s="38"/>
      <c r="C115" s="38"/>
      <c r="D115" s="38"/>
      <c r="E115" s="38"/>
      <c r="F115" s="38"/>
      <c r="G115" s="38"/>
      <c r="H115" s="38"/>
      <c r="I115" s="38"/>
      <c r="J115" s="38"/>
      <c r="K115" s="38"/>
      <c r="L115" s="38"/>
      <c r="M115" s="178"/>
      <c r="N115" s="38"/>
      <c r="O115" s="38"/>
      <c r="P115" s="38"/>
      <c r="Q115" s="38"/>
      <c r="R115" s="38"/>
      <c r="S115" s="38"/>
      <c r="T115" s="38"/>
      <c r="U115" s="38"/>
      <c r="V115" s="38"/>
      <c r="W115" s="38"/>
      <c r="X115" s="38"/>
      <c r="Y115" s="38"/>
      <c r="Z115" s="38"/>
      <c r="AA115" s="38"/>
      <c r="AB115" s="38"/>
      <c r="AC115" s="38"/>
      <c r="AD115" s="38"/>
      <c r="AE115" s="178"/>
      <c r="AF115" s="178"/>
      <c r="AG115" s="178"/>
      <c r="AH115" s="178"/>
      <c r="AI115" s="38"/>
      <c r="AJ115" s="38"/>
      <c r="AK115" s="38"/>
      <c r="AL115" s="38"/>
      <c r="AM115" s="179"/>
      <c r="AN115" s="180"/>
      <c r="AO115" s="181"/>
      <c r="AP115" s="180"/>
      <c r="AQ115" s="181"/>
      <c r="AR115" s="183"/>
      <c r="AS115" s="38"/>
      <c r="AT115" s="38"/>
      <c r="AU115" s="38"/>
      <c r="AV115" s="38"/>
      <c r="AW115" s="38"/>
      <c r="AX115" s="38"/>
      <c r="AY115" s="38"/>
      <c r="AZ115" s="38"/>
      <c r="BA115" s="38"/>
      <c r="BB115" s="38"/>
      <c r="BC115" s="38"/>
      <c r="BD115" s="1"/>
      <c r="BE115" s="1"/>
    </row>
    <row r="116" spans="1:57" ht="14.25" customHeight="1" x14ac:dyDescent="0.25">
      <c r="A116" s="182"/>
      <c r="B116" s="38"/>
      <c r="C116" s="38"/>
      <c r="D116" s="38"/>
      <c r="E116" s="38"/>
      <c r="F116" s="38"/>
      <c r="G116" s="38"/>
      <c r="H116" s="38"/>
      <c r="I116" s="38"/>
      <c r="J116" s="38"/>
      <c r="K116" s="38"/>
      <c r="L116" s="38"/>
      <c r="M116" s="178"/>
      <c r="N116" s="38"/>
      <c r="O116" s="38"/>
      <c r="P116" s="38"/>
      <c r="Q116" s="38"/>
      <c r="R116" s="38"/>
      <c r="S116" s="38"/>
      <c r="T116" s="38"/>
      <c r="U116" s="38"/>
      <c r="V116" s="38"/>
      <c r="W116" s="38"/>
      <c r="X116" s="38"/>
      <c r="Y116" s="38"/>
      <c r="Z116" s="38"/>
      <c r="AA116" s="38"/>
      <c r="AB116" s="38"/>
      <c r="AC116" s="38"/>
      <c r="AD116" s="38"/>
      <c r="AE116" s="178"/>
      <c r="AF116" s="178"/>
      <c r="AG116" s="178"/>
      <c r="AH116" s="178"/>
      <c r="AI116" s="38"/>
      <c r="AJ116" s="38"/>
      <c r="AK116" s="38"/>
      <c r="AL116" s="38"/>
      <c r="AM116" s="179"/>
      <c r="AN116" s="180"/>
      <c r="AO116" s="181"/>
      <c r="AP116" s="180"/>
      <c r="AQ116" s="181"/>
      <c r="AR116" s="183"/>
      <c r="AS116" s="38"/>
      <c r="AT116" s="38"/>
      <c r="AU116" s="38"/>
      <c r="AV116" s="38"/>
      <c r="AW116" s="38"/>
      <c r="AX116" s="38"/>
      <c r="AY116" s="38"/>
      <c r="AZ116" s="38"/>
      <c r="BA116" s="38"/>
      <c r="BB116" s="38"/>
      <c r="BC116" s="38"/>
      <c r="BD116" s="1"/>
      <c r="BE116" s="1"/>
    </row>
    <row r="117" spans="1:57" ht="14.25" customHeight="1" x14ac:dyDescent="0.25">
      <c r="A117" s="182"/>
      <c r="B117" s="38"/>
      <c r="C117" s="38"/>
      <c r="D117" s="38"/>
      <c r="E117" s="38"/>
      <c r="F117" s="38"/>
      <c r="G117" s="38"/>
      <c r="H117" s="38"/>
      <c r="I117" s="38"/>
      <c r="J117" s="38"/>
      <c r="K117" s="38"/>
      <c r="L117" s="38"/>
      <c r="M117" s="178"/>
      <c r="N117" s="38"/>
      <c r="O117" s="38"/>
      <c r="P117" s="38"/>
      <c r="Q117" s="38"/>
      <c r="R117" s="38"/>
      <c r="S117" s="38"/>
      <c r="T117" s="38"/>
      <c r="U117" s="38"/>
      <c r="V117" s="38"/>
      <c r="W117" s="38"/>
      <c r="X117" s="38"/>
      <c r="Y117" s="38"/>
      <c r="Z117" s="38"/>
      <c r="AA117" s="38"/>
      <c r="AB117" s="38"/>
      <c r="AC117" s="38"/>
      <c r="AD117" s="38"/>
      <c r="AE117" s="178"/>
      <c r="AF117" s="178"/>
      <c r="AG117" s="178"/>
      <c r="AH117" s="178"/>
      <c r="AI117" s="38"/>
      <c r="AJ117" s="38"/>
      <c r="AK117" s="38"/>
      <c r="AL117" s="38"/>
      <c r="AM117" s="179"/>
      <c r="AN117" s="180"/>
      <c r="AO117" s="181"/>
      <c r="AP117" s="180"/>
      <c r="AQ117" s="181"/>
      <c r="AR117" s="183"/>
      <c r="AS117" s="38"/>
      <c r="AT117" s="38"/>
      <c r="AU117" s="38"/>
      <c r="AV117" s="38"/>
      <c r="AW117" s="38"/>
      <c r="AX117" s="38"/>
      <c r="AY117" s="38"/>
      <c r="AZ117" s="38"/>
      <c r="BA117" s="38"/>
      <c r="BB117" s="38"/>
      <c r="BC117" s="38"/>
      <c r="BD117" s="1"/>
      <c r="BE117" s="1"/>
    </row>
    <row r="118" spans="1:57" ht="15.75" customHeight="1" x14ac:dyDescent="0.25"/>
    <row r="119" spans="1:57" ht="15.75" customHeight="1" x14ac:dyDescent="0.25"/>
    <row r="120" spans="1:57" ht="15.75" customHeight="1" x14ac:dyDescent="0.25"/>
    <row r="121" spans="1:57" ht="15.75" customHeight="1" x14ac:dyDescent="0.25"/>
    <row r="122" spans="1:57" ht="15.75" customHeight="1" x14ac:dyDescent="0.25"/>
    <row r="123" spans="1:57" ht="15.75" customHeight="1" x14ac:dyDescent="0.25"/>
    <row r="124" spans="1:57" ht="15.75" customHeight="1" x14ac:dyDescent="0.25"/>
    <row r="125" spans="1:57" ht="15.75" customHeight="1" x14ac:dyDescent="0.25"/>
    <row r="126" spans="1:57" ht="15.75" customHeight="1" x14ac:dyDescent="0.25"/>
    <row r="127" spans="1:57" ht="15.75" customHeight="1" x14ac:dyDescent="0.25"/>
    <row r="128" spans="1:57"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autoFilter ref="A1:BE74" xr:uid="{00000000-0009-0000-0000-000001000000}"/>
  <conditionalFormatting sqref="AR2:AR86">
    <cfRule type="cellIs" dxfId="11" priority="1" operator="equal">
      <formula>"regolare"</formula>
    </cfRule>
    <cfRule type="cellIs" dxfId="10" priority="2" operator="equal">
      <formula>"in scadenza"</formula>
    </cfRule>
    <cfRule type="cellIs" dxfId="9" priority="3" operator="equal">
      <formula>"scaduto"</formula>
    </cfRule>
  </conditionalFormatting>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T1000"/>
  <sheetViews>
    <sheetView workbookViewId="0"/>
  </sheetViews>
  <sheetFormatPr defaultColWidth="14.42578125" defaultRowHeight="15" customHeight="1" x14ac:dyDescent="0.25"/>
  <cols>
    <col min="1" max="1" width="5.5703125" customWidth="1"/>
    <col min="3" max="3" width="27.140625" customWidth="1"/>
    <col min="7" max="7" width="38.42578125" customWidth="1"/>
    <col min="11" max="11" width="26.42578125" customWidth="1"/>
    <col min="12" max="12" width="25.42578125" customWidth="1"/>
    <col min="18" max="18" width="49.85546875" customWidth="1"/>
    <col min="20" max="20" width="49.85546875" customWidth="1"/>
  </cols>
  <sheetData>
    <row r="1" spans="1:20" ht="15" customHeight="1" x14ac:dyDescent="0.25">
      <c r="A1" s="184"/>
      <c r="B1" s="339" t="s">
        <v>2914</v>
      </c>
      <c r="C1" s="334"/>
      <c r="D1" s="335"/>
      <c r="E1" s="185"/>
      <c r="F1" s="186"/>
      <c r="G1" s="185" t="s">
        <v>2915</v>
      </c>
      <c r="H1" s="185"/>
      <c r="I1" s="185"/>
      <c r="J1" s="185"/>
      <c r="K1" s="185"/>
      <c r="L1" s="185"/>
      <c r="M1" s="185"/>
      <c r="N1" s="185"/>
      <c r="O1" s="185"/>
      <c r="P1" s="185"/>
      <c r="Q1" s="185"/>
      <c r="R1" s="185"/>
      <c r="S1" s="185"/>
      <c r="T1" s="185"/>
    </row>
    <row r="2" spans="1:20" x14ac:dyDescent="0.25">
      <c r="A2" s="187"/>
      <c r="B2" s="339" t="s">
        <v>2916</v>
      </c>
      <c r="C2" s="334"/>
      <c r="D2" s="335"/>
      <c r="E2" s="185"/>
      <c r="F2" s="185"/>
      <c r="G2" s="185"/>
      <c r="H2" s="185"/>
      <c r="I2" s="185"/>
      <c r="J2" s="185"/>
      <c r="K2" s="185"/>
      <c r="L2" s="185"/>
      <c r="M2" s="185"/>
      <c r="N2" s="185"/>
      <c r="O2" s="185"/>
      <c r="P2" s="185"/>
      <c r="Q2" s="185"/>
      <c r="R2" s="185"/>
      <c r="S2" s="185"/>
      <c r="T2" s="185"/>
    </row>
    <row r="3" spans="1:20" x14ac:dyDescent="0.25">
      <c r="A3" s="188"/>
      <c r="B3" s="339" t="s">
        <v>2917</v>
      </c>
      <c r="C3" s="334"/>
      <c r="D3" s="335"/>
      <c r="E3" s="185"/>
      <c r="F3" s="185"/>
      <c r="G3" s="185"/>
      <c r="H3" s="185"/>
      <c r="I3" s="185"/>
      <c r="J3" s="185"/>
      <c r="K3" s="185"/>
      <c r="L3" s="185"/>
      <c r="M3" s="185"/>
      <c r="N3" s="185"/>
      <c r="O3" s="185"/>
      <c r="P3" s="185"/>
      <c r="Q3" s="185"/>
      <c r="R3" s="185"/>
      <c r="S3" s="185"/>
      <c r="T3" s="185"/>
    </row>
    <row r="4" spans="1:20" x14ac:dyDescent="0.25">
      <c r="A4" s="185"/>
      <c r="B4" s="185"/>
      <c r="C4" s="185"/>
      <c r="D4" s="185"/>
      <c r="E4" s="185"/>
      <c r="F4" s="185"/>
      <c r="G4" s="185"/>
      <c r="H4" s="185"/>
      <c r="I4" s="185"/>
      <c r="J4" s="185"/>
      <c r="K4" s="185"/>
      <c r="L4" s="185"/>
      <c r="M4" s="185"/>
      <c r="N4" s="185"/>
      <c r="O4" s="185"/>
      <c r="P4" s="185"/>
      <c r="Q4" s="185"/>
      <c r="R4" s="185"/>
      <c r="S4" s="185"/>
      <c r="T4" s="185"/>
    </row>
    <row r="5" spans="1:20" ht="51" customHeight="1" x14ac:dyDescent="0.25">
      <c r="A5" s="15"/>
      <c r="B5" s="15" t="s">
        <v>43</v>
      </c>
      <c r="C5" s="15" t="s">
        <v>2918</v>
      </c>
      <c r="D5" s="15" t="s">
        <v>46</v>
      </c>
      <c r="E5" s="15" t="s">
        <v>47</v>
      </c>
      <c r="F5" s="15" t="s">
        <v>48</v>
      </c>
      <c r="G5" s="15" t="s">
        <v>49</v>
      </c>
      <c r="H5" s="15" t="s">
        <v>50</v>
      </c>
      <c r="I5" s="15" t="s">
        <v>51</v>
      </c>
      <c r="J5" s="15" t="s">
        <v>52</v>
      </c>
      <c r="K5" s="15" t="s">
        <v>53</v>
      </c>
      <c r="L5" s="15" t="s">
        <v>55</v>
      </c>
      <c r="M5" s="18" t="s">
        <v>80</v>
      </c>
      <c r="N5" s="17" t="s">
        <v>81</v>
      </c>
      <c r="O5" s="17" t="s">
        <v>82</v>
      </c>
      <c r="P5" s="17" t="s">
        <v>83</v>
      </c>
      <c r="Q5" s="16" t="s">
        <v>84</v>
      </c>
      <c r="R5" s="15" t="s">
        <v>85</v>
      </c>
      <c r="S5" s="15"/>
      <c r="T5" s="15" t="s">
        <v>2919</v>
      </c>
    </row>
    <row r="6" spans="1:20" ht="14.25" customHeight="1" x14ac:dyDescent="0.25">
      <c r="A6" s="336" t="s">
        <v>2137</v>
      </c>
      <c r="B6" s="334"/>
      <c r="C6" s="334"/>
      <c r="D6" s="334"/>
      <c r="E6" s="334"/>
      <c r="F6" s="334"/>
      <c r="G6" s="334"/>
      <c r="H6" s="334"/>
      <c r="I6" s="334"/>
      <c r="J6" s="334"/>
      <c r="K6" s="334"/>
      <c r="L6" s="334"/>
      <c r="M6" s="334"/>
      <c r="N6" s="334"/>
      <c r="O6" s="334"/>
      <c r="P6" s="334"/>
      <c r="Q6" s="334"/>
      <c r="R6" s="334"/>
      <c r="S6" s="335"/>
    </row>
    <row r="7" spans="1:20" ht="14.25" customHeight="1" x14ac:dyDescent="0.25">
      <c r="A7" s="189"/>
      <c r="B7" s="190" t="s">
        <v>2135</v>
      </c>
      <c r="C7" s="190" t="s">
        <v>1624</v>
      </c>
      <c r="D7" s="191" t="s">
        <v>2136</v>
      </c>
      <c r="E7" s="190" t="s">
        <v>2105</v>
      </c>
      <c r="F7" s="190" t="s">
        <v>2137</v>
      </c>
      <c r="G7" s="190" t="s">
        <v>2138</v>
      </c>
      <c r="H7" s="190" t="s">
        <v>2139</v>
      </c>
      <c r="I7" s="190" t="s">
        <v>2140</v>
      </c>
      <c r="J7" s="190" t="s">
        <v>2141</v>
      </c>
      <c r="K7" s="190"/>
      <c r="L7" s="190" t="s">
        <v>118</v>
      </c>
      <c r="M7" s="47">
        <v>45180</v>
      </c>
      <c r="N7" s="29" t="s">
        <v>2142</v>
      </c>
      <c r="O7" s="29" t="s">
        <v>238</v>
      </c>
      <c r="P7" s="29" t="s">
        <v>239</v>
      </c>
      <c r="Q7" s="29"/>
      <c r="R7" s="192" t="s">
        <v>2920</v>
      </c>
      <c r="S7" s="193"/>
      <c r="T7" s="192"/>
    </row>
    <row r="8" spans="1:20" ht="14.25" customHeight="1" x14ac:dyDescent="0.25">
      <c r="A8" s="333" t="s">
        <v>1793</v>
      </c>
      <c r="B8" s="334"/>
      <c r="C8" s="334"/>
      <c r="D8" s="334"/>
      <c r="E8" s="334"/>
      <c r="F8" s="334"/>
      <c r="G8" s="334"/>
      <c r="H8" s="334"/>
      <c r="I8" s="334"/>
      <c r="J8" s="334"/>
      <c r="K8" s="334"/>
      <c r="L8" s="334"/>
      <c r="M8" s="334"/>
      <c r="N8" s="334"/>
      <c r="O8" s="334"/>
      <c r="P8" s="334"/>
      <c r="Q8" s="334"/>
      <c r="R8" s="334"/>
      <c r="S8" s="335"/>
    </row>
    <row r="9" spans="1:20" ht="14.25" customHeight="1" x14ac:dyDescent="0.25">
      <c r="A9" s="187"/>
      <c r="B9" s="190" t="s">
        <v>1789</v>
      </c>
      <c r="C9" s="190" t="s">
        <v>2921</v>
      </c>
      <c r="D9" s="190"/>
      <c r="E9" s="190" t="s">
        <v>1759</v>
      </c>
      <c r="F9" s="190" t="s">
        <v>1790</v>
      </c>
      <c r="G9" s="190" t="s">
        <v>1791</v>
      </c>
      <c r="H9" s="190" t="s">
        <v>1792</v>
      </c>
      <c r="I9" s="190" t="s">
        <v>1793</v>
      </c>
      <c r="J9" s="190" t="s">
        <v>1794</v>
      </c>
      <c r="K9" s="21"/>
      <c r="L9" s="190" t="s">
        <v>159</v>
      </c>
      <c r="M9" s="28">
        <v>2020</v>
      </c>
      <c r="N9" s="29" t="s">
        <v>1795</v>
      </c>
      <c r="O9" s="29" t="s">
        <v>1113</v>
      </c>
      <c r="P9" s="29" t="s">
        <v>1796</v>
      </c>
      <c r="Q9" s="29"/>
      <c r="R9" s="192" t="s">
        <v>1797</v>
      </c>
      <c r="S9" s="194"/>
      <c r="T9" s="192"/>
    </row>
    <row r="10" spans="1:20" ht="14.25" customHeight="1" x14ac:dyDescent="0.25">
      <c r="A10" s="187"/>
      <c r="B10" s="190" t="s">
        <v>1806</v>
      </c>
      <c r="C10" s="190" t="s">
        <v>2921</v>
      </c>
      <c r="D10" s="190"/>
      <c r="E10" s="190" t="s">
        <v>1759</v>
      </c>
      <c r="F10" s="190" t="s">
        <v>1790</v>
      </c>
      <c r="G10" s="190" t="s">
        <v>1807</v>
      </c>
      <c r="H10" s="190" t="s">
        <v>1808</v>
      </c>
      <c r="I10" s="190" t="s">
        <v>1793</v>
      </c>
      <c r="J10" s="190" t="s">
        <v>1793</v>
      </c>
      <c r="K10" s="190"/>
      <c r="L10" s="190" t="s">
        <v>159</v>
      </c>
      <c r="M10" s="28">
        <v>2021</v>
      </c>
      <c r="N10" s="29" t="s">
        <v>1809</v>
      </c>
      <c r="O10" s="29" t="s">
        <v>1113</v>
      </c>
      <c r="P10" s="29" t="s">
        <v>1796</v>
      </c>
      <c r="Q10" s="29"/>
      <c r="R10" s="192" t="s">
        <v>1797</v>
      </c>
      <c r="S10" s="194"/>
      <c r="T10" s="192"/>
    </row>
    <row r="11" spans="1:20" ht="14.25" customHeight="1" x14ac:dyDescent="0.25">
      <c r="A11" s="187"/>
      <c r="B11" s="195" t="s">
        <v>2569</v>
      </c>
      <c r="C11" s="190" t="s">
        <v>2921</v>
      </c>
      <c r="D11" s="190"/>
      <c r="E11" s="190" t="s">
        <v>211</v>
      </c>
      <c r="F11" s="190" t="s">
        <v>95</v>
      </c>
      <c r="G11" s="190" t="s">
        <v>2570</v>
      </c>
      <c r="H11" s="190" t="s">
        <v>2571</v>
      </c>
      <c r="I11" s="190" t="s">
        <v>1793</v>
      </c>
      <c r="J11" s="190" t="s">
        <v>2572</v>
      </c>
      <c r="K11" s="190"/>
      <c r="L11" s="190" t="s">
        <v>118</v>
      </c>
      <c r="M11" s="47">
        <v>44807</v>
      </c>
      <c r="N11" s="29" t="s">
        <v>2573</v>
      </c>
      <c r="O11" s="29" t="s">
        <v>1113</v>
      </c>
      <c r="P11" s="29" t="s">
        <v>1796</v>
      </c>
      <c r="Q11" s="29"/>
      <c r="R11" s="192" t="s">
        <v>1797</v>
      </c>
      <c r="S11" s="193"/>
      <c r="T11" s="192"/>
    </row>
    <row r="12" spans="1:20" ht="14.25" customHeight="1" x14ac:dyDescent="0.25">
      <c r="A12" s="336" t="s">
        <v>1850</v>
      </c>
      <c r="B12" s="334"/>
      <c r="C12" s="334"/>
      <c r="D12" s="334"/>
      <c r="E12" s="334"/>
      <c r="F12" s="334"/>
      <c r="G12" s="334"/>
      <c r="H12" s="334"/>
      <c r="I12" s="334"/>
      <c r="J12" s="334"/>
      <c r="K12" s="334"/>
      <c r="L12" s="334"/>
      <c r="M12" s="334"/>
      <c r="N12" s="334"/>
      <c r="O12" s="334"/>
      <c r="P12" s="334"/>
      <c r="Q12" s="334"/>
      <c r="R12" s="334"/>
      <c r="S12" s="335"/>
    </row>
    <row r="13" spans="1:20" ht="14.25" customHeight="1" x14ac:dyDescent="0.25">
      <c r="A13" s="188"/>
      <c r="B13" s="190" t="s">
        <v>1846</v>
      </c>
      <c r="C13" s="190" t="s">
        <v>1624</v>
      </c>
      <c r="D13" s="190"/>
      <c r="E13" s="190" t="s">
        <v>1839</v>
      </c>
      <c r="F13" s="190" t="s">
        <v>1847</v>
      </c>
      <c r="G13" s="190" t="s">
        <v>1848</v>
      </c>
      <c r="H13" s="190" t="s">
        <v>1849</v>
      </c>
      <c r="I13" s="190" t="s">
        <v>1850</v>
      </c>
      <c r="J13" s="190" t="s">
        <v>1851</v>
      </c>
      <c r="K13" s="190"/>
      <c r="L13" s="190" t="s">
        <v>159</v>
      </c>
      <c r="M13" s="196"/>
      <c r="N13" s="197" t="s">
        <v>722</v>
      </c>
      <c r="O13" s="197" t="s">
        <v>255</v>
      </c>
      <c r="P13" s="197" t="s">
        <v>626</v>
      </c>
      <c r="Q13" s="197"/>
      <c r="R13" s="198" t="s">
        <v>1852</v>
      </c>
      <c r="S13" s="194"/>
      <c r="T13" s="198"/>
    </row>
    <row r="14" spans="1:20" ht="14.25" customHeight="1" x14ac:dyDescent="0.25">
      <c r="A14" s="189"/>
      <c r="B14" s="190" t="s">
        <v>2621</v>
      </c>
      <c r="C14" s="190" t="s">
        <v>1624</v>
      </c>
      <c r="D14" s="190"/>
      <c r="E14" s="190" t="s">
        <v>2592</v>
      </c>
      <c r="F14" s="190" t="s">
        <v>1850</v>
      </c>
      <c r="G14" s="190" t="s">
        <v>2622</v>
      </c>
      <c r="H14" s="190" t="s">
        <v>2623</v>
      </c>
      <c r="I14" s="190" t="s">
        <v>1850</v>
      </c>
      <c r="J14" s="190" t="s">
        <v>2624</v>
      </c>
      <c r="K14" s="190"/>
      <c r="L14" s="190" t="s">
        <v>159</v>
      </c>
      <c r="M14" s="199">
        <v>45619</v>
      </c>
      <c r="N14" s="197" t="s">
        <v>2625</v>
      </c>
      <c r="O14" s="197" t="s">
        <v>445</v>
      </c>
      <c r="P14" s="200">
        <v>51866</v>
      </c>
      <c r="Q14" s="197" t="s">
        <v>2626</v>
      </c>
      <c r="R14" s="198" t="s">
        <v>2627</v>
      </c>
      <c r="S14" s="194"/>
      <c r="T14" s="198"/>
    </row>
    <row r="15" spans="1:20" x14ac:dyDescent="0.25">
      <c r="A15" s="333" t="s">
        <v>718</v>
      </c>
      <c r="B15" s="334"/>
      <c r="C15" s="334"/>
      <c r="D15" s="334"/>
      <c r="E15" s="334"/>
      <c r="F15" s="334"/>
      <c r="G15" s="334"/>
      <c r="H15" s="334"/>
      <c r="I15" s="334"/>
      <c r="J15" s="334"/>
      <c r="K15" s="334"/>
      <c r="L15" s="334"/>
      <c r="M15" s="334"/>
      <c r="N15" s="334"/>
      <c r="O15" s="334"/>
      <c r="P15" s="334"/>
      <c r="Q15" s="334"/>
      <c r="R15" s="334"/>
      <c r="S15" s="335"/>
    </row>
    <row r="16" spans="1:20" ht="14.25" customHeight="1" x14ac:dyDescent="0.25">
      <c r="A16" s="187"/>
      <c r="B16" s="201" t="s">
        <v>717</v>
      </c>
      <c r="C16" s="190" t="s">
        <v>2922</v>
      </c>
      <c r="D16" s="190"/>
      <c r="E16" s="190" t="s">
        <v>718</v>
      </c>
      <c r="F16" s="190" t="s">
        <v>95</v>
      </c>
      <c r="G16" s="190" t="s">
        <v>719</v>
      </c>
      <c r="H16" s="190" t="s">
        <v>720</v>
      </c>
      <c r="I16" s="190" t="s">
        <v>721</v>
      </c>
      <c r="J16" s="190"/>
      <c r="K16" s="21"/>
      <c r="L16" s="190" t="s">
        <v>253</v>
      </c>
      <c r="M16" s="196"/>
      <c r="N16" s="197" t="s">
        <v>722</v>
      </c>
      <c r="O16" s="197" t="s">
        <v>723</v>
      </c>
      <c r="P16" s="197"/>
      <c r="Q16" s="197"/>
      <c r="R16" s="198"/>
      <c r="S16" s="193"/>
      <c r="T16" s="198"/>
    </row>
    <row r="17" spans="1:20" ht="14.25" customHeight="1" x14ac:dyDescent="0.25">
      <c r="A17" s="187"/>
      <c r="B17" s="195" t="s">
        <v>724</v>
      </c>
      <c r="C17" s="190" t="s">
        <v>2922</v>
      </c>
      <c r="D17" s="202"/>
      <c r="E17" s="195" t="s">
        <v>718</v>
      </c>
      <c r="F17" s="195" t="s">
        <v>95</v>
      </c>
      <c r="G17" s="195" t="s">
        <v>725</v>
      </c>
      <c r="H17" s="195" t="s">
        <v>726</v>
      </c>
      <c r="I17" s="195" t="s">
        <v>721</v>
      </c>
      <c r="J17" s="195" t="s">
        <v>727</v>
      </c>
      <c r="K17" s="31"/>
      <c r="L17" s="195" t="s">
        <v>159</v>
      </c>
      <c r="M17" s="199">
        <v>44674</v>
      </c>
      <c r="N17" s="203" t="s">
        <v>728</v>
      </c>
      <c r="O17" s="197" t="s">
        <v>313</v>
      </c>
      <c r="P17" s="203" t="s">
        <v>544</v>
      </c>
      <c r="Q17" s="197"/>
      <c r="R17" s="198"/>
      <c r="S17" s="194"/>
      <c r="T17" s="198"/>
    </row>
    <row r="18" spans="1:20" ht="14.25" customHeight="1" x14ac:dyDescent="0.25">
      <c r="A18" s="187"/>
      <c r="B18" s="190" t="s">
        <v>733</v>
      </c>
      <c r="C18" s="190" t="s">
        <v>2922</v>
      </c>
      <c r="D18" s="190"/>
      <c r="E18" s="190" t="s">
        <v>718</v>
      </c>
      <c r="F18" s="190" t="s">
        <v>95</v>
      </c>
      <c r="G18" s="190" t="s">
        <v>734</v>
      </c>
      <c r="H18" s="190" t="s">
        <v>735</v>
      </c>
      <c r="I18" s="190" t="s">
        <v>721</v>
      </c>
      <c r="J18" s="190" t="s">
        <v>736</v>
      </c>
      <c r="K18" s="21"/>
      <c r="L18" s="190" t="s">
        <v>118</v>
      </c>
      <c r="M18" s="196"/>
      <c r="N18" s="197" t="s">
        <v>737</v>
      </c>
      <c r="O18" s="197" t="s">
        <v>238</v>
      </c>
      <c r="P18" s="197" t="s">
        <v>544</v>
      </c>
      <c r="Q18" s="197"/>
      <c r="R18" s="198"/>
      <c r="S18" s="194"/>
      <c r="T18" s="198"/>
    </row>
    <row r="19" spans="1:20" ht="14.25" customHeight="1" x14ac:dyDescent="0.25">
      <c r="A19" s="187"/>
      <c r="B19" s="201" t="s">
        <v>738</v>
      </c>
      <c r="C19" s="190" t="s">
        <v>2922</v>
      </c>
      <c r="D19" s="190"/>
      <c r="E19" s="190" t="s">
        <v>718</v>
      </c>
      <c r="F19" s="190" t="s">
        <v>95</v>
      </c>
      <c r="G19" s="190" t="s">
        <v>739</v>
      </c>
      <c r="H19" s="190" t="s">
        <v>740</v>
      </c>
      <c r="I19" s="190" t="s">
        <v>721</v>
      </c>
      <c r="J19" s="190"/>
      <c r="K19" s="21"/>
      <c r="L19" s="190" t="s">
        <v>253</v>
      </c>
      <c r="M19" s="196"/>
      <c r="N19" s="197" t="s">
        <v>722</v>
      </c>
      <c r="O19" s="197" t="s">
        <v>723</v>
      </c>
      <c r="P19" s="197"/>
      <c r="Q19" s="197"/>
      <c r="R19" s="198"/>
      <c r="S19" s="194"/>
      <c r="T19" s="198"/>
    </row>
    <row r="20" spans="1:20" ht="14.25" customHeight="1" x14ac:dyDescent="0.25">
      <c r="A20" s="187"/>
      <c r="B20" s="190" t="s">
        <v>741</v>
      </c>
      <c r="C20" s="190" t="s">
        <v>2922</v>
      </c>
      <c r="D20" s="190"/>
      <c r="E20" s="190" t="s">
        <v>718</v>
      </c>
      <c r="F20" s="190" t="s">
        <v>95</v>
      </c>
      <c r="G20" s="190" t="s">
        <v>742</v>
      </c>
      <c r="H20" s="190" t="s">
        <v>743</v>
      </c>
      <c r="I20" s="190" t="s">
        <v>721</v>
      </c>
      <c r="J20" s="190" t="s">
        <v>744</v>
      </c>
      <c r="K20" s="21" t="s">
        <v>286</v>
      </c>
      <c r="L20" s="190" t="s">
        <v>151</v>
      </c>
      <c r="M20" s="196">
        <v>2017</v>
      </c>
      <c r="N20" s="197" t="s">
        <v>745</v>
      </c>
      <c r="O20" s="197" t="s">
        <v>238</v>
      </c>
      <c r="P20" s="197" t="s">
        <v>544</v>
      </c>
      <c r="Q20" s="197"/>
      <c r="R20" s="204" t="s">
        <v>746</v>
      </c>
      <c r="S20" s="194"/>
      <c r="T20" s="204"/>
    </row>
    <row r="21" spans="1:20" ht="14.25" customHeight="1" x14ac:dyDescent="0.25">
      <c r="A21" s="187"/>
      <c r="B21" s="190" t="s">
        <v>747</v>
      </c>
      <c r="C21" s="190" t="s">
        <v>2922</v>
      </c>
      <c r="D21" s="190"/>
      <c r="E21" s="190" t="s">
        <v>718</v>
      </c>
      <c r="F21" s="190" t="s">
        <v>95</v>
      </c>
      <c r="G21" s="190" t="s">
        <v>748</v>
      </c>
      <c r="H21" s="190" t="s">
        <v>749</v>
      </c>
      <c r="I21" s="190" t="s">
        <v>721</v>
      </c>
      <c r="J21" s="190" t="s">
        <v>750</v>
      </c>
      <c r="K21" s="21" t="s">
        <v>286</v>
      </c>
      <c r="L21" s="190" t="s">
        <v>159</v>
      </c>
      <c r="M21" s="199">
        <v>44674</v>
      </c>
      <c r="N21" s="197" t="s">
        <v>751</v>
      </c>
      <c r="O21" s="197" t="s">
        <v>313</v>
      </c>
      <c r="P21" s="197" t="s">
        <v>544</v>
      </c>
      <c r="Q21" s="197"/>
      <c r="R21" s="198"/>
      <c r="S21" s="194"/>
      <c r="T21" s="198"/>
    </row>
    <row r="22" spans="1:20" ht="14.25" customHeight="1" x14ac:dyDescent="0.25">
      <c r="A22" s="187"/>
      <c r="B22" s="190" t="s">
        <v>752</v>
      </c>
      <c r="C22" s="190" t="s">
        <v>2922</v>
      </c>
      <c r="D22" s="205"/>
      <c r="E22" s="190" t="s">
        <v>718</v>
      </c>
      <c r="F22" s="190" t="s">
        <v>95</v>
      </c>
      <c r="G22" s="190" t="s">
        <v>753</v>
      </c>
      <c r="H22" s="190" t="s">
        <v>754</v>
      </c>
      <c r="I22" s="190" t="s">
        <v>721</v>
      </c>
      <c r="J22" s="190" t="s">
        <v>755</v>
      </c>
      <c r="K22" s="21" t="s">
        <v>286</v>
      </c>
      <c r="L22" s="190" t="s">
        <v>151</v>
      </c>
      <c r="M22" s="196">
        <v>2017</v>
      </c>
      <c r="N22" s="197" t="s">
        <v>756</v>
      </c>
      <c r="O22" s="197" t="s">
        <v>238</v>
      </c>
      <c r="P22" s="197" t="s">
        <v>544</v>
      </c>
      <c r="Q22" s="197"/>
      <c r="R22" s="204" t="s">
        <v>746</v>
      </c>
      <c r="S22" s="194"/>
      <c r="T22" s="204"/>
    </row>
    <row r="23" spans="1:20" ht="14.25" customHeight="1" x14ac:dyDescent="0.25">
      <c r="A23" s="187"/>
      <c r="B23" s="190" t="s">
        <v>757</v>
      </c>
      <c r="C23" s="190" t="s">
        <v>2922</v>
      </c>
      <c r="D23" s="190" t="s">
        <v>758</v>
      </c>
      <c r="E23" s="190" t="s">
        <v>718</v>
      </c>
      <c r="F23" s="190" t="s">
        <v>95</v>
      </c>
      <c r="G23" s="190" t="s">
        <v>759</v>
      </c>
      <c r="H23" s="190" t="s">
        <v>760</v>
      </c>
      <c r="I23" s="190" t="s">
        <v>721</v>
      </c>
      <c r="J23" s="190" t="s">
        <v>761</v>
      </c>
      <c r="K23" s="76" t="s">
        <v>221</v>
      </c>
      <c r="L23" s="190" t="s">
        <v>151</v>
      </c>
      <c r="M23" s="196" t="s">
        <v>92</v>
      </c>
      <c r="N23" s="197" t="s">
        <v>223</v>
      </c>
      <c r="O23" s="197" t="s">
        <v>224</v>
      </c>
      <c r="P23" s="197" t="s">
        <v>225</v>
      </c>
      <c r="Q23" s="197" t="s">
        <v>92</v>
      </c>
      <c r="R23" s="198"/>
      <c r="S23" s="194"/>
      <c r="T23" s="198"/>
    </row>
    <row r="24" spans="1:20" ht="15.75" customHeight="1" x14ac:dyDescent="0.25">
      <c r="A24" s="333" t="s">
        <v>2923</v>
      </c>
      <c r="B24" s="334"/>
      <c r="C24" s="334"/>
      <c r="D24" s="334"/>
      <c r="E24" s="334"/>
      <c r="F24" s="334"/>
      <c r="G24" s="334"/>
      <c r="H24" s="334"/>
      <c r="I24" s="334"/>
      <c r="J24" s="334"/>
      <c r="K24" s="334"/>
      <c r="L24" s="334"/>
      <c r="M24" s="334"/>
      <c r="N24" s="334"/>
      <c r="O24" s="334"/>
      <c r="P24" s="334"/>
      <c r="Q24" s="334"/>
      <c r="R24" s="334"/>
      <c r="S24" s="335"/>
    </row>
    <row r="25" spans="1:20" ht="14.25" customHeight="1" x14ac:dyDescent="0.25">
      <c r="A25" s="187"/>
      <c r="B25" s="190" t="s">
        <v>762</v>
      </c>
      <c r="C25" s="190" t="s">
        <v>2922</v>
      </c>
      <c r="D25" s="190"/>
      <c r="E25" s="190" t="s">
        <v>764</v>
      </c>
      <c r="F25" s="190" t="s">
        <v>95</v>
      </c>
      <c r="G25" s="190" t="s">
        <v>765</v>
      </c>
      <c r="H25" s="190" t="s">
        <v>766</v>
      </c>
      <c r="I25" s="190" t="s">
        <v>767</v>
      </c>
      <c r="J25" s="190" t="s">
        <v>768</v>
      </c>
      <c r="K25" s="76" t="s">
        <v>221</v>
      </c>
      <c r="L25" s="190" t="s">
        <v>151</v>
      </c>
      <c r="M25" s="199">
        <v>45412</v>
      </c>
      <c r="N25" s="197" t="s">
        <v>769</v>
      </c>
      <c r="O25" s="197" t="s">
        <v>224</v>
      </c>
      <c r="P25" s="197" t="s">
        <v>225</v>
      </c>
      <c r="Q25" s="197" t="s">
        <v>92</v>
      </c>
      <c r="R25" s="198"/>
      <c r="S25" s="193"/>
      <c r="T25" s="198"/>
    </row>
    <row r="26" spans="1:20" ht="14.25" customHeight="1" x14ac:dyDescent="0.25">
      <c r="A26" s="187"/>
      <c r="B26" s="195" t="s">
        <v>770</v>
      </c>
      <c r="C26" s="190" t="s">
        <v>2922</v>
      </c>
      <c r="D26" s="195" t="s">
        <v>772</v>
      </c>
      <c r="E26" s="195" t="s">
        <v>764</v>
      </c>
      <c r="F26" s="195" t="s">
        <v>95</v>
      </c>
      <c r="G26" s="195" t="s">
        <v>773</v>
      </c>
      <c r="H26" s="195" t="s">
        <v>774</v>
      </c>
      <c r="I26" s="190" t="s">
        <v>767</v>
      </c>
      <c r="J26" s="195" t="s">
        <v>775</v>
      </c>
      <c r="K26" s="31"/>
      <c r="L26" s="190" t="s">
        <v>151</v>
      </c>
      <c r="M26" s="199">
        <v>45412</v>
      </c>
      <c r="N26" s="197" t="s">
        <v>776</v>
      </c>
      <c r="O26" s="197" t="s">
        <v>255</v>
      </c>
      <c r="P26" s="197" t="s">
        <v>225</v>
      </c>
      <c r="Q26" s="197" t="s">
        <v>92</v>
      </c>
      <c r="R26" s="198"/>
      <c r="S26" s="194"/>
      <c r="T26" s="198"/>
    </row>
    <row r="27" spans="1:20" ht="14.25" customHeight="1" x14ac:dyDescent="0.25">
      <c r="A27" s="187"/>
      <c r="B27" s="190" t="s">
        <v>777</v>
      </c>
      <c r="C27" s="190" t="s">
        <v>2922</v>
      </c>
      <c r="D27" s="190"/>
      <c r="E27" s="195" t="s">
        <v>764</v>
      </c>
      <c r="F27" s="190" t="s">
        <v>95</v>
      </c>
      <c r="G27" s="190" t="s">
        <v>779</v>
      </c>
      <c r="H27" s="190" t="s">
        <v>780</v>
      </c>
      <c r="I27" s="190" t="s">
        <v>767</v>
      </c>
      <c r="J27" s="190" t="s">
        <v>727</v>
      </c>
      <c r="K27" s="21"/>
      <c r="L27" s="190" t="s">
        <v>118</v>
      </c>
      <c r="M27" s="199">
        <v>45412</v>
      </c>
      <c r="N27" s="197" t="s">
        <v>781</v>
      </c>
      <c r="O27" s="197" t="s">
        <v>313</v>
      </c>
      <c r="P27" s="197" t="s">
        <v>544</v>
      </c>
      <c r="Q27" s="197"/>
      <c r="R27" s="198"/>
      <c r="S27" s="194"/>
      <c r="T27" s="198"/>
    </row>
    <row r="28" spans="1:20" ht="14.25" customHeight="1" x14ac:dyDescent="0.25">
      <c r="A28" s="187"/>
      <c r="B28" s="206" t="s">
        <v>782</v>
      </c>
      <c r="C28" s="190" t="s">
        <v>2922</v>
      </c>
      <c r="D28" s="190" t="s">
        <v>784</v>
      </c>
      <c r="E28" s="195" t="s">
        <v>764</v>
      </c>
      <c r="F28" s="190" t="s">
        <v>95</v>
      </c>
      <c r="G28" s="190" t="s">
        <v>785</v>
      </c>
      <c r="H28" s="190" t="s">
        <v>786</v>
      </c>
      <c r="I28" s="195" t="s">
        <v>767</v>
      </c>
      <c r="J28" s="190" t="s">
        <v>727</v>
      </c>
      <c r="K28" s="21"/>
      <c r="L28" s="190" t="s">
        <v>151</v>
      </c>
      <c r="M28" s="199">
        <v>45423</v>
      </c>
      <c r="N28" s="197" t="s">
        <v>787</v>
      </c>
      <c r="O28" s="197" t="s">
        <v>313</v>
      </c>
      <c r="P28" s="197" t="s">
        <v>544</v>
      </c>
      <c r="Q28" s="197"/>
      <c r="R28" s="198"/>
      <c r="S28" s="194"/>
      <c r="T28" s="198"/>
    </row>
    <row r="29" spans="1:20" ht="14.25" customHeight="1" x14ac:dyDescent="0.25">
      <c r="A29" s="187"/>
      <c r="B29" s="201" t="s">
        <v>788</v>
      </c>
      <c r="C29" s="190" t="s">
        <v>2922</v>
      </c>
      <c r="D29" s="190"/>
      <c r="E29" s="195" t="s">
        <v>764</v>
      </c>
      <c r="F29" s="190" t="s">
        <v>95</v>
      </c>
      <c r="G29" s="190" t="s">
        <v>274</v>
      </c>
      <c r="H29" s="190" t="s">
        <v>790</v>
      </c>
      <c r="I29" s="195" t="s">
        <v>767</v>
      </c>
      <c r="J29" s="190" t="s">
        <v>791</v>
      </c>
      <c r="K29" s="21"/>
      <c r="L29" s="190" t="s">
        <v>253</v>
      </c>
      <c r="M29" s="199">
        <v>45424</v>
      </c>
      <c r="N29" s="197" t="s">
        <v>792</v>
      </c>
      <c r="O29" s="197" t="s">
        <v>313</v>
      </c>
      <c r="P29" s="197" t="s">
        <v>544</v>
      </c>
      <c r="Q29" s="197"/>
      <c r="R29" s="198"/>
      <c r="S29" s="194"/>
      <c r="T29" s="198"/>
    </row>
    <row r="30" spans="1:20" ht="14.25" customHeight="1" x14ac:dyDescent="0.25">
      <c r="A30" s="187"/>
      <c r="B30" s="201" t="s">
        <v>793</v>
      </c>
      <c r="C30" s="190" t="s">
        <v>2922</v>
      </c>
      <c r="D30" s="190"/>
      <c r="E30" s="195" t="s">
        <v>764</v>
      </c>
      <c r="F30" s="190" t="s">
        <v>95</v>
      </c>
      <c r="G30" s="190" t="s">
        <v>274</v>
      </c>
      <c r="H30" s="207" t="s">
        <v>794</v>
      </c>
      <c r="I30" s="195" t="s">
        <v>767</v>
      </c>
      <c r="J30" s="190" t="s">
        <v>791</v>
      </c>
      <c r="K30" s="21"/>
      <c r="L30" s="190" t="s">
        <v>253</v>
      </c>
      <c r="M30" s="199">
        <v>45412</v>
      </c>
      <c r="N30" s="197" t="s">
        <v>723</v>
      </c>
      <c r="O30" s="197" t="s">
        <v>313</v>
      </c>
      <c r="P30" s="197" t="s">
        <v>544</v>
      </c>
      <c r="Q30" s="197"/>
      <c r="R30" s="198" t="s">
        <v>795</v>
      </c>
      <c r="S30" s="194"/>
      <c r="T30" s="198"/>
    </row>
    <row r="31" spans="1:20" ht="14.25" customHeight="1" x14ac:dyDescent="0.25">
      <c r="A31" s="187"/>
      <c r="B31" s="190" t="s">
        <v>796</v>
      </c>
      <c r="C31" s="190" t="s">
        <v>2922</v>
      </c>
      <c r="D31" s="190"/>
      <c r="E31" s="195" t="s">
        <v>764</v>
      </c>
      <c r="F31" s="190" t="s">
        <v>95</v>
      </c>
      <c r="G31" s="190" t="s">
        <v>798</v>
      </c>
      <c r="H31" s="190" t="s">
        <v>799</v>
      </c>
      <c r="I31" s="195" t="s">
        <v>767</v>
      </c>
      <c r="J31" s="190" t="s">
        <v>798</v>
      </c>
      <c r="K31" s="76" t="s">
        <v>221</v>
      </c>
      <c r="L31" s="190" t="s">
        <v>151</v>
      </c>
      <c r="M31" s="199">
        <v>45412</v>
      </c>
      <c r="N31" s="197" t="s">
        <v>800</v>
      </c>
      <c r="O31" s="197" t="s">
        <v>224</v>
      </c>
      <c r="P31" s="197" t="s">
        <v>225</v>
      </c>
      <c r="Q31" s="197" t="s">
        <v>92</v>
      </c>
      <c r="R31" s="198"/>
      <c r="S31" s="194"/>
      <c r="T31" s="198"/>
    </row>
    <row r="32" spans="1:20" ht="14.25" customHeight="1" x14ac:dyDescent="0.25">
      <c r="A32" s="187"/>
      <c r="B32" s="190" t="s">
        <v>801</v>
      </c>
      <c r="C32" s="190" t="s">
        <v>2922</v>
      </c>
      <c r="D32" s="190"/>
      <c r="E32" s="195" t="s">
        <v>764</v>
      </c>
      <c r="F32" s="190" t="s">
        <v>95</v>
      </c>
      <c r="G32" s="190" t="s">
        <v>802</v>
      </c>
      <c r="H32" s="190" t="s">
        <v>803</v>
      </c>
      <c r="I32" s="195" t="s">
        <v>767</v>
      </c>
      <c r="J32" s="190" t="s">
        <v>798</v>
      </c>
      <c r="K32" s="76" t="s">
        <v>221</v>
      </c>
      <c r="L32" s="190" t="s">
        <v>151</v>
      </c>
      <c r="M32" s="199">
        <v>45412</v>
      </c>
      <c r="N32" s="197" t="s">
        <v>223</v>
      </c>
      <c r="O32" s="197" t="s">
        <v>224</v>
      </c>
      <c r="P32" s="197" t="s">
        <v>225</v>
      </c>
      <c r="Q32" s="197" t="s">
        <v>92</v>
      </c>
      <c r="R32" s="198"/>
      <c r="S32" s="194"/>
      <c r="T32" s="198"/>
    </row>
    <row r="33" spans="1:20" ht="14.25" customHeight="1" x14ac:dyDescent="0.25">
      <c r="A33" s="187"/>
      <c r="B33" s="201" t="s">
        <v>804</v>
      </c>
      <c r="C33" s="190" t="s">
        <v>2922</v>
      </c>
      <c r="D33" s="190"/>
      <c r="E33" s="195" t="s">
        <v>764</v>
      </c>
      <c r="F33" s="190" t="s">
        <v>95</v>
      </c>
      <c r="G33" s="190" t="s">
        <v>806</v>
      </c>
      <c r="H33" s="190" t="s">
        <v>807</v>
      </c>
      <c r="I33" s="195" t="s">
        <v>767</v>
      </c>
      <c r="J33" s="190" t="s">
        <v>727</v>
      </c>
      <c r="K33" s="21"/>
      <c r="L33" s="190" t="s">
        <v>253</v>
      </c>
      <c r="M33" s="199">
        <v>45412</v>
      </c>
      <c r="N33" s="197" t="s">
        <v>808</v>
      </c>
      <c r="O33" s="197" t="s">
        <v>313</v>
      </c>
      <c r="P33" s="197"/>
      <c r="Q33" s="197"/>
      <c r="R33" s="198"/>
      <c r="S33" s="194"/>
      <c r="T33" s="198"/>
    </row>
    <row r="34" spans="1:20" ht="14.25" customHeight="1" x14ac:dyDescent="0.25">
      <c r="A34" s="187"/>
      <c r="B34" s="190" t="s">
        <v>809</v>
      </c>
      <c r="C34" s="190" t="s">
        <v>2922</v>
      </c>
      <c r="D34" s="190"/>
      <c r="E34" s="195" t="s">
        <v>764</v>
      </c>
      <c r="F34" s="190" t="s">
        <v>95</v>
      </c>
      <c r="G34" s="190" t="s">
        <v>811</v>
      </c>
      <c r="H34" s="190" t="s">
        <v>812</v>
      </c>
      <c r="I34" s="195" t="s">
        <v>767</v>
      </c>
      <c r="J34" s="190" t="s">
        <v>775</v>
      </c>
      <c r="K34" s="21"/>
      <c r="L34" s="190" t="s">
        <v>151</v>
      </c>
      <c r="M34" s="199">
        <v>45412</v>
      </c>
      <c r="N34" s="197" t="s">
        <v>813</v>
      </c>
      <c r="O34" s="197" t="s">
        <v>255</v>
      </c>
      <c r="P34" s="197" t="s">
        <v>225</v>
      </c>
      <c r="Q34" s="197" t="s">
        <v>92</v>
      </c>
      <c r="R34" s="198"/>
      <c r="S34" s="194"/>
      <c r="T34" s="198"/>
    </row>
    <row r="35" spans="1:20" ht="14.25" customHeight="1" x14ac:dyDescent="0.25">
      <c r="A35" s="187"/>
      <c r="B35" s="190" t="s">
        <v>814</v>
      </c>
      <c r="C35" s="190" t="s">
        <v>2922</v>
      </c>
      <c r="D35" s="190"/>
      <c r="E35" s="195" t="s">
        <v>764</v>
      </c>
      <c r="F35" s="190" t="s">
        <v>95</v>
      </c>
      <c r="G35" s="190" t="s">
        <v>816</v>
      </c>
      <c r="H35" s="190" t="s">
        <v>817</v>
      </c>
      <c r="I35" s="195" t="s">
        <v>767</v>
      </c>
      <c r="J35" s="190" t="s">
        <v>818</v>
      </c>
      <c r="K35" s="21"/>
      <c r="L35" s="190" t="s">
        <v>151</v>
      </c>
      <c r="M35" s="199">
        <v>45446</v>
      </c>
      <c r="N35" s="197" t="s">
        <v>819</v>
      </c>
      <c r="O35" s="197" t="s">
        <v>255</v>
      </c>
      <c r="P35" s="197" t="s">
        <v>225</v>
      </c>
      <c r="Q35" s="197" t="s">
        <v>92</v>
      </c>
      <c r="R35" s="198"/>
      <c r="S35" s="194"/>
      <c r="T35" s="198"/>
    </row>
    <row r="36" spans="1:20" ht="14.25" customHeight="1" x14ac:dyDescent="0.25">
      <c r="A36" s="187"/>
      <c r="B36" s="190" t="s">
        <v>820</v>
      </c>
      <c r="C36" s="190" t="s">
        <v>2922</v>
      </c>
      <c r="D36" s="190"/>
      <c r="E36" s="195" t="s">
        <v>764</v>
      </c>
      <c r="F36" s="190" t="s">
        <v>95</v>
      </c>
      <c r="G36" s="190" t="s">
        <v>822</v>
      </c>
      <c r="H36" s="190" t="s">
        <v>823</v>
      </c>
      <c r="I36" s="195" t="s">
        <v>767</v>
      </c>
      <c r="J36" s="190" t="s">
        <v>768</v>
      </c>
      <c r="K36" s="76" t="s">
        <v>221</v>
      </c>
      <c r="L36" s="190" t="s">
        <v>151</v>
      </c>
      <c r="M36" s="199">
        <v>45412</v>
      </c>
      <c r="N36" s="197" t="s">
        <v>824</v>
      </c>
      <c r="O36" s="197" t="s">
        <v>224</v>
      </c>
      <c r="P36" s="197" t="s">
        <v>225</v>
      </c>
      <c r="Q36" s="197" t="s">
        <v>92</v>
      </c>
      <c r="R36" s="198"/>
      <c r="S36" s="194"/>
      <c r="T36" s="198"/>
    </row>
    <row r="37" spans="1:20" ht="14.25" customHeight="1" x14ac:dyDescent="0.25">
      <c r="A37" s="187"/>
      <c r="B37" s="190" t="s">
        <v>825</v>
      </c>
      <c r="C37" s="190" t="s">
        <v>2922</v>
      </c>
      <c r="D37" s="190" t="s">
        <v>827</v>
      </c>
      <c r="E37" s="195" t="s">
        <v>764</v>
      </c>
      <c r="F37" s="190" t="s">
        <v>95</v>
      </c>
      <c r="G37" s="190" t="s">
        <v>828</v>
      </c>
      <c r="H37" s="190" t="s">
        <v>829</v>
      </c>
      <c r="I37" s="195" t="s">
        <v>767</v>
      </c>
      <c r="J37" s="190" t="s">
        <v>775</v>
      </c>
      <c r="K37" s="21"/>
      <c r="L37" s="190" t="s">
        <v>151</v>
      </c>
      <c r="M37" s="199">
        <v>45412</v>
      </c>
      <c r="N37" s="197" t="s">
        <v>830</v>
      </c>
      <c r="O37" s="197" t="s">
        <v>255</v>
      </c>
      <c r="P37" s="197" t="s">
        <v>225</v>
      </c>
      <c r="Q37" s="197" t="s">
        <v>92</v>
      </c>
      <c r="R37" s="198"/>
      <c r="S37" s="194"/>
      <c r="T37" s="198"/>
    </row>
    <row r="38" spans="1:20" ht="14.25" customHeight="1" x14ac:dyDescent="0.25">
      <c r="A38" s="187"/>
      <c r="B38" s="190" t="s">
        <v>831</v>
      </c>
      <c r="C38" s="190" t="s">
        <v>2922</v>
      </c>
      <c r="D38" s="190"/>
      <c r="E38" s="195" t="s">
        <v>764</v>
      </c>
      <c r="F38" s="190" t="s">
        <v>95</v>
      </c>
      <c r="G38" s="190" t="s">
        <v>833</v>
      </c>
      <c r="H38" s="190" t="s">
        <v>834</v>
      </c>
      <c r="I38" s="190" t="s">
        <v>767</v>
      </c>
      <c r="J38" s="190" t="s">
        <v>835</v>
      </c>
      <c r="K38" s="21"/>
      <c r="L38" s="190" t="s">
        <v>159</v>
      </c>
      <c r="M38" s="199">
        <v>45412</v>
      </c>
      <c r="N38" s="197" t="s">
        <v>836</v>
      </c>
      <c r="O38" s="197" t="s">
        <v>238</v>
      </c>
      <c r="P38" s="197" t="s">
        <v>544</v>
      </c>
      <c r="Q38" s="197"/>
      <c r="R38" s="198"/>
      <c r="S38" s="194"/>
      <c r="T38" s="198"/>
    </row>
    <row r="39" spans="1:20" ht="14.25" customHeight="1" x14ac:dyDescent="0.25">
      <c r="A39" s="187"/>
      <c r="B39" s="190" t="s">
        <v>837</v>
      </c>
      <c r="C39" s="190" t="s">
        <v>2922</v>
      </c>
      <c r="D39" s="190"/>
      <c r="E39" s="195" t="s">
        <v>764</v>
      </c>
      <c r="F39" s="190" t="s">
        <v>95</v>
      </c>
      <c r="G39" s="190" t="s">
        <v>839</v>
      </c>
      <c r="H39" s="190" t="s">
        <v>840</v>
      </c>
      <c r="I39" s="190" t="s">
        <v>767</v>
      </c>
      <c r="J39" s="190" t="s">
        <v>835</v>
      </c>
      <c r="K39" s="21"/>
      <c r="L39" s="190" t="s">
        <v>151</v>
      </c>
      <c r="M39" s="199">
        <v>45451</v>
      </c>
      <c r="N39" s="197" t="s">
        <v>841</v>
      </c>
      <c r="O39" s="197" t="s">
        <v>238</v>
      </c>
      <c r="P39" s="197" t="s">
        <v>544</v>
      </c>
      <c r="Q39" s="197"/>
      <c r="R39" s="198"/>
      <c r="S39" s="194"/>
      <c r="T39" s="198"/>
    </row>
    <row r="40" spans="1:20" ht="14.25" customHeight="1" x14ac:dyDescent="0.25">
      <c r="A40" s="187"/>
      <c r="B40" s="190" t="s">
        <v>842</v>
      </c>
      <c r="C40" s="190" t="s">
        <v>2922</v>
      </c>
      <c r="D40" s="190"/>
      <c r="E40" s="195" t="s">
        <v>764</v>
      </c>
      <c r="F40" s="190" t="s">
        <v>95</v>
      </c>
      <c r="G40" s="190" t="s">
        <v>844</v>
      </c>
      <c r="H40" s="190" t="s">
        <v>845</v>
      </c>
      <c r="I40" s="190" t="s">
        <v>767</v>
      </c>
      <c r="J40" s="190" t="s">
        <v>846</v>
      </c>
      <c r="K40" s="21"/>
      <c r="L40" s="190" t="s">
        <v>159</v>
      </c>
      <c r="M40" s="199">
        <v>45412</v>
      </c>
      <c r="N40" s="197" t="s">
        <v>847</v>
      </c>
      <c r="O40" s="197" t="s">
        <v>313</v>
      </c>
      <c r="P40" s="197" t="s">
        <v>544</v>
      </c>
      <c r="Q40" s="197"/>
      <c r="R40" s="198"/>
      <c r="S40" s="194"/>
      <c r="T40" s="198"/>
    </row>
    <row r="41" spans="1:20" ht="15.75" customHeight="1" x14ac:dyDescent="0.25">
      <c r="A41" s="336" t="s">
        <v>2271</v>
      </c>
      <c r="B41" s="334"/>
      <c r="C41" s="334"/>
      <c r="D41" s="334"/>
      <c r="E41" s="334"/>
      <c r="F41" s="334"/>
      <c r="G41" s="334"/>
      <c r="H41" s="334"/>
      <c r="I41" s="334"/>
      <c r="J41" s="334"/>
      <c r="K41" s="334"/>
      <c r="L41" s="334"/>
      <c r="M41" s="334"/>
      <c r="N41" s="334"/>
      <c r="O41" s="334"/>
      <c r="P41" s="334"/>
      <c r="Q41" s="334"/>
      <c r="R41" s="334"/>
      <c r="S41" s="335"/>
    </row>
    <row r="42" spans="1:20" ht="14.25" customHeight="1" x14ac:dyDescent="0.25">
      <c r="A42" s="187"/>
      <c r="B42" s="190" t="s">
        <v>2269</v>
      </c>
      <c r="C42" s="190" t="s">
        <v>1624</v>
      </c>
      <c r="D42" s="190"/>
      <c r="E42" s="190" t="s">
        <v>2245</v>
      </c>
      <c r="F42" s="190" t="s">
        <v>2271</v>
      </c>
      <c r="G42" s="190" t="s">
        <v>2272</v>
      </c>
      <c r="H42" s="190" t="s">
        <v>2273</v>
      </c>
      <c r="I42" s="190" t="s">
        <v>2274</v>
      </c>
      <c r="J42" s="190" t="s">
        <v>2249</v>
      </c>
      <c r="K42" s="21"/>
      <c r="L42" s="190" t="s">
        <v>151</v>
      </c>
      <c r="M42" s="47">
        <v>45536</v>
      </c>
      <c r="N42" s="29" t="s">
        <v>2275</v>
      </c>
      <c r="O42" s="29" t="s">
        <v>445</v>
      </c>
      <c r="P42" s="29" t="s">
        <v>239</v>
      </c>
      <c r="Q42" s="26"/>
      <c r="R42" s="192" t="s">
        <v>2276</v>
      </c>
      <c r="S42" s="194"/>
      <c r="T42" s="192"/>
    </row>
    <row r="43" spans="1:20" ht="15.75" customHeight="1" x14ac:dyDescent="0.25">
      <c r="A43" s="333" t="s">
        <v>2924</v>
      </c>
      <c r="B43" s="334"/>
      <c r="C43" s="334"/>
      <c r="D43" s="334"/>
      <c r="E43" s="334"/>
      <c r="F43" s="334"/>
      <c r="G43" s="334"/>
      <c r="H43" s="334"/>
      <c r="I43" s="334"/>
      <c r="J43" s="334"/>
      <c r="K43" s="334"/>
      <c r="L43" s="334"/>
      <c r="M43" s="334"/>
      <c r="N43" s="334"/>
      <c r="O43" s="334"/>
      <c r="P43" s="334"/>
      <c r="Q43" s="334"/>
      <c r="R43" s="334"/>
      <c r="S43" s="335"/>
    </row>
    <row r="44" spans="1:20" ht="14.25" customHeight="1" x14ac:dyDescent="0.25">
      <c r="A44" s="187"/>
      <c r="B44" s="190" t="s">
        <v>1719</v>
      </c>
      <c r="C44" s="190" t="s">
        <v>2921</v>
      </c>
      <c r="D44" s="190"/>
      <c r="E44" s="190" t="s">
        <v>1713</v>
      </c>
      <c r="F44" s="190" t="s">
        <v>1720</v>
      </c>
      <c r="G44" s="190" t="s">
        <v>1721</v>
      </c>
      <c r="H44" s="190" t="s">
        <v>1722</v>
      </c>
      <c r="I44" s="190" t="s">
        <v>1723</v>
      </c>
      <c r="J44" s="190" t="s">
        <v>1724</v>
      </c>
      <c r="K44" s="190"/>
      <c r="L44" s="190" t="s">
        <v>151</v>
      </c>
      <c r="M44" s="47">
        <v>44807</v>
      </c>
      <c r="N44" s="29" t="s">
        <v>1725</v>
      </c>
      <c r="O44" s="29" t="s">
        <v>238</v>
      </c>
      <c r="P44" s="29"/>
      <c r="Q44" s="29"/>
      <c r="R44" s="192" t="s">
        <v>1726</v>
      </c>
      <c r="S44" s="194"/>
      <c r="T44" s="192"/>
    </row>
    <row r="45" spans="1:20" ht="14.25" customHeight="1" x14ac:dyDescent="0.25">
      <c r="A45" s="187"/>
      <c r="B45" s="190" t="s">
        <v>1727</v>
      </c>
      <c r="C45" s="190" t="s">
        <v>2921</v>
      </c>
      <c r="D45" s="190"/>
      <c r="E45" s="190" t="s">
        <v>1713</v>
      </c>
      <c r="F45" s="190" t="s">
        <v>1720</v>
      </c>
      <c r="G45" s="190" t="s">
        <v>1728</v>
      </c>
      <c r="H45" s="190" t="s">
        <v>1729</v>
      </c>
      <c r="I45" s="190" t="s">
        <v>1723</v>
      </c>
      <c r="J45" s="190" t="s">
        <v>1724</v>
      </c>
      <c r="K45" s="190"/>
      <c r="L45" s="190" t="s">
        <v>118</v>
      </c>
      <c r="M45" s="28">
        <v>2020</v>
      </c>
      <c r="N45" s="29" t="s">
        <v>1730</v>
      </c>
      <c r="O45" s="29" t="s">
        <v>238</v>
      </c>
      <c r="P45" s="29"/>
      <c r="Q45" s="29"/>
      <c r="R45" s="192" t="s">
        <v>1731</v>
      </c>
      <c r="S45" s="194"/>
      <c r="T45" s="192"/>
    </row>
    <row r="46" spans="1:20" ht="15.75" customHeight="1" x14ac:dyDescent="0.25">
      <c r="A46" s="333" t="s">
        <v>2925</v>
      </c>
      <c r="B46" s="334"/>
      <c r="C46" s="334"/>
      <c r="D46" s="334"/>
      <c r="E46" s="334"/>
      <c r="F46" s="334"/>
      <c r="G46" s="334"/>
      <c r="H46" s="334"/>
      <c r="I46" s="334"/>
      <c r="J46" s="334"/>
      <c r="K46" s="334"/>
      <c r="L46" s="334"/>
      <c r="M46" s="334"/>
      <c r="N46" s="334"/>
      <c r="O46" s="334"/>
      <c r="P46" s="334"/>
      <c r="Q46" s="334"/>
      <c r="R46" s="334"/>
      <c r="S46" s="335"/>
    </row>
    <row r="47" spans="1:20" ht="14.25" customHeight="1" x14ac:dyDescent="0.25">
      <c r="A47" s="189"/>
      <c r="B47" s="190" t="s">
        <v>2590</v>
      </c>
      <c r="C47" s="190" t="s">
        <v>1624</v>
      </c>
      <c r="D47" s="190"/>
      <c r="E47" s="190" t="s">
        <v>2592</v>
      </c>
      <c r="F47" s="190" t="s">
        <v>2593</v>
      </c>
      <c r="G47" s="190" t="s">
        <v>2594</v>
      </c>
      <c r="H47" s="190" t="s">
        <v>2595</v>
      </c>
      <c r="I47" s="190" t="s">
        <v>2593</v>
      </c>
      <c r="J47" s="190" t="s">
        <v>2596</v>
      </c>
      <c r="K47" s="190"/>
      <c r="L47" s="190" t="s">
        <v>159</v>
      </c>
      <c r="M47" s="208" t="s">
        <v>2597</v>
      </c>
      <c r="N47" s="203" t="s">
        <v>2598</v>
      </c>
      <c r="O47" s="197" t="s">
        <v>445</v>
      </c>
      <c r="P47" s="209">
        <v>50036</v>
      </c>
      <c r="Q47" s="197" t="s">
        <v>2599</v>
      </c>
      <c r="R47" s="198" t="s">
        <v>2600</v>
      </c>
      <c r="S47" s="194"/>
      <c r="T47" s="198"/>
    </row>
    <row r="48" spans="1:20" ht="14.25" customHeight="1" x14ac:dyDescent="0.25">
      <c r="A48" s="189"/>
      <c r="B48" s="190" t="s">
        <v>2601</v>
      </c>
      <c r="C48" s="190" t="s">
        <v>1624</v>
      </c>
      <c r="D48" s="205"/>
      <c r="E48" s="190" t="s">
        <v>2592</v>
      </c>
      <c r="F48" s="190" t="s">
        <v>2603</v>
      </c>
      <c r="G48" s="190" t="s">
        <v>2604</v>
      </c>
      <c r="H48" s="190" t="s">
        <v>2605</v>
      </c>
      <c r="I48" s="190" t="s">
        <v>2593</v>
      </c>
      <c r="J48" s="190" t="s">
        <v>2603</v>
      </c>
      <c r="K48" s="190"/>
      <c r="L48" s="190" t="s">
        <v>159</v>
      </c>
      <c r="M48" s="208" t="s">
        <v>2597</v>
      </c>
      <c r="N48" s="197" t="s">
        <v>2606</v>
      </c>
      <c r="O48" s="197" t="s">
        <v>445</v>
      </c>
      <c r="P48" s="209">
        <v>50036</v>
      </c>
      <c r="Q48" s="197" t="s">
        <v>2599</v>
      </c>
      <c r="R48" s="198" t="s">
        <v>2600</v>
      </c>
      <c r="S48" s="193"/>
      <c r="T48" s="198"/>
    </row>
    <row r="49" spans="1:20" ht="14.25" customHeight="1" x14ac:dyDescent="0.25">
      <c r="A49" s="189"/>
      <c r="B49" s="195" t="s">
        <v>2607</v>
      </c>
      <c r="C49" s="190" t="s">
        <v>1624</v>
      </c>
      <c r="D49" s="195"/>
      <c r="E49" s="195" t="s">
        <v>2592</v>
      </c>
      <c r="F49" s="190" t="s">
        <v>95</v>
      </c>
      <c r="G49" s="195" t="s">
        <v>2594</v>
      </c>
      <c r="H49" s="190" t="s">
        <v>2609</v>
      </c>
      <c r="I49" s="195" t="s">
        <v>2593</v>
      </c>
      <c r="J49" s="195" t="s">
        <v>2596</v>
      </c>
      <c r="K49" s="195"/>
      <c r="L49" s="190" t="s">
        <v>151</v>
      </c>
      <c r="M49" s="208" t="s">
        <v>2597</v>
      </c>
      <c r="N49" s="203" t="s">
        <v>2610</v>
      </c>
      <c r="O49" s="197" t="s">
        <v>445</v>
      </c>
      <c r="P49" s="209">
        <v>50036</v>
      </c>
      <c r="Q49" s="197" t="s">
        <v>2599</v>
      </c>
      <c r="R49" s="198" t="s">
        <v>2600</v>
      </c>
      <c r="S49" s="194"/>
      <c r="T49" s="198"/>
    </row>
    <row r="50" spans="1:20" ht="14.25" customHeight="1" x14ac:dyDescent="0.25">
      <c r="A50" s="189"/>
      <c r="B50" s="190" t="s">
        <v>2611</v>
      </c>
      <c r="C50" s="190" t="s">
        <v>1624</v>
      </c>
      <c r="D50" s="190"/>
      <c r="E50" s="190" t="s">
        <v>2592</v>
      </c>
      <c r="F50" s="190" t="s">
        <v>2593</v>
      </c>
      <c r="G50" s="190" t="s">
        <v>2613</v>
      </c>
      <c r="H50" s="190" t="s">
        <v>2614</v>
      </c>
      <c r="I50" s="190" t="s">
        <v>2593</v>
      </c>
      <c r="J50" s="190" t="s">
        <v>2593</v>
      </c>
      <c r="K50" s="190"/>
      <c r="L50" s="190" t="s">
        <v>159</v>
      </c>
      <c r="M50" s="208" t="s">
        <v>2597</v>
      </c>
      <c r="N50" s="197" t="s">
        <v>2615</v>
      </c>
      <c r="O50" s="197" t="s">
        <v>445</v>
      </c>
      <c r="P50" s="209">
        <v>50036</v>
      </c>
      <c r="Q50" s="197" t="s">
        <v>2599</v>
      </c>
      <c r="R50" s="198" t="s">
        <v>2600</v>
      </c>
      <c r="S50" s="194"/>
      <c r="T50" s="198"/>
    </row>
    <row r="51" spans="1:20" ht="14.25" customHeight="1" x14ac:dyDescent="0.25">
      <c r="A51" s="189"/>
      <c r="B51" s="190" t="s">
        <v>2616</v>
      </c>
      <c r="C51" s="190" t="s">
        <v>1624</v>
      </c>
      <c r="D51" s="190"/>
      <c r="E51" s="190" t="s">
        <v>2592</v>
      </c>
      <c r="F51" s="190" t="s">
        <v>2593</v>
      </c>
      <c r="G51" s="190" t="s">
        <v>2618</v>
      </c>
      <c r="H51" s="190" t="s">
        <v>2619</v>
      </c>
      <c r="I51" s="190" t="s">
        <v>2593</v>
      </c>
      <c r="J51" s="190" t="s">
        <v>2593</v>
      </c>
      <c r="K51" s="190"/>
      <c r="L51" s="190" t="s">
        <v>159</v>
      </c>
      <c r="M51" s="208" t="s">
        <v>2597</v>
      </c>
      <c r="N51" s="197" t="s">
        <v>2620</v>
      </c>
      <c r="O51" s="197" t="s">
        <v>445</v>
      </c>
      <c r="P51" s="209">
        <v>50036</v>
      </c>
      <c r="Q51" s="197" t="s">
        <v>2599</v>
      </c>
      <c r="R51" s="198" t="s">
        <v>2600</v>
      </c>
      <c r="S51" s="194"/>
      <c r="T51" s="198"/>
    </row>
    <row r="52" spans="1:20" ht="14.25" customHeight="1" x14ac:dyDescent="0.25">
      <c r="A52" s="189"/>
      <c r="B52" s="190" t="s">
        <v>2628</v>
      </c>
      <c r="C52" s="190" t="s">
        <v>1624</v>
      </c>
      <c r="D52" s="190"/>
      <c r="E52" s="190" t="s">
        <v>2592</v>
      </c>
      <c r="F52" s="190" t="s">
        <v>95</v>
      </c>
      <c r="G52" s="190" t="s">
        <v>2630</v>
      </c>
      <c r="H52" s="190" t="s">
        <v>2631</v>
      </c>
      <c r="I52" s="190" t="s">
        <v>2593</v>
      </c>
      <c r="J52" s="190" t="s">
        <v>2632</v>
      </c>
      <c r="K52" s="190"/>
      <c r="L52" s="190" t="s">
        <v>151</v>
      </c>
      <c r="M52" s="208" t="s">
        <v>2597</v>
      </c>
      <c r="N52" s="197" t="s">
        <v>2633</v>
      </c>
      <c r="O52" s="197" t="s">
        <v>445</v>
      </c>
      <c r="P52" s="209">
        <v>50036</v>
      </c>
      <c r="Q52" s="197" t="s">
        <v>2599</v>
      </c>
      <c r="R52" s="198" t="s">
        <v>2600</v>
      </c>
      <c r="S52" s="194"/>
      <c r="T52" s="198"/>
    </row>
    <row r="53" spans="1:20" ht="14.25" customHeight="1" x14ac:dyDescent="0.25">
      <c r="A53" s="189"/>
      <c r="B53" s="190" t="s">
        <v>2634</v>
      </c>
      <c r="C53" s="190" t="s">
        <v>1624</v>
      </c>
      <c r="D53" s="190"/>
      <c r="E53" s="190" t="s">
        <v>2592</v>
      </c>
      <c r="F53" s="190" t="s">
        <v>95</v>
      </c>
      <c r="G53" s="190" t="s">
        <v>2630</v>
      </c>
      <c r="H53" s="190" t="s">
        <v>2636</v>
      </c>
      <c r="I53" s="190" t="s">
        <v>2593</v>
      </c>
      <c r="J53" s="190" t="s">
        <v>2632</v>
      </c>
      <c r="K53" s="190"/>
      <c r="L53" s="190" t="s">
        <v>151</v>
      </c>
      <c r="M53" s="208" t="s">
        <v>2597</v>
      </c>
      <c r="N53" s="197" t="s">
        <v>2637</v>
      </c>
      <c r="O53" s="197" t="s">
        <v>445</v>
      </c>
      <c r="P53" s="209">
        <v>50036</v>
      </c>
      <c r="Q53" s="197" t="s">
        <v>2599</v>
      </c>
      <c r="R53" s="198" t="s">
        <v>2600</v>
      </c>
      <c r="S53" s="194"/>
      <c r="T53" s="198"/>
    </row>
    <row r="54" spans="1:20" ht="14.25" customHeight="1" x14ac:dyDescent="0.25">
      <c r="A54" s="189"/>
      <c r="B54" s="190" t="s">
        <v>2638</v>
      </c>
      <c r="C54" s="190" t="s">
        <v>1624</v>
      </c>
      <c r="D54" s="190"/>
      <c r="E54" s="190" t="s">
        <v>2592</v>
      </c>
      <c r="F54" s="190" t="s">
        <v>95</v>
      </c>
      <c r="G54" s="190" t="s">
        <v>2640</v>
      </c>
      <c r="H54" s="190" t="s">
        <v>2641</v>
      </c>
      <c r="I54" s="190" t="s">
        <v>2593</v>
      </c>
      <c r="J54" s="190" t="s">
        <v>2642</v>
      </c>
      <c r="K54" s="190"/>
      <c r="L54" s="190" t="s">
        <v>151</v>
      </c>
      <c r="M54" s="208" t="s">
        <v>2597</v>
      </c>
      <c r="N54" s="197"/>
      <c r="O54" s="197" t="s">
        <v>445</v>
      </c>
      <c r="P54" s="209">
        <v>50036</v>
      </c>
      <c r="Q54" s="197" t="s">
        <v>2599</v>
      </c>
      <c r="R54" s="198" t="s">
        <v>2600</v>
      </c>
      <c r="S54" s="194"/>
      <c r="T54" s="198"/>
    </row>
    <row r="55" spans="1:20" ht="14.25" customHeight="1" x14ac:dyDescent="0.25">
      <c r="A55" s="189"/>
      <c r="B55" s="190" t="s">
        <v>2649</v>
      </c>
      <c r="C55" s="190" t="s">
        <v>1624</v>
      </c>
      <c r="D55" s="190"/>
      <c r="E55" s="190" t="s">
        <v>2592</v>
      </c>
      <c r="F55" s="190" t="s">
        <v>2593</v>
      </c>
      <c r="G55" s="190" t="s">
        <v>2651</v>
      </c>
      <c r="H55" s="194" t="s">
        <v>2652</v>
      </c>
      <c r="I55" s="190" t="s">
        <v>2593</v>
      </c>
      <c r="J55" s="190" t="s">
        <v>2653</v>
      </c>
      <c r="K55" s="190"/>
      <c r="L55" s="190" t="s">
        <v>159</v>
      </c>
      <c r="M55" s="208" t="s">
        <v>2597</v>
      </c>
      <c r="N55" s="197" t="s">
        <v>2654</v>
      </c>
      <c r="O55" s="197" t="s">
        <v>445</v>
      </c>
      <c r="P55" s="209">
        <v>50036</v>
      </c>
      <c r="Q55" s="197" t="s">
        <v>2599</v>
      </c>
      <c r="R55" s="198" t="s">
        <v>2600</v>
      </c>
      <c r="S55" s="194"/>
      <c r="T55" s="198"/>
    </row>
    <row r="56" spans="1:20" ht="14.25" customHeight="1" x14ac:dyDescent="0.25">
      <c r="A56" s="189"/>
      <c r="B56" s="190" t="s">
        <v>2655</v>
      </c>
      <c r="C56" s="190" t="s">
        <v>1624</v>
      </c>
      <c r="D56" s="210" t="s">
        <v>2657</v>
      </c>
      <c r="E56" s="190" t="s">
        <v>2592</v>
      </c>
      <c r="F56" s="190" t="s">
        <v>2658</v>
      </c>
      <c r="G56" s="190" t="s">
        <v>2618</v>
      </c>
      <c r="H56" s="194" t="s">
        <v>2659</v>
      </c>
      <c r="I56" s="190" t="s">
        <v>2593</v>
      </c>
      <c r="J56" s="190" t="s">
        <v>2593</v>
      </c>
      <c r="K56" s="190"/>
      <c r="L56" s="190" t="s">
        <v>159</v>
      </c>
      <c r="M56" s="208" t="s">
        <v>2597</v>
      </c>
      <c r="N56" s="211" t="s">
        <v>2660</v>
      </c>
      <c r="O56" s="197" t="s">
        <v>445</v>
      </c>
      <c r="P56" s="209">
        <v>50036</v>
      </c>
      <c r="Q56" s="197" t="s">
        <v>2599</v>
      </c>
      <c r="R56" s="198" t="s">
        <v>2600</v>
      </c>
      <c r="S56" s="194"/>
      <c r="T56" s="198"/>
    </row>
    <row r="57" spans="1:20" ht="14.25" customHeight="1" x14ac:dyDescent="0.25">
      <c r="A57" s="189"/>
      <c r="B57" s="190" t="s">
        <v>2661</v>
      </c>
      <c r="C57" s="190" t="s">
        <v>1624</v>
      </c>
      <c r="D57" s="190"/>
      <c r="E57" s="190" t="s">
        <v>2592</v>
      </c>
      <c r="F57" s="190" t="s">
        <v>95</v>
      </c>
      <c r="G57" s="190" t="s">
        <v>2663</v>
      </c>
      <c r="H57" s="190" t="s">
        <v>2664</v>
      </c>
      <c r="I57" s="190" t="s">
        <v>2593</v>
      </c>
      <c r="J57" s="190" t="s">
        <v>2665</v>
      </c>
      <c r="K57" s="21"/>
      <c r="L57" s="190" t="s">
        <v>159</v>
      </c>
      <c r="M57" s="208" t="s">
        <v>2597</v>
      </c>
      <c r="N57" s="197" t="s">
        <v>2666</v>
      </c>
      <c r="O57" s="197" t="s">
        <v>445</v>
      </c>
      <c r="P57" s="209">
        <v>50036</v>
      </c>
      <c r="Q57" s="197" t="s">
        <v>2599</v>
      </c>
      <c r="R57" s="198" t="s">
        <v>2600</v>
      </c>
      <c r="S57" s="194"/>
      <c r="T57" s="198"/>
    </row>
    <row r="58" spans="1:20" ht="15.75" customHeight="1" x14ac:dyDescent="0.25">
      <c r="A58" s="336" t="s">
        <v>2926</v>
      </c>
      <c r="B58" s="334"/>
      <c r="C58" s="334"/>
      <c r="D58" s="334"/>
      <c r="E58" s="334"/>
      <c r="F58" s="334"/>
      <c r="G58" s="334"/>
      <c r="H58" s="334"/>
      <c r="I58" s="334"/>
      <c r="J58" s="334"/>
      <c r="K58" s="334"/>
      <c r="L58" s="334"/>
      <c r="M58" s="334"/>
      <c r="N58" s="334"/>
      <c r="O58" s="334"/>
      <c r="P58" s="334"/>
      <c r="Q58" s="334"/>
      <c r="R58" s="334"/>
      <c r="S58" s="335"/>
      <c r="T58" s="207" t="s">
        <v>2927</v>
      </c>
    </row>
    <row r="59" spans="1:20" ht="14.25" customHeight="1" x14ac:dyDescent="0.25">
      <c r="A59" s="189"/>
      <c r="B59" s="190" t="s">
        <v>2063</v>
      </c>
      <c r="C59" s="190" t="s">
        <v>1624</v>
      </c>
      <c r="D59" s="190" t="s">
        <v>2065</v>
      </c>
      <c r="E59" s="190" t="s">
        <v>177</v>
      </c>
      <c r="F59" s="190" t="s">
        <v>178</v>
      </c>
      <c r="G59" s="190" t="s">
        <v>822</v>
      </c>
      <c r="H59" s="190" t="s">
        <v>2066</v>
      </c>
      <c r="I59" s="190" t="s">
        <v>178</v>
      </c>
      <c r="J59" s="190" t="s">
        <v>2067</v>
      </c>
      <c r="K59" s="212" t="s">
        <v>221</v>
      </c>
      <c r="L59" s="190" t="s">
        <v>151</v>
      </c>
      <c r="M59" s="196"/>
      <c r="N59" s="213" t="s">
        <v>2928</v>
      </c>
      <c r="O59" s="197" t="s">
        <v>224</v>
      </c>
      <c r="P59" s="197" t="s">
        <v>225</v>
      </c>
      <c r="Q59" s="197" t="s">
        <v>92</v>
      </c>
      <c r="R59" s="198"/>
      <c r="S59" s="193"/>
      <c r="T59" s="198"/>
    </row>
    <row r="60" spans="1:20" ht="14.25" customHeight="1" x14ac:dyDescent="0.25">
      <c r="A60" s="189"/>
      <c r="B60" s="195" t="s">
        <v>2069</v>
      </c>
      <c r="C60" s="190" t="s">
        <v>1624</v>
      </c>
      <c r="D60" s="195"/>
      <c r="E60" s="195" t="s">
        <v>177</v>
      </c>
      <c r="F60" s="195" t="s">
        <v>178</v>
      </c>
      <c r="G60" s="195" t="s">
        <v>2071</v>
      </c>
      <c r="H60" s="190" t="s">
        <v>2072</v>
      </c>
      <c r="I60" s="195" t="s">
        <v>178</v>
      </c>
      <c r="J60" s="195" t="s">
        <v>2073</v>
      </c>
      <c r="K60" s="195"/>
      <c r="L60" s="190" t="s">
        <v>159</v>
      </c>
      <c r="M60" s="208"/>
      <c r="N60" s="213" t="s">
        <v>2928</v>
      </c>
      <c r="O60" s="197" t="s">
        <v>1113</v>
      </c>
      <c r="P60" s="203" t="s">
        <v>239</v>
      </c>
      <c r="Q60" s="197"/>
      <c r="R60" s="198" t="s">
        <v>2075</v>
      </c>
      <c r="S60" s="194"/>
      <c r="T60" s="198"/>
    </row>
    <row r="61" spans="1:20" ht="14.25" customHeight="1" x14ac:dyDescent="0.25">
      <c r="A61" s="189"/>
      <c r="B61" s="206" t="s">
        <v>2076</v>
      </c>
      <c r="C61" s="190" t="s">
        <v>1624</v>
      </c>
      <c r="D61" s="190"/>
      <c r="E61" s="190" t="s">
        <v>177</v>
      </c>
      <c r="F61" s="190" t="s">
        <v>178</v>
      </c>
      <c r="G61" s="190" t="s">
        <v>779</v>
      </c>
      <c r="H61" s="190" t="s">
        <v>2079</v>
      </c>
      <c r="I61" s="190" t="s">
        <v>178</v>
      </c>
      <c r="J61" s="190" t="s">
        <v>2080</v>
      </c>
      <c r="K61" s="21"/>
      <c r="L61" s="190" t="s">
        <v>118</v>
      </c>
      <c r="M61" s="196"/>
      <c r="N61" s="213" t="s">
        <v>2928</v>
      </c>
      <c r="O61" s="197" t="s">
        <v>1113</v>
      </c>
      <c r="P61" s="197" t="s">
        <v>239</v>
      </c>
      <c r="Q61" s="29"/>
      <c r="R61" s="198" t="s">
        <v>2075</v>
      </c>
      <c r="S61" s="194"/>
      <c r="T61" s="198"/>
    </row>
    <row r="62" spans="1:20" ht="15.75" customHeight="1" x14ac:dyDescent="0.25">
      <c r="A62" s="337" t="s">
        <v>2248</v>
      </c>
      <c r="B62" s="334"/>
      <c r="C62" s="334"/>
      <c r="D62" s="334"/>
      <c r="E62" s="334"/>
      <c r="F62" s="334"/>
      <c r="G62" s="334"/>
      <c r="H62" s="334"/>
      <c r="I62" s="334"/>
      <c r="J62" s="334"/>
      <c r="K62" s="334"/>
      <c r="L62" s="334"/>
      <c r="M62" s="334"/>
      <c r="N62" s="334"/>
      <c r="O62" s="334"/>
      <c r="P62" s="334"/>
      <c r="Q62" s="334"/>
      <c r="R62" s="334"/>
      <c r="S62" s="335"/>
      <c r="T62" s="207" t="s">
        <v>2929</v>
      </c>
    </row>
    <row r="63" spans="1:20" ht="14.25" customHeight="1" x14ac:dyDescent="0.25">
      <c r="A63" s="187"/>
      <c r="B63" s="206" t="s">
        <v>2243</v>
      </c>
      <c r="C63" s="190" t="s">
        <v>1624</v>
      </c>
      <c r="D63" s="190" t="s">
        <v>2244</v>
      </c>
      <c r="E63" s="190" t="s">
        <v>2245</v>
      </c>
      <c r="F63" s="190" t="s">
        <v>95</v>
      </c>
      <c r="G63" s="190" t="s">
        <v>2246</v>
      </c>
      <c r="H63" s="190" t="s">
        <v>2247</v>
      </c>
      <c r="I63" s="190" t="s">
        <v>2248</v>
      </c>
      <c r="J63" s="190" t="s">
        <v>2249</v>
      </c>
      <c r="K63" s="190"/>
      <c r="L63" s="190" t="s">
        <v>159</v>
      </c>
      <c r="M63" s="28"/>
      <c r="N63" s="29" t="s">
        <v>723</v>
      </c>
      <c r="O63" s="29" t="s">
        <v>445</v>
      </c>
      <c r="P63" s="29" t="s">
        <v>544</v>
      </c>
      <c r="Q63" s="29"/>
      <c r="R63" s="192"/>
      <c r="S63" s="194"/>
      <c r="T63" s="192"/>
    </row>
    <row r="64" spans="1:20" ht="14.25" customHeight="1" x14ac:dyDescent="0.25">
      <c r="A64" s="187"/>
      <c r="B64" s="206" t="s">
        <v>2254</v>
      </c>
      <c r="C64" s="190" t="s">
        <v>2930</v>
      </c>
      <c r="D64" s="190" t="s">
        <v>2255</v>
      </c>
      <c r="E64" s="190" t="s">
        <v>2245</v>
      </c>
      <c r="F64" s="190" t="s">
        <v>95</v>
      </c>
      <c r="G64" s="190" t="s">
        <v>2256</v>
      </c>
      <c r="H64" s="190" t="s">
        <v>2257</v>
      </c>
      <c r="I64" s="190" t="s">
        <v>2248</v>
      </c>
      <c r="J64" s="190" t="s">
        <v>2258</v>
      </c>
      <c r="K64" s="190"/>
      <c r="L64" s="190" t="s">
        <v>151</v>
      </c>
      <c r="M64" s="28"/>
      <c r="N64" s="29" t="s">
        <v>723</v>
      </c>
      <c r="O64" s="29" t="s">
        <v>255</v>
      </c>
      <c r="P64" s="197" t="s">
        <v>626</v>
      </c>
      <c r="Q64" s="29"/>
      <c r="R64" s="192"/>
      <c r="S64" s="193"/>
      <c r="T64" s="192"/>
    </row>
    <row r="65" spans="1:20" ht="14.25" customHeight="1" x14ac:dyDescent="0.25">
      <c r="A65" s="187"/>
      <c r="B65" s="195" t="s">
        <v>2259</v>
      </c>
      <c r="C65" s="190" t="s">
        <v>1624</v>
      </c>
      <c r="D65" s="195" t="s">
        <v>2931</v>
      </c>
      <c r="E65" s="195" t="s">
        <v>2245</v>
      </c>
      <c r="F65" s="195" t="s">
        <v>95</v>
      </c>
      <c r="G65" s="195" t="s">
        <v>2256</v>
      </c>
      <c r="H65" s="190" t="s">
        <v>2261</v>
      </c>
      <c r="I65" s="195" t="s">
        <v>2248</v>
      </c>
      <c r="J65" s="195" t="s">
        <v>2258</v>
      </c>
      <c r="K65" s="195"/>
      <c r="L65" s="195" t="s">
        <v>151</v>
      </c>
      <c r="M65" s="35"/>
      <c r="N65" s="29" t="s">
        <v>723</v>
      </c>
      <c r="O65" s="29" t="s">
        <v>255</v>
      </c>
      <c r="P65" s="197" t="s">
        <v>626</v>
      </c>
      <c r="Q65" s="29"/>
      <c r="R65" s="192"/>
      <c r="S65" s="194"/>
      <c r="T65" s="192"/>
    </row>
    <row r="66" spans="1:20" ht="14.25" customHeight="1" x14ac:dyDescent="0.25">
      <c r="A66" s="187"/>
      <c r="B66" s="190" t="s">
        <v>2265</v>
      </c>
      <c r="C66" s="190" t="s">
        <v>1624</v>
      </c>
      <c r="D66" s="190" t="s">
        <v>2932</v>
      </c>
      <c r="E66" s="190" t="s">
        <v>2245</v>
      </c>
      <c r="F66" s="190" t="s">
        <v>95</v>
      </c>
      <c r="G66" s="190" t="s">
        <v>2267</v>
      </c>
      <c r="H66" s="190" t="s">
        <v>2268</v>
      </c>
      <c r="I66" s="190" t="s">
        <v>2248</v>
      </c>
      <c r="J66" s="190" t="s">
        <v>2258</v>
      </c>
      <c r="K66" s="190"/>
      <c r="L66" s="190" t="s">
        <v>159</v>
      </c>
      <c r="M66" s="28"/>
      <c r="N66" s="29" t="s">
        <v>723</v>
      </c>
      <c r="O66" s="29" t="s">
        <v>255</v>
      </c>
      <c r="P66" s="197" t="s">
        <v>626</v>
      </c>
      <c r="Q66" s="29"/>
      <c r="R66" s="192"/>
      <c r="S66" s="194"/>
      <c r="T66" s="192"/>
    </row>
    <row r="67" spans="1:20" ht="14.25" customHeight="1" x14ac:dyDescent="0.25">
      <c r="A67" s="187"/>
      <c r="B67" s="190" t="s">
        <v>2277</v>
      </c>
      <c r="C67" s="190" t="s">
        <v>1624</v>
      </c>
      <c r="D67" s="190"/>
      <c r="E67" s="190" t="s">
        <v>2245</v>
      </c>
      <c r="F67" s="190" t="s">
        <v>95</v>
      </c>
      <c r="G67" s="190" t="s">
        <v>2279</v>
      </c>
      <c r="H67" s="190" t="s">
        <v>2280</v>
      </c>
      <c r="I67" s="190" t="s">
        <v>2248</v>
      </c>
      <c r="J67" s="190" t="s">
        <v>2258</v>
      </c>
      <c r="K67" s="190"/>
      <c r="L67" s="190" t="s">
        <v>151</v>
      </c>
      <c r="M67" s="47">
        <v>45536</v>
      </c>
      <c r="N67" s="29" t="s">
        <v>2281</v>
      </c>
      <c r="O67" s="29" t="s">
        <v>255</v>
      </c>
      <c r="P67" s="197" t="s">
        <v>626</v>
      </c>
      <c r="Q67" s="26"/>
      <c r="R67" s="192"/>
      <c r="S67" s="194"/>
      <c r="T67" s="192"/>
    </row>
    <row r="68" spans="1:20" ht="14.25" customHeight="1" x14ac:dyDescent="0.25">
      <c r="A68" s="187"/>
      <c r="B68" s="190" t="s">
        <v>2282</v>
      </c>
      <c r="C68" s="214" t="s">
        <v>1624</v>
      </c>
      <c r="D68" s="190"/>
      <c r="E68" s="190" t="s">
        <v>2245</v>
      </c>
      <c r="F68" s="190" t="s">
        <v>95</v>
      </c>
      <c r="G68" s="190" t="s">
        <v>2283</v>
      </c>
      <c r="H68" s="190" t="s">
        <v>2284</v>
      </c>
      <c r="I68" s="190" t="s">
        <v>2248</v>
      </c>
      <c r="J68" s="190" t="s">
        <v>2258</v>
      </c>
      <c r="K68" s="190"/>
      <c r="L68" s="190" t="s">
        <v>151</v>
      </c>
      <c r="M68" s="28"/>
      <c r="N68" s="29" t="s">
        <v>723</v>
      </c>
      <c r="O68" s="29" t="s">
        <v>255</v>
      </c>
      <c r="P68" s="197" t="s">
        <v>626</v>
      </c>
      <c r="Q68" s="29"/>
      <c r="R68" s="192"/>
      <c r="S68" s="193"/>
      <c r="T68" s="192"/>
    </row>
    <row r="69" spans="1:20" ht="14.25" customHeight="1" x14ac:dyDescent="0.25">
      <c r="A69" s="187"/>
      <c r="B69" s="215" t="s">
        <v>2285</v>
      </c>
      <c r="C69" s="190" t="s">
        <v>1624</v>
      </c>
      <c r="D69" s="216"/>
      <c r="E69" s="195" t="s">
        <v>2245</v>
      </c>
      <c r="F69" s="195" t="s">
        <v>95</v>
      </c>
      <c r="G69" s="195" t="s">
        <v>2287</v>
      </c>
      <c r="H69" s="190" t="s">
        <v>2288</v>
      </c>
      <c r="I69" s="195" t="s">
        <v>2248</v>
      </c>
      <c r="J69" s="195" t="s">
        <v>2258</v>
      </c>
      <c r="K69" s="195"/>
      <c r="L69" s="190" t="s">
        <v>151</v>
      </c>
      <c r="M69" s="46">
        <v>45536</v>
      </c>
      <c r="N69" s="36" t="s">
        <v>2289</v>
      </c>
      <c r="O69" s="29" t="s">
        <v>255</v>
      </c>
      <c r="P69" s="197" t="s">
        <v>626</v>
      </c>
      <c r="Q69" s="29"/>
      <c r="R69" s="192"/>
      <c r="S69" s="194"/>
      <c r="T69" s="192"/>
    </row>
    <row r="70" spans="1:20" ht="14.25" customHeight="1" x14ac:dyDescent="0.25">
      <c r="A70" s="187"/>
      <c r="B70" s="217" t="s">
        <v>2290</v>
      </c>
      <c r="C70" s="190" t="s">
        <v>2930</v>
      </c>
      <c r="D70" s="218" t="s">
        <v>2291</v>
      </c>
      <c r="E70" s="190" t="s">
        <v>2245</v>
      </c>
      <c r="F70" s="195" t="s">
        <v>2292</v>
      </c>
      <c r="G70" s="190" t="s">
        <v>2293</v>
      </c>
      <c r="H70" s="190" t="s">
        <v>2294</v>
      </c>
      <c r="I70" s="195" t="s">
        <v>2248</v>
      </c>
      <c r="J70" s="190" t="s">
        <v>2249</v>
      </c>
      <c r="K70" s="190"/>
      <c r="L70" s="190" t="s">
        <v>151</v>
      </c>
      <c r="M70" s="28"/>
      <c r="N70" s="29" t="s">
        <v>723</v>
      </c>
      <c r="O70" s="29" t="s">
        <v>445</v>
      </c>
      <c r="P70" s="29" t="s">
        <v>544</v>
      </c>
      <c r="Q70" s="29"/>
      <c r="R70" s="192"/>
      <c r="S70" s="194"/>
      <c r="T70" s="192"/>
    </row>
    <row r="71" spans="1:20" ht="14.25" customHeight="1" x14ac:dyDescent="0.25">
      <c r="A71" s="187"/>
      <c r="B71" s="219" t="s">
        <v>2295</v>
      </c>
      <c r="C71" s="190" t="s">
        <v>1624</v>
      </c>
      <c r="D71" s="218" t="s">
        <v>2296</v>
      </c>
      <c r="E71" s="190" t="s">
        <v>2245</v>
      </c>
      <c r="F71" s="190" t="s">
        <v>2292</v>
      </c>
      <c r="G71" s="190" t="s">
        <v>2297</v>
      </c>
      <c r="H71" s="190" t="s">
        <v>2298</v>
      </c>
      <c r="I71" s="195" t="s">
        <v>2248</v>
      </c>
      <c r="J71" s="190" t="s">
        <v>2258</v>
      </c>
      <c r="K71" s="190"/>
      <c r="L71" s="190" t="s">
        <v>151</v>
      </c>
      <c r="M71" s="28"/>
      <c r="N71" s="29" t="s">
        <v>723</v>
      </c>
      <c r="O71" s="29" t="s">
        <v>255</v>
      </c>
      <c r="P71" s="197" t="s">
        <v>626</v>
      </c>
      <c r="Q71" s="29"/>
      <c r="R71" s="192"/>
      <c r="S71" s="194"/>
      <c r="T71" s="192"/>
    </row>
    <row r="72" spans="1:20" ht="15.75" customHeight="1" x14ac:dyDescent="0.25">
      <c r="A72" s="338" t="s">
        <v>2933</v>
      </c>
      <c r="B72" s="334"/>
      <c r="C72" s="334"/>
      <c r="D72" s="334"/>
      <c r="E72" s="334"/>
      <c r="F72" s="334"/>
      <c r="G72" s="334"/>
      <c r="H72" s="334"/>
      <c r="I72" s="334"/>
      <c r="J72" s="334"/>
      <c r="K72" s="334"/>
      <c r="L72" s="334"/>
      <c r="M72" s="334"/>
      <c r="N72" s="334"/>
      <c r="O72" s="334"/>
      <c r="P72" s="334"/>
      <c r="Q72" s="334"/>
      <c r="R72" s="334"/>
      <c r="S72" s="335"/>
    </row>
    <row r="73" spans="1:20" ht="14.25" customHeight="1" x14ac:dyDescent="0.25">
      <c r="A73" s="187"/>
      <c r="B73" s="190" t="s">
        <v>1874</v>
      </c>
      <c r="C73" s="190" t="s">
        <v>1624</v>
      </c>
      <c r="D73" s="190"/>
      <c r="E73" s="190" t="s">
        <v>1875</v>
      </c>
      <c r="F73" s="190" t="s">
        <v>1876</v>
      </c>
      <c r="G73" s="190" t="s">
        <v>1877</v>
      </c>
      <c r="H73" s="190" t="s">
        <v>1878</v>
      </c>
      <c r="I73" s="190" t="s">
        <v>1879</v>
      </c>
      <c r="J73" s="190" t="s">
        <v>1880</v>
      </c>
      <c r="K73" s="190"/>
      <c r="L73" s="190" t="s">
        <v>151</v>
      </c>
      <c r="M73" s="67">
        <v>44561</v>
      </c>
      <c r="N73" s="197" t="s">
        <v>1881</v>
      </c>
      <c r="O73" s="197" t="s">
        <v>313</v>
      </c>
      <c r="P73" s="197" t="s">
        <v>544</v>
      </c>
      <c r="Q73" s="197"/>
      <c r="R73" s="198" t="s">
        <v>1882</v>
      </c>
      <c r="S73" s="220" t="s">
        <v>2934</v>
      </c>
      <c r="T73" s="198"/>
    </row>
    <row r="74" spans="1:20" ht="14.25" customHeight="1" x14ac:dyDescent="0.25">
      <c r="A74" s="187"/>
      <c r="B74" s="190" t="s">
        <v>1890</v>
      </c>
      <c r="C74" s="190" t="s">
        <v>1624</v>
      </c>
      <c r="D74" s="190"/>
      <c r="E74" s="190" t="s">
        <v>1875</v>
      </c>
      <c r="F74" s="190" t="s">
        <v>1891</v>
      </c>
      <c r="G74" s="190" t="s">
        <v>1892</v>
      </c>
      <c r="H74" s="190" t="s">
        <v>1893</v>
      </c>
      <c r="I74" s="190" t="s">
        <v>1879</v>
      </c>
      <c r="J74" s="190" t="s">
        <v>1894</v>
      </c>
      <c r="K74" s="212" t="s">
        <v>221</v>
      </c>
      <c r="L74" s="190" t="s">
        <v>151</v>
      </c>
      <c r="M74" s="196" t="s">
        <v>92</v>
      </c>
      <c r="N74" s="197" t="s">
        <v>1895</v>
      </c>
      <c r="O74" s="197" t="s">
        <v>224</v>
      </c>
      <c r="P74" s="197" t="s">
        <v>225</v>
      </c>
      <c r="Q74" s="197" t="s">
        <v>92</v>
      </c>
      <c r="R74" s="198"/>
      <c r="S74" s="220" t="s">
        <v>2934</v>
      </c>
      <c r="T74" s="198"/>
    </row>
    <row r="75" spans="1:20" ht="14.25" customHeight="1" x14ac:dyDescent="0.25">
      <c r="A75" s="187"/>
      <c r="B75" s="190" t="s">
        <v>1896</v>
      </c>
      <c r="C75" s="190" t="s">
        <v>1624</v>
      </c>
      <c r="D75" s="190" t="s">
        <v>1897</v>
      </c>
      <c r="E75" s="190" t="s">
        <v>1875</v>
      </c>
      <c r="F75" s="190" t="s">
        <v>1891</v>
      </c>
      <c r="G75" s="190" t="s">
        <v>1898</v>
      </c>
      <c r="H75" s="190" t="s">
        <v>1899</v>
      </c>
      <c r="I75" s="190" t="s">
        <v>1879</v>
      </c>
      <c r="J75" s="190" t="s">
        <v>1894</v>
      </c>
      <c r="K75" s="212" t="s">
        <v>221</v>
      </c>
      <c r="L75" s="190" t="s">
        <v>151</v>
      </c>
      <c r="M75" s="196" t="s">
        <v>92</v>
      </c>
      <c r="N75" s="197" t="s">
        <v>1900</v>
      </c>
      <c r="O75" s="197" t="s">
        <v>224</v>
      </c>
      <c r="P75" s="197" t="s">
        <v>225</v>
      </c>
      <c r="Q75" s="197" t="s">
        <v>92</v>
      </c>
      <c r="R75" s="198"/>
      <c r="S75" s="220" t="s">
        <v>2934</v>
      </c>
      <c r="T75" s="198"/>
    </row>
    <row r="76" spans="1:20" ht="14.25" customHeight="1" x14ac:dyDescent="0.25">
      <c r="A76" s="187"/>
      <c r="B76" s="190" t="s">
        <v>1901</v>
      </c>
      <c r="C76" s="190" t="s">
        <v>1624</v>
      </c>
      <c r="D76" s="190"/>
      <c r="E76" s="190" t="s">
        <v>1875</v>
      </c>
      <c r="F76" s="190" t="s">
        <v>1891</v>
      </c>
      <c r="G76" s="190" t="s">
        <v>1902</v>
      </c>
      <c r="H76" s="190" t="s">
        <v>1903</v>
      </c>
      <c r="I76" s="190" t="s">
        <v>1879</v>
      </c>
      <c r="J76" s="190" t="s">
        <v>1904</v>
      </c>
      <c r="K76" s="190"/>
      <c r="L76" s="190" t="s">
        <v>159</v>
      </c>
      <c r="M76" s="221"/>
      <c r="N76" s="197" t="s">
        <v>723</v>
      </c>
      <c r="O76" s="197" t="s">
        <v>238</v>
      </c>
      <c r="P76" s="197" t="s">
        <v>544</v>
      </c>
      <c r="Q76" s="197"/>
      <c r="R76" s="198" t="s">
        <v>1882</v>
      </c>
      <c r="S76" s="220" t="s">
        <v>2934</v>
      </c>
      <c r="T76" s="198"/>
    </row>
    <row r="77" spans="1:20" ht="14.25" customHeight="1" x14ac:dyDescent="0.25">
      <c r="A77" s="187"/>
      <c r="B77" s="190" t="s">
        <v>1914</v>
      </c>
      <c r="C77" s="190" t="s">
        <v>1624</v>
      </c>
      <c r="D77" s="190"/>
      <c r="E77" s="190" t="s">
        <v>1875</v>
      </c>
      <c r="F77" s="190" t="s">
        <v>1891</v>
      </c>
      <c r="G77" s="190" t="s">
        <v>1915</v>
      </c>
      <c r="H77" s="190" t="s">
        <v>1916</v>
      </c>
      <c r="I77" s="190" t="s">
        <v>1879</v>
      </c>
      <c r="J77" s="190" t="s">
        <v>1904</v>
      </c>
      <c r="K77" s="190"/>
      <c r="L77" s="190" t="s">
        <v>159</v>
      </c>
      <c r="M77" s="67">
        <v>44561</v>
      </c>
      <c r="N77" s="197" t="s">
        <v>1917</v>
      </c>
      <c r="O77" s="197" t="s">
        <v>238</v>
      </c>
      <c r="P77" s="197" t="s">
        <v>544</v>
      </c>
      <c r="Q77" s="197"/>
      <c r="R77" s="198" t="s">
        <v>1882</v>
      </c>
      <c r="S77" s="220" t="s">
        <v>2934</v>
      </c>
      <c r="T77" s="198"/>
    </row>
    <row r="78" spans="1:20" ht="14.25" customHeight="1" x14ac:dyDescent="0.25">
      <c r="A78" s="187"/>
      <c r="B78" s="190" t="s">
        <v>1918</v>
      </c>
      <c r="C78" s="190" t="s">
        <v>1624</v>
      </c>
      <c r="D78" s="190"/>
      <c r="E78" s="190" t="s">
        <v>1875</v>
      </c>
      <c r="F78" s="190" t="s">
        <v>1876</v>
      </c>
      <c r="G78" s="190" t="s">
        <v>1919</v>
      </c>
      <c r="H78" s="190" t="s">
        <v>1920</v>
      </c>
      <c r="I78" s="190" t="s">
        <v>1879</v>
      </c>
      <c r="J78" s="190" t="s">
        <v>1880</v>
      </c>
      <c r="K78" s="190"/>
      <c r="L78" s="190" t="s">
        <v>151</v>
      </c>
      <c r="M78" s="67">
        <v>44561</v>
      </c>
      <c r="N78" s="197" t="s">
        <v>1921</v>
      </c>
      <c r="O78" s="197" t="s">
        <v>313</v>
      </c>
      <c r="P78" s="197" t="s">
        <v>544</v>
      </c>
      <c r="Q78" s="197"/>
      <c r="R78" s="198" t="s">
        <v>1882</v>
      </c>
      <c r="S78" s="220" t="s">
        <v>2934</v>
      </c>
      <c r="T78" s="198"/>
    </row>
    <row r="79" spans="1:20" ht="14.25" customHeight="1" x14ac:dyDescent="0.25">
      <c r="A79" s="187"/>
      <c r="B79" s="190" t="s">
        <v>1922</v>
      </c>
      <c r="C79" s="190" t="s">
        <v>1624</v>
      </c>
      <c r="D79" s="190"/>
      <c r="E79" s="190" t="s">
        <v>1875</v>
      </c>
      <c r="F79" s="190" t="s">
        <v>1923</v>
      </c>
      <c r="G79" s="190" t="s">
        <v>1924</v>
      </c>
      <c r="H79" s="190" t="s">
        <v>1925</v>
      </c>
      <c r="I79" s="190" t="s">
        <v>1879</v>
      </c>
      <c r="J79" s="190" t="s">
        <v>1926</v>
      </c>
      <c r="K79" s="212" t="s">
        <v>221</v>
      </c>
      <c r="L79" s="190" t="s">
        <v>151</v>
      </c>
      <c r="M79" s="196" t="s">
        <v>92</v>
      </c>
      <c r="N79" s="197" t="s">
        <v>1927</v>
      </c>
      <c r="O79" s="197" t="s">
        <v>224</v>
      </c>
      <c r="P79" s="197" t="s">
        <v>225</v>
      </c>
      <c r="Q79" s="197" t="s">
        <v>92</v>
      </c>
      <c r="R79" s="198"/>
      <c r="S79" s="220" t="s">
        <v>2934</v>
      </c>
      <c r="T79" s="198"/>
    </row>
    <row r="80" spans="1:20" ht="14.25" customHeight="1" x14ac:dyDescent="0.25">
      <c r="A80" s="187"/>
      <c r="B80" s="190" t="s">
        <v>1945</v>
      </c>
      <c r="C80" s="190" t="s">
        <v>1624</v>
      </c>
      <c r="D80" s="190"/>
      <c r="E80" s="190" t="s">
        <v>1875</v>
      </c>
      <c r="F80" s="190" t="s">
        <v>1929</v>
      </c>
      <c r="G80" s="190" t="s">
        <v>1946</v>
      </c>
      <c r="H80" s="190" t="s">
        <v>1947</v>
      </c>
      <c r="I80" s="190" t="s">
        <v>1879</v>
      </c>
      <c r="J80" s="190" t="s">
        <v>1948</v>
      </c>
      <c r="K80" s="212" t="s">
        <v>221</v>
      </c>
      <c r="L80" s="190" t="s">
        <v>151</v>
      </c>
      <c r="M80" s="196" t="s">
        <v>92</v>
      </c>
      <c r="N80" s="197" t="s">
        <v>1949</v>
      </c>
      <c r="O80" s="197" t="s">
        <v>224</v>
      </c>
      <c r="P80" s="197" t="s">
        <v>225</v>
      </c>
      <c r="Q80" s="197" t="s">
        <v>92</v>
      </c>
      <c r="R80" s="198"/>
      <c r="S80" s="220" t="s">
        <v>2934</v>
      </c>
      <c r="T80" s="198"/>
    </row>
    <row r="81" spans="1:20" ht="14.25" customHeight="1" x14ac:dyDescent="0.25">
      <c r="A81" s="187"/>
      <c r="B81" s="190" t="s">
        <v>1950</v>
      </c>
      <c r="C81" s="190" t="s">
        <v>1624</v>
      </c>
      <c r="D81" s="190"/>
      <c r="E81" s="190" t="s">
        <v>1875</v>
      </c>
      <c r="F81" s="190" t="s">
        <v>1929</v>
      </c>
      <c r="G81" s="190" t="s">
        <v>1951</v>
      </c>
      <c r="H81" s="190" t="s">
        <v>1952</v>
      </c>
      <c r="I81" s="190" t="s">
        <v>1879</v>
      </c>
      <c r="J81" s="190" t="s">
        <v>1948</v>
      </c>
      <c r="K81" s="212" t="s">
        <v>221</v>
      </c>
      <c r="L81" s="190" t="s">
        <v>151</v>
      </c>
      <c r="M81" s="196" t="s">
        <v>92</v>
      </c>
      <c r="N81" s="197" t="s">
        <v>1953</v>
      </c>
      <c r="O81" s="197" t="s">
        <v>224</v>
      </c>
      <c r="P81" s="197" t="s">
        <v>225</v>
      </c>
      <c r="Q81" s="197" t="s">
        <v>92</v>
      </c>
      <c r="R81" s="198"/>
      <c r="S81" s="220" t="s">
        <v>2934</v>
      </c>
      <c r="T81" s="198"/>
    </row>
    <row r="82" spans="1:20" ht="14.25" customHeight="1" x14ac:dyDescent="0.25">
      <c r="A82" s="187"/>
      <c r="B82" s="190" t="s">
        <v>1954</v>
      </c>
      <c r="C82" s="190" t="s">
        <v>1624</v>
      </c>
      <c r="D82" s="190"/>
      <c r="E82" s="190" t="s">
        <v>1875</v>
      </c>
      <c r="F82" s="190" t="s">
        <v>1891</v>
      </c>
      <c r="G82" s="190" t="s">
        <v>1955</v>
      </c>
      <c r="H82" s="190" t="s">
        <v>1956</v>
      </c>
      <c r="I82" s="190" t="s">
        <v>1879</v>
      </c>
      <c r="J82" s="190" t="s">
        <v>1957</v>
      </c>
      <c r="K82" s="190"/>
      <c r="L82" s="190" t="s">
        <v>159</v>
      </c>
      <c r="M82" s="39">
        <v>44561</v>
      </c>
      <c r="N82" s="197" t="s">
        <v>1958</v>
      </c>
      <c r="O82" s="197" t="s">
        <v>238</v>
      </c>
      <c r="P82" s="197" t="s">
        <v>544</v>
      </c>
      <c r="Q82" s="197"/>
      <c r="R82" s="198" t="s">
        <v>1882</v>
      </c>
      <c r="S82" s="220" t="s">
        <v>2934</v>
      </c>
      <c r="T82" s="198"/>
    </row>
    <row r="83" spans="1:20" ht="14.25" customHeight="1" x14ac:dyDescent="0.25">
      <c r="A83" s="187"/>
      <c r="B83" s="190" t="s">
        <v>1959</v>
      </c>
      <c r="C83" s="190" t="s">
        <v>1624</v>
      </c>
      <c r="D83" s="190"/>
      <c r="E83" s="190" t="s">
        <v>1875</v>
      </c>
      <c r="F83" s="190" t="s">
        <v>1891</v>
      </c>
      <c r="G83" s="190" t="s">
        <v>1955</v>
      </c>
      <c r="H83" s="190" t="s">
        <v>1960</v>
      </c>
      <c r="I83" s="190" t="s">
        <v>1879</v>
      </c>
      <c r="J83" s="190" t="s">
        <v>1957</v>
      </c>
      <c r="K83" s="190"/>
      <c r="L83" s="190" t="s">
        <v>151</v>
      </c>
      <c r="M83" s="39">
        <v>44561</v>
      </c>
      <c r="N83" s="197" t="s">
        <v>1961</v>
      </c>
      <c r="O83" s="197" t="s">
        <v>238</v>
      </c>
      <c r="P83" s="197" t="s">
        <v>544</v>
      </c>
      <c r="Q83" s="197"/>
      <c r="R83" s="198" t="s">
        <v>1882</v>
      </c>
      <c r="S83" s="220" t="s">
        <v>2934</v>
      </c>
      <c r="T83" s="198"/>
    </row>
    <row r="84" spans="1:20" ht="14.25" customHeight="1" x14ac:dyDescent="0.25">
      <c r="A84" s="187"/>
      <c r="B84" s="190" t="s">
        <v>1962</v>
      </c>
      <c r="C84" s="190" t="s">
        <v>1624</v>
      </c>
      <c r="D84" s="190"/>
      <c r="E84" s="190" t="s">
        <v>1875</v>
      </c>
      <c r="F84" s="190" t="s">
        <v>1876</v>
      </c>
      <c r="G84" s="190" t="s">
        <v>1963</v>
      </c>
      <c r="H84" s="190" t="s">
        <v>1964</v>
      </c>
      <c r="I84" s="190" t="s">
        <v>1879</v>
      </c>
      <c r="J84" s="190" t="s">
        <v>1880</v>
      </c>
      <c r="K84" s="190"/>
      <c r="L84" s="190" t="s">
        <v>151</v>
      </c>
      <c r="M84" s="39">
        <v>44561</v>
      </c>
      <c r="N84" s="197" t="s">
        <v>1965</v>
      </c>
      <c r="O84" s="197" t="s">
        <v>313</v>
      </c>
      <c r="P84" s="197" t="s">
        <v>544</v>
      </c>
      <c r="Q84" s="197"/>
      <c r="R84" s="198" t="s">
        <v>1882</v>
      </c>
      <c r="S84" s="220" t="s">
        <v>2934</v>
      </c>
      <c r="T84" s="198"/>
    </row>
    <row r="85" spans="1:20" ht="14.25" customHeight="1" x14ac:dyDescent="0.25">
      <c r="A85" s="187"/>
      <c r="B85" s="190" t="s">
        <v>1971</v>
      </c>
      <c r="C85" s="190" t="s">
        <v>1624</v>
      </c>
      <c r="D85" s="190"/>
      <c r="E85" s="190" t="s">
        <v>1875</v>
      </c>
      <c r="F85" s="190" t="s">
        <v>1929</v>
      </c>
      <c r="G85" s="190" t="s">
        <v>1972</v>
      </c>
      <c r="H85" s="190" t="s">
        <v>1973</v>
      </c>
      <c r="I85" s="190" t="s">
        <v>1879</v>
      </c>
      <c r="J85" s="190" t="s">
        <v>1974</v>
      </c>
      <c r="K85" s="21"/>
      <c r="L85" s="190" t="s">
        <v>159</v>
      </c>
      <c r="M85" s="39">
        <v>44561</v>
      </c>
      <c r="N85" s="197" t="s">
        <v>1975</v>
      </c>
      <c r="O85" s="197" t="s">
        <v>723</v>
      </c>
      <c r="P85" s="197"/>
      <c r="Q85" s="197"/>
      <c r="R85" s="198" t="s">
        <v>1882</v>
      </c>
      <c r="S85" s="220" t="s">
        <v>2934</v>
      </c>
      <c r="T85" s="198"/>
    </row>
    <row r="86" spans="1:20" ht="14.25" customHeight="1" x14ac:dyDescent="0.25">
      <c r="A86" s="187"/>
      <c r="B86" s="190" t="s">
        <v>1976</v>
      </c>
      <c r="C86" s="190" t="s">
        <v>1624</v>
      </c>
      <c r="D86" s="190"/>
      <c r="E86" s="190" t="s">
        <v>1875</v>
      </c>
      <c r="F86" s="190" t="s">
        <v>1891</v>
      </c>
      <c r="G86" s="190" t="s">
        <v>1977</v>
      </c>
      <c r="H86" s="190" t="s">
        <v>1978</v>
      </c>
      <c r="I86" s="190" t="s">
        <v>1879</v>
      </c>
      <c r="J86" s="190" t="s">
        <v>1979</v>
      </c>
      <c r="K86" s="190"/>
      <c r="L86" s="190" t="s">
        <v>151</v>
      </c>
      <c r="M86" s="39">
        <v>44561</v>
      </c>
      <c r="N86" s="197" t="s">
        <v>1980</v>
      </c>
      <c r="O86" s="197" t="s">
        <v>255</v>
      </c>
      <c r="P86" s="197"/>
      <c r="Q86" s="197"/>
      <c r="R86" s="198" t="s">
        <v>1882</v>
      </c>
      <c r="S86" s="220" t="s">
        <v>2934</v>
      </c>
      <c r="T86" s="198"/>
    </row>
    <row r="87" spans="1:20" ht="14.25" customHeight="1" x14ac:dyDescent="0.25">
      <c r="A87" s="187"/>
      <c r="B87" s="190" t="s">
        <v>1984</v>
      </c>
      <c r="C87" s="190" t="s">
        <v>1624</v>
      </c>
      <c r="D87" s="190" t="s">
        <v>1985</v>
      </c>
      <c r="E87" s="190" t="s">
        <v>1875</v>
      </c>
      <c r="F87" s="190" t="s">
        <v>1876</v>
      </c>
      <c r="G87" s="190" t="s">
        <v>1986</v>
      </c>
      <c r="H87" s="190" t="s">
        <v>1987</v>
      </c>
      <c r="I87" s="190" t="s">
        <v>1879</v>
      </c>
      <c r="J87" s="190" t="s">
        <v>1988</v>
      </c>
      <c r="K87" s="190"/>
      <c r="L87" s="190" t="s">
        <v>151</v>
      </c>
      <c r="M87" s="39">
        <v>44561</v>
      </c>
      <c r="N87" s="197" t="s">
        <v>1989</v>
      </c>
      <c r="O87" s="197" t="s">
        <v>255</v>
      </c>
      <c r="P87" s="197"/>
      <c r="Q87" s="197"/>
      <c r="R87" s="198" t="s">
        <v>1882</v>
      </c>
      <c r="S87" s="220" t="s">
        <v>2934</v>
      </c>
      <c r="T87" s="198"/>
    </row>
    <row r="88" spans="1:20" ht="14.25" customHeight="1" x14ac:dyDescent="0.25">
      <c r="A88" s="187"/>
      <c r="B88" s="190" t="s">
        <v>1990</v>
      </c>
      <c r="C88" s="190" t="s">
        <v>1624</v>
      </c>
      <c r="D88" s="190" t="s">
        <v>1991</v>
      </c>
      <c r="E88" s="190" t="s">
        <v>1875</v>
      </c>
      <c r="F88" s="190" t="s">
        <v>1891</v>
      </c>
      <c r="G88" s="190" t="s">
        <v>1992</v>
      </c>
      <c r="H88" s="190" t="s">
        <v>1993</v>
      </c>
      <c r="I88" s="190" t="s">
        <v>1879</v>
      </c>
      <c r="J88" s="190" t="s">
        <v>1904</v>
      </c>
      <c r="K88" s="190"/>
      <c r="L88" s="190" t="s">
        <v>159</v>
      </c>
      <c r="M88" s="39">
        <v>44561</v>
      </c>
      <c r="N88" s="197" t="s">
        <v>1994</v>
      </c>
      <c r="O88" s="197" t="s">
        <v>238</v>
      </c>
      <c r="P88" s="197" t="s">
        <v>544</v>
      </c>
      <c r="Q88" s="197"/>
      <c r="R88" s="198" t="s">
        <v>1882</v>
      </c>
      <c r="S88" s="220" t="s">
        <v>2934</v>
      </c>
      <c r="T88" s="198"/>
    </row>
    <row r="89" spans="1:20" ht="14.25" customHeight="1" x14ac:dyDescent="0.25">
      <c r="A89" s="187"/>
      <c r="B89" s="190" t="s">
        <v>1995</v>
      </c>
      <c r="C89" s="190" t="s">
        <v>1624</v>
      </c>
      <c r="D89" s="190"/>
      <c r="E89" s="190" t="s">
        <v>1875</v>
      </c>
      <c r="F89" s="190" t="s">
        <v>1929</v>
      </c>
      <c r="G89" s="190" t="s">
        <v>1996</v>
      </c>
      <c r="H89" s="190" t="s">
        <v>1997</v>
      </c>
      <c r="I89" s="190" t="s">
        <v>1879</v>
      </c>
      <c r="J89" s="190" t="s">
        <v>1948</v>
      </c>
      <c r="K89" s="212" t="s">
        <v>221</v>
      </c>
      <c r="L89" s="190" t="s">
        <v>151</v>
      </c>
      <c r="M89" s="196" t="s">
        <v>92</v>
      </c>
      <c r="N89" s="197" t="s">
        <v>1998</v>
      </c>
      <c r="O89" s="197" t="s">
        <v>224</v>
      </c>
      <c r="P89" s="197" t="s">
        <v>225</v>
      </c>
      <c r="Q89" s="197" t="s">
        <v>92</v>
      </c>
      <c r="R89" s="198"/>
      <c r="S89" s="220" t="s">
        <v>2934</v>
      </c>
      <c r="T89" s="198"/>
    </row>
    <row r="90" spans="1:20" ht="14.25" customHeight="1" x14ac:dyDescent="0.25">
      <c r="A90" s="187"/>
      <c r="B90" s="190" t="s">
        <v>1999</v>
      </c>
      <c r="C90" s="190" t="s">
        <v>1624</v>
      </c>
      <c r="D90" s="190"/>
      <c r="E90" s="190" t="s">
        <v>1875</v>
      </c>
      <c r="F90" s="190" t="s">
        <v>1929</v>
      </c>
      <c r="G90" s="190" t="s">
        <v>2000</v>
      </c>
      <c r="H90" s="190" t="s">
        <v>2001</v>
      </c>
      <c r="I90" s="190" t="s">
        <v>1879</v>
      </c>
      <c r="J90" s="190" t="s">
        <v>2002</v>
      </c>
      <c r="K90" s="212" t="s">
        <v>221</v>
      </c>
      <c r="L90" s="190" t="s">
        <v>151</v>
      </c>
      <c r="M90" s="196" t="s">
        <v>92</v>
      </c>
      <c r="N90" s="197" t="s">
        <v>2003</v>
      </c>
      <c r="O90" s="197" t="s">
        <v>224</v>
      </c>
      <c r="P90" s="197" t="s">
        <v>225</v>
      </c>
      <c r="Q90" s="197" t="s">
        <v>92</v>
      </c>
      <c r="R90" s="198"/>
      <c r="S90" s="220" t="s">
        <v>2934</v>
      </c>
      <c r="T90" s="198"/>
    </row>
    <row r="91" spans="1:20" ht="14.25" customHeight="1" x14ac:dyDescent="0.25">
      <c r="A91" s="187"/>
      <c r="B91" s="190" t="s">
        <v>2004</v>
      </c>
      <c r="C91" s="190" t="s">
        <v>1624</v>
      </c>
      <c r="D91" s="190"/>
      <c r="E91" s="190" t="s">
        <v>1875</v>
      </c>
      <c r="F91" s="190" t="s">
        <v>1929</v>
      </c>
      <c r="G91" s="190" t="s">
        <v>2005</v>
      </c>
      <c r="H91" s="190" t="s">
        <v>2006</v>
      </c>
      <c r="I91" s="190" t="s">
        <v>1879</v>
      </c>
      <c r="J91" s="190" t="s">
        <v>2007</v>
      </c>
      <c r="K91" s="212" t="s">
        <v>221</v>
      </c>
      <c r="L91" s="190" t="s">
        <v>151</v>
      </c>
      <c r="M91" s="196" t="s">
        <v>92</v>
      </c>
      <c r="N91" s="197" t="s">
        <v>2008</v>
      </c>
      <c r="O91" s="197" t="s">
        <v>224</v>
      </c>
      <c r="P91" s="197" t="s">
        <v>225</v>
      </c>
      <c r="Q91" s="197" t="s">
        <v>92</v>
      </c>
      <c r="R91" s="198"/>
      <c r="S91" s="220" t="s">
        <v>2934</v>
      </c>
      <c r="T91" s="198"/>
    </row>
    <row r="92" spans="1:20" ht="14.25" customHeight="1" x14ac:dyDescent="0.25">
      <c r="A92" s="187"/>
      <c r="B92" s="190" t="s">
        <v>2009</v>
      </c>
      <c r="C92" s="190" t="s">
        <v>1624</v>
      </c>
      <c r="D92" s="190"/>
      <c r="E92" s="190" t="s">
        <v>1875</v>
      </c>
      <c r="F92" s="190" t="s">
        <v>1929</v>
      </c>
      <c r="G92" s="190" t="s">
        <v>2010</v>
      </c>
      <c r="H92" s="190" t="s">
        <v>2011</v>
      </c>
      <c r="I92" s="190" t="s">
        <v>1879</v>
      </c>
      <c r="J92" s="190" t="s">
        <v>2007</v>
      </c>
      <c r="K92" s="212" t="s">
        <v>221</v>
      </c>
      <c r="L92" s="190" t="s">
        <v>151</v>
      </c>
      <c r="M92" s="196" t="s">
        <v>92</v>
      </c>
      <c r="N92" s="197" t="s">
        <v>2012</v>
      </c>
      <c r="O92" s="197" t="s">
        <v>224</v>
      </c>
      <c r="P92" s="197" t="s">
        <v>225</v>
      </c>
      <c r="Q92" s="197" t="s">
        <v>92</v>
      </c>
      <c r="R92" s="198"/>
      <c r="S92" s="220" t="s">
        <v>2934</v>
      </c>
      <c r="T92" s="198"/>
    </row>
    <row r="93" spans="1:20" ht="14.25" customHeight="1" x14ac:dyDescent="0.25">
      <c r="A93" s="187"/>
      <c r="B93" s="190" t="s">
        <v>2013</v>
      </c>
      <c r="C93" s="190" t="s">
        <v>1624</v>
      </c>
      <c r="D93" s="190"/>
      <c r="E93" s="190" t="s">
        <v>1875</v>
      </c>
      <c r="F93" s="190" t="s">
        <v>1891</v>
      </c>
      <c r="G93" s="190" t="s">
        <v>2014</v>
      </c>
      <c r="H93" s="190" t="s">
        <v>2015</v>
      </c>
      <c r="I93" s="190" t="s">
        <v>1879</v>
      </c>
      <c r="J93" s="190" t="s">
        <v>1904</v>
      </c>
      <c r="K93" s="190"/>
      <c r="L93" s="190" t="s">
        <v>151</v>
      </c>
      <c r="M93" s="39">
        <v>44561</v>
      </c>
      <c r="N93" s="203" t="s">
        <v>2016</v>
      </c>
      <c r="O93" s="197" t="s">
        <v>238</v>
      </c>
      <c r="P93" s="197" t="s">
        <v>544</v>
      </c>
      <c r="Q93" s="197"/>
      <c r="R93" s="198" t="s">
        <v>1882</v>
      </c>
      <c r="S93" s="220" t="s">
        <v>2934</v>
      </c>
      <c r="T93" s="198"/>
    </row>
    <row r="94" spans="1:20" ht="14.25" customHeight="1" x14ac:dyDescent="0.25">
      <c r="A94" s="187"/>
      <c r="B94" s="190" t="s">
        <v>2026</v>
      </c>
      <c r="C94" s="190" t="s">
        <v>1624</v>
      </c>
      <c r="D94" s="195"/>
      <c r="E94" s="190" t="s">
        <v>1875</v>
      </c>
      <c r="F94" s="195" t="s">
        <v>1876</v>
      </c>
      <c r="G94" s="195" t="s">
        <v>2027</v>
      </c>
      <c r="H94" s="190" t="s">
        <v>2028</v>
      </c>
      <c r="I94" s="190" t="s">
        <v>1879</v>
      </c>
      <c r="J94" s="195" t="s">
        <v>1880</v>
      </c>
      <c r="K94" s="190"/>
      <c r="L94" s="190" t="s">
        <v>151</v>
      </c>
      <c r="M94" s="39">
        <v>44561</v>
      </c>
      <c r="N94" s="203" t="s">
        <v>2029</v>
      </c>
      <c r="O94" s="197" t="s">
        <v>313</v>
      </c>
      <c r="P94" s="203" t="s">
        <v>544</v>
      </c>
      <c r="Q94" s="197"/>
      <c r="R94" s="198" t="s">
        <v>1882</v>
      </c>
      <c r="S94" s="220" t="s">
        <v>2934</v>
      </c>
      <c r="T94" s="198"/>
    </row>
    <row r="95" spans="1:20" ht="15.75" customHeight="1" x14ac:dyDescent="0.25">
      <c r="A95" s="185"/>
      <c r="B95" s="185"/>
      <c r="C95" s="185"/>
      <c r="D95" s="185"/>
      <c r="E95" s="185"/>
      <c r="F95" s="185"/>
      <c r="G95" s="185"/>
      <c r="H95" s="185"/>
      <c r="I95" s="185"/>
      <c r="J95" s="222"/>
      <c r="K95" s="185"/>
      <c r="L95" s="185"/>
      <c r="M95" s="185"/>
      <c r="N95" s="185"/>
      <c r="O95" s="185"/>
      <c r="P95" s="185"/>
      <c r="Q95" s="185"/>
      <c r="R95" s="185"/>
      <c r="S95" s="185"/>
      <c r="T95" s="185"/>
    </row>
    <row r="96" spans="1:20" ht="15.75" customHeight="1" x14ac:dyDescent="0.25">
      <c r="A96" s="185"/>
      <c r="B96" s="185"/>
      <c r="C96" s="185"/>
      <c r="D96" s="185"/>
      <c r="E96" s="185"/>
      <c r="F96" s="185"/>
      <c r="G96" s="185"/>
      <c r="H96" s="185"/>
      <c r="I96" s="185"/>
      <c r="J96" s="222"/>
      <c r="K96" s="185"/>
      <c r="L96" s="185"/>
      <c r="M96" s="185"/>
      <c r="N96" s="185"/>
      <c r="O96" s="185"/>
      <c r="P96" s="185"/>
      <c r="Q96" s="185"/>
      <c r="R96" s="185"/>
      <c r="S96" s="185"/>
      <c r="T96" s="185"/>
    </row>
    <row r="97" spans="1:20" ht="15.75" customHeight="1" x14ac:dyDescent="0.25">
      <c r="A97" s="185"/>
      <c r="B97" s="185"/>
      <c r="C97" s="185"/>
      <c r="D97" s="185"/>
      <c r="E97" s="185"/>
      <c r="F97" s="185"/>
      <c r="G97" s="185"/>
      <c r="H97" s="185"/>
      <c r="I97" s="185"/>
      <c r="J97" s="222"/>
      <c r="K97" s="185"/>
      <c r="L97" s="185"/>
      <c r="M97" s="185"/>
      <c r="N97" s="185"/>
      <c r="O97" s="185"/>
      <c r="P97" s="185"/>
      <c r="Q97" s="185"/>
      <c r="R97" s="185"/>
      <c r="S97" s="185"/>
      <c r="T97" s="185"/>
    </row>
    <row r="98" spans="1:20" ht="15.75" customHeight="1" x14ac:dyDescent="0.25">
      <c r="A98" s="185"/>
      <c r="B98" s="185"/>
      <c r="C98" s="185"/>
      <c r="D98" s="185"/>
      <c r="E98" s="185"/>
      <c r="F98" s="185"/>
      <c r="G98" s="185"/>
      <c r="H98" s="185"/>
      <c r="I98" s="185"/>
      <c r="J98" s="222"/>
      <c r="K98" s="185"/>
      <c r="L98" s="185"/>
      <c r="M98" s="185"/>
      <c r="N98" s="185"/>
      <c r="O98" s="185"/>
      <c r="P98" s="185"/>
      <c r="Q98" s="185"/>
      <c r="R98" s="185"/>
      <c r="S98" s="185"/>
      <c r="T98" s="185"/>
    </row>
    <row r="99" spans="1:20" ht="15.75" customHeight="1" x14ac:dyDescent="0.25">
      <c r="A99" s="185"/>
      <c r="B99" s="185"/>
      <c r="C99" s="185"/>
      <c r="D99" s="185"/>
      <c r="E99" s="185"/>
      <c r="F99" s="185"/>
      <c r="G99" s="185"/>
      <c r="H99" s="185"/>
      <c r="I99" s="185"/>
      <c r="J99" s="222"/>
      <c r="K99" s="185"/>
      <c r="L99" s="185"/>
      <c r="M99" s="185"/>
      <c r="N99" s="185"/>
      <c r="O99" s="185"/>
      <c r="P99" s="185"/>
      <c r="Q99" s="185"/>
      <c r="R99" s="185"/>
      <c r="S99" s="185"/>
      <c r="T99" s="185"/>
    </row>
    <row r="100" spans="1:20" ht="15.75" customHeight="1" x14ac:dyDescent="0.25">
      <c r="A100" s="185"/>
      <c r="B100" s="185"/>
      <c r="C100" s="185"/>
      <c r="D100" s="185"/>
      <c r="E100" s="185"/>
      <c r="F100" s="185"/>
      <c r="G100" s="185"/>
      <c r="H100" s="185"/>
      <c r="I100" s="185"/>
      <c r="J100" s="222"/>
      <c r="K100" s="185"/>
      <c r="L100" s="185"/>
      <c r="M100" s="185"/>
      <c r="N100" s="185"/>
      <c r="O100" s="185"/>
      <c r="P100" s="185"/>
      <c r="Q100" s="185"/>
      <c r="R100" s="185"/>
      <c r="S100" s="185"/>
      <c r="T100" s="185"/>
    </row>
    <row r="101" spans="1:20" ht="15.75" customHeight="1" x14ac:dyDescent="0.25">
      <c r="A101" s="185"/>
      <c r="B101" s="185"/>
      <c r="C101" s="185"/>
      <c r="D101" s="185"/>
      <c r="E101" s="185"/>
      <c r="F101" s="185"/>
      <c r="G101" s="185"/>
      <c r="H101" s="185"/>
      <c r="I101" s="185"/>
      <c r="J101" s="222"/>
      <c r="K101" s="185"/>
      <c r="L101" s="185"/>
      <c r="M101" s="185"/>
      <c r="N101" s="185"/>
      <c r="O101" s="185"/>
      <c r="P101" s="185"/>
      <c r="Q101" s="185"/>
      <c r="R101" s="185"/>
      <c r="S101" s="185"/>
      <c r="T101" s="185"/>
    </row>
    <row r="102" spans="1:20" ht="15.75" customHeight="1" x14ac:dyDescent="0.25">
      <c r="A102" s="185"/>
      <c r="B102" s="185"/>
      <c r="C102" s="185"/>
      <c r="D102" s="185"/>
      <c r="E102" s="185"/>
      <c r="F102" s="185"/>
      <c r="G102" s="185"/>
      <c r="H102" s="185"/>
      <c r="I102" s="185"/>
      <c r="J102" s="222"/>
      <c r="K102" s="185"/>
      <c r="L102" s="185"/>
      <c r="M102" s="185"/>
      <c r="N102" s="185"/>
      <c r="O102" s="185"/>
      <c r="P102" s="185"/>
      <c r="Q102" s="185"/>
      <c r="R102" s="185"/>
      <c r="S102" s="185"/>
      <c r="T102" s="185"/>
    </row>
    <row r="103" spans="1:20" ht="15.75" customHeight="1" x14ac:dyDescent="0.25">
      <c r="A103" s="185"/>
      <c r="B103" s="185"/>
      <c r="C103" s="185"/>
      <c r="D103" s="185"/>
      <c r="E103" s="185"/>
      <c r="F103" s="185"/>
      <c r="G103" s="185"/>
      <c r="H103" s="185"/>
      <c r="I103" s="185"/>
      <c r="J103" s="222"/>
      <c r="K103" s="185"/>
      <c r="L103" s="185"/>
      <c r="M103" s="185"/>
      <c r="N103" s="185"/>
      <c r="O103" s="185"/>
      <c r="P103" s="185"/>
      <c r="Q103" s="185"/>
      <c r="R103" s="185"/>
      <c r="S103" s="185"/>
      <c r="T103" s="185"/>
    </row>
    <row r="104" spans="1:20" ht="15.75" customHeight="1" x14ac:dyDescent="0.25">
      <c r="A104" s="185"/>
      <c r="B104" s="185"/>
      <c r="C104" s="185"/>
      <c r="D104" s="185"/>
      <c r="E104" s="185"/>
      <c r="F104" s="185"/>
      <c r="G104" s="185"/>
      <c r="H104" s="185"/>
      <c r="I104" s="185"/>
      <c r="J104" s="222"/>
      <c r="K104" s="185"/>
      <c r="L104" s="185"/>
      <c r="M104" s="185"/>
      <c r="N104" s="185"/>
      <c r="O104" s="185"/>
      <c r="P104" s="185"/>
      <c r="Q104" s="185"/>
      <c r="R104" s="185"/>
      <c r="S104" s="185"/>
      <c r="T104" s="185"/>
    </row>
    <row r="105" spans="1:20" ht="15.75" customHeight="1" x14ac:dyDescent="0.25">
      <c r="A105" s="185"/>
      <c r="B105" s="185"/>
      <c r="C105" s="185"/>
      <c r="D105" s="185"/>
      <c r="E105" s="185"/>
      <c r="F105" s="185"/>
      <c r="G105" s="185"/>
      <c r="H105" s="185"/>
      <c r="I105" s="185"/>
      <c r="J105" s="222"/>
      <c r="K105" s="185"/>
      <c r="L105" s="185"/>
      <c r="M105" s="185"/>
      <c r="N105" s="185"/>
      <c r="O105" s="185"/>
      <c r="P105" s="185"/>
      <c r="Q105" s="185"/>
      <c r="R105" s="185"/>
      <c r="S105" s="185"/>
      <c r="T105" s="185"/>
    </row>
    <row r="106" spans="1:20" ht="15.75" customHeight="1" x14ac:dyDescent="0.25">
      <c r="A106" s="185"/>
      <c r="B106" s="185"/>
      <c r="C106" s="185"/>
      <c r="D106" s="185"/>
      <c r="E106" s="185"/>
      <c r="F106" s="185"/>
      <c r="G106" s="185"/>
      <c r="H106" s="185"/>
      <c r="I106" s="185"/>
      <c r="J106" s="222"/>
      <c r="K106" s="185"/>
      <c r="L106" s="185"/>
      <c r="M106" s="185"/>
      <c r="N106" s="185"/>
      <c r="O106" s="185"/>
      <c r="P106" s="185"/>
      <c r="Q106" s="185"/>
      <c r="R106" s="185"/>
      <c r="S106" s="185"/>
      <c r="T106" s="185"/>
    </row>
    <row r="107" spans="1:20" ht="15.75" customHeight="1" x14ac:dyDescent="0.25"/>
    <row r="108" spans="1:20" ht="15.75" customHeight="1" x14ac:dyDescent="0.25"/>
    <row r="109" spans="1:20" ht="15.75" customHeight="1" x14ac:dyDescent="0.25"/>
    <row r="110" spans="1:20" ht="15.75" customHeight="1" x14ac:dyDescent="0.25"/>
    <row r="111" spans="1:20" ht="15.75" customHeight="1" x14ac:dyDescent="0.25"/>
    <row r="112" spans="1:20"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4">
    <mergeCell ref="A62:S62"/>
    <mergeCell ref="A72:S72"/>
    <mergeCell ref="B1:D1"/>
    <mergeCell ref="B2:D2"/>
    <mergeCell ref="B3:D3"/>
    <mergeCell ref="A6:S6"/>
    <mergeCell ref="A8:S8"/>
    <mergeCell ref="A12:S12"/>
    <mergeCell ref="A15:S15"/>
    <mergeCell ref="A24:S24"/>
    <mergeCell ref="A41:S41"/>
    <mergeCell ref="A43:S43"/>
    <mergeCell ref="A46:S46"/>
    <mergeCell ref="A58:S58"/>
  </mergeCells>
  <conditionalFormatting sqref="R7 T7 R11 T11 R14 T14 R18:R23 T18:T23 R25:R40 T25:T40 R42 T42 R44:R45 T44:T45 R55:R57 T55:T57 R59:R61 T59:T61 R64 T64 R67:R71 T67:T71 R94 T94">
    <cfRule type="cellIs" dxfId="8" priority="1" operator="equal">
      <formula>"regolare"</formula>
    </cfRule>
    <cfRule type="cellIs" dxfId="7" priority="2" operator="equal">
      <formula>"in scadenza"</formula>
    </cfRule>
    <cfRule type="cellIs" dxfId="6" priority="3" operator="equal">
      <formula>"scaduto"</formula>
    </cfRule>
  </conditionalFormatting>
  <hyperlinks>
    <hyperlink ref="S73" r:id="rId1" xr:uid="{00000000-0004-0000-0200-000000000000}"/>
    <hyperlink ref="S74" r:id="rId2" xr:uid="{00000000-0004-0000-0200-000001000000}"/>
    <hyperlink ref="S75" r:id="rId3" xr:uid="{00000000-0004-0000-0200-000002000000}"/>
    <hyperlink ref="S76" r:id="rId4" xr:uid="{00000000-0004-0000-0200-000003000000}"/>
    <hyperlink ref="S77" r:id="rId5" xr:uid="{00000000-0004-0000-0200-000004000000}"/>
    <hyperlink ref="S78" r:id="rId6" xr:uid="{00000000-0004-0000-0200-000005000000}"/>
    <hyperlink ref="S79" r:id="rId7" xr:uid="{00000000-0004-0000-0200-000006000000}"/>
    <hyperlink ref="S80" r:id="rId8" xr:uid="{00000000-0004-0000-0200-000007000000}"/>
    <hyperlink ref="S81" r:id="rId9" xr:uid="{00000000-0004-0000-0200-000008000000}"/>
    <hyperlink ref="S82" r:id="rId10" xr:uid="{00000000-0004-0000-0200-000009000000}"/>
    <hyperlink ref="S83" r:id="rId11" xr:uid="{00000000-0004-0000-0200-00000A000000}"/>
    <hyperlink ref="S84" r:id="rId12" xr:uid="{00000000-0004-0000-0200-00000B000000}"/>
    <hyperlink ref="S85" r:id="rId13" xr:uid="{00000000-0004-0000-0200-00000C000000}"/>
    <hyperlink ref="S86" r:id="rId14" xr:uid="{00000000-0004-0000-0200-00000D000000}"/>
    <hyperlink ref="S87" r:id="rId15" xr:uid="{00000000-0004-0000-0200-00000E000000}"/>
    <hyperlink ref="S88" r:id="rId16" xr:uid="{00000000-0004-0000-0200-00000F000000}"/>
    <hyperlink ref="S89" r:id="rId17" xr:uid="{00000000-0004-0000-0200-000010000000}"/>
    <hyperlink ref="S90" r:id="rId18" xr:uid="{00000000-0004-0000-0200-000011000000}"/>
    <hyperlink ref="S91" r:id="rId19" xr:uid="{00000000-0004-0000-0200-000012000000}"/>
    <hyperlink ref="S92" r:id="rId20" xr:uid="{00000000-0004-0000-0200-000013000000}"/>
    <hyperlink ref="S93" r:id="rId21" xr:uid="{00000000-0004-0000-0200-000014000000}"/>
    <hyperlink ref="S94" r:id="rId22" xr:uid="{00000000-0004-0000-0200-000015000000}"/>
  </hyperlinks>
  <pageMargins left="0.25" right="0.25" top="0.75" bottom="0.75" header="0" footer="0"/>
  <pageSetup paperSize="9"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S1000"/>
  <sheetViews>
    <sheetView workbookViewId="0"/>
  </sheetViews>
  <sheetFormatPr defaultColWidth="14.42578125" defaultRowHeight="15" customHeight="1" x14ac:dyDescent="0.25"/>
  <cols>
    <col min="1" max="1" width="8.7109375" customWidth="1"/>
    <col min="2" max="2" width="13.140625" customWidth="1"/>
    <col min="3" max="5" width="8.7109375" customWidth="1"/>
    <col min="6" max="6" width="10.140625" customWidth="1"/>
    <col min="7" max="7" width="51.7109375" customWidth="1"/>
    <col min="8" max="8" width="24.140625" customWidth="1"/>
    <col min="9" max="9" width="13.7109375" customWidth="1"/>
    <col min="10" max="10" width="21.28515625" customWidth="1"/>
    <col min="11" max="13" width="8.7109375" customWidth="1"/>
    <col min="14" max="14" width="14.5703125" customWidth="1"/>
    <col min="15" max="15" width="22.5703125" customWidth="1"/>
    <col min="16" max="19" width="8.7109375" customWidth="1"/>
  </cols>
  <sheetData>
    <row r="1" spans="2:19" ht="14.25" customHeight="1" x14ac:dyDescent="0.25"/>
    <row r="2" spans="2:19" ht="14.25" customHeight="1" x14ac:dyDescent="0.25">
      <c r="C2" s="223" t="s">
        <v>62</v>
      </c>
      <c r="D2" s="224" t="s">
        <v>63</v>
      </c>
      <c r="E2" s="225"/>
      <c r="F2" s="225"/>
      <c r="G2" s="224" t="s">
        <v>2935</v>
      </c>
      <c r="H2" s="224" t="s">
        <v>2936</v>
      </c>
      <c r="I2" s="226" t="s">
        <v>2937</v>
      </c>
      <c r="K2" s="1"/>
      <c r="L2" s="1"/>
      <c r="M2" s="1"/>
      <c r="N2" s="1"/>
      <c r="O2" s="1"/>
      <c r="P2" s="1"/>
      <c r="Q2" s="1"/>
      <c r="R2" s="1"/>
      <c r="S2" s="1"/>
    </row>
    <row r="3" spans="2:19" ht="14.25" customHeight="1" x14ac:dyDescent="0.25">
      <c r="B3" s="355" t="s">
        <v>940</v>
      </c>
      <c r="C3" s="227">
        <v>197.49</v>
      </c>
      <c r="D3" s="227">
        <v>203.90727777777778</v>
      </c>
      <c r="E3" s="227"/>
      <c r="F3" s="358" t="s">
        <v>2938</v>
      </c>
      <c r="G3" s="227" t="s">
        <v>2939</v>
      </c>
      <c r="H3" s="228">
        <v>223</v>
      </c>
      <c r="I3" s="227" t="s">
        <v>2940</v>
      </c>
      <c r="J3" s="359" t="s">
        <v>2941</v>
      </c>
      <c r="K3" s="341"/>
      <c r="L3" s="341"/>
      <c r="M3" s="341"/>
      <c r="N3" s="347"/>
      <c r="O3" s="207" t="s">
        <v>2942</v>
      </c>
    </row>
    <row r="4" spans="2:19" ht="14.25" customHeight="1" x14ac:dyDescent="0.25">
      <c r="B4" s="356"/>
      <c r="C4" s="229"/>
      <c r="D4" s="229"/>
      <c r="E4" s="229"/>
      <c r="F4" s="356"/>
      <c r="G4" s="229" t="s">
        <v>2943</v>
      </c>
      <c r="H4" s="230">
        <v>214</v>
      </c>
      <c r="I4" s="229" t="s">
        <v>2940</v>
      </c>
      <c r="J4" s="348"/>
      <c r="K4" s="349"/>
      <c r="L4" s="349"/>
      <c r="M4" s="349"/>
      <c r="N4" s="350"/>
    </row>
    <row r="5" spans="2:19" ht="14.25" customHeight="1" x14ac:dyDescent="0.25">
      <c r="B5" s="357"/>
      <c r="C5" s="231"/>
      <c r="D5" s="231"/>
      <c r="E5" s="231"/>
      <c r="F5" s="357"/>
      <c r="G5" s="231" t="s">
        <v>2944</v>
      </c>
      <c r="H5" s="232">
        <v>591</v>
      </c>
      <c r="I5" s="231" t="s">
        <v>2945</v>
      </c>
      <c r="J5" s="343"/>
      <c r="K5" s="344"/>
      <c r="L5" s="344"/>
      <c r="M5" s="344"/>
      <c r="N5" s="351"/>
    </row>
    <row r="6" spans="2:19" ht="84.75" customHeight="1" x14ac:dyDescent="0.25">
      <c r="B6" s="355" t="s">
        <v>477</v>
      </c>
      <c r="C6" s="233">
        <v>11.35</v>
      </c>
      <c r="D6" s="233">
        <v>13.498263888888889</v>
      </c>
      <c r="E6" s="227"/>
      <c r="F6" s="358" t="s">
        <v>2938</v>
      </c>
      <c r="G6" s="227" t="s">
        <v>2946</v>
      </c>
      <c r="H6" s="227"/>
      <c r="I6" s="234"/>
      <c r="J6" s="340" t="s">
        <v>2947</v>
      </c>
      <c r="K6" s="341"/>
      <c r="L6" s="341"/>
      <c r="M6" s="341"/>
      <c r="N6" s="342"/>
      <c r="O6" s="235"/>
    </row>
    <row r="7" spans="2:19" ht="14.25" customHeight="1" x14ac:dyDescent="0.25">
      <c r="B7" s="357"/>
      <c r="C7" s="231"/>
      <c r="D7" s="231"/>
      <c r="E7" s="231"/>
      <c r="F7" s="357"/>
      <c r="G7" s="231"/>
      <c r="H7" s="231"/>
      <c r="I7" s="236"/>
      <c r="J7" s="343"/>
      <c r="K7" s="344"/>
      <c r="L7" s="344"/>
      <c r="M7" s="344"/>
      <c r="N7" s="345"/>
      <c r="O7" s="235"/>
    </row>
    <row r="8" spans="2:19" ht="14.25" customHeight="1" x14ac:dyDescent="0.25">
      <c r="B8" s="360" t="s">
        <v>782</v>
      </c>
      <c r="C8" s="237">
        <v>38.229999999999997</v>
      </c>
      <c r="D8" s="237">
        <v>42.539999999999992</v>
      </c>
      <c r="E8" s="238"/>
      <c r="F8" s="346" t="s">
        <v>2938</v>
      </c>
      <c r="G8" s="238" t="s">
        <v>2948</v>
      </c>
      <c r="H8" s="239">
        <v>45</v>
      </c>
      <c r="I8" s="234" t="s">
        <v>2940</v>
      </c>
      <c r="J8" s="346" t="s">
        <v>2949</v>
      </c>
      <c r="K8" s="341"/>
      <c r="L8" s="341"/>
      <c r="M8" s="341"/>
      <c r="N8" s="347"/>
    </row>
    <row r="9" spans="2:19" ht="14.25" customHeight="1" x14ac:dyDescent="0.25">
      <c r="B9" s="361"/>
      <c r="C9" s="237"/>
      <c r="D9" s="237"/>
      <c r="E9" s="207"/>
      <c r="F9" s="348"/>
      <c r="G9" s="207" t="s">
        <v>2943</v>
      </c>
      <c r="H9" s="240">
        <v>45</v>
      </c>
      <c r="I9" s="234" t="s">
        <v>2940</v>
      </c>
      <c r="J9" s="348"/>
      <c r="K9" s="349"/>
      <c r="L9" s="349"/>
      <c r="M9" s="349"/>
      <c r="N9" s="350"/>
    </row>
    <row r="10" spans="2:19" ht="14.25" customHeight="1" x14ac:dyDescent="0.25">
      <c r="B10" s="362"/>
      <c r="C10" s="207"/>
      <c r="D10" s="207"/>
      <c r="E10" s="241"/>
      <c r="F10" s="343"/>
      <c r="G10" s="207" t="s">
        <v>2950</v>
      </c>
      <c r="H10" s="240">
        <v>85</v>
      </c>
      <c r="I10" s="236" t="s">
        <v>2945</v>
      </c>
      <c r="J10" s="343"/>
      <c r="K10" s="344"/>
      <c r="L10" s="344"/>
      <c r="M10" s="344"/>
      <c r="N10" s="351"/>
    </row>
    <row r="11" spans="2:19" ht="71.25" customHeight="1" x14ac:dyDescent="0.25">
      <c r="B11" s="242" t="s">
        <v>2188</v>
      </c>
      <c r="C11" s="243">
        <v>9.4499999999999993</v>
      </c>
      <c r="D11" s="243">
        <v>35.97</v>
      </c>
      <c r="E11" s="244"/>
      <c r="F11" s="245" t="s">
        <v>2938</v>
      </c>
      <c r="G11" s="229" t="s">
        <v>2951</v>
      </c>
      <c r="H11" s="246"/>
      <c r="I11" s="247"/>
      <c r="J11" s="352" t="s">
        <v>2952</v>
      </c>
      <c r="K11" s="353"/>
      <c r="L11" s="353"/>
      <c r="M11" s="353"/>
      <c r="N11" s="354"/>
      <c r="O11" s="248" t="s">
        <v>2953</v>
      </c>
    </row>
    <row r="12" spans="2:19" ht="14.25" customHeight="1" x14ac:dyDescent="0.25"/>
    <row r="13" spans="2:19" ht="14.25" customHeight="1" x14ac:dyDescent="0.25"/>
    <row r="14" spans="2:19" ht="14.25" customHeight="1" x14ac:dyDescent="0.25"/>
    <row r="15" spans="2:19" ht="14.25" customHeight="1" x14ac:dyDescent="0.25"/>
    <row r="16" spans="2:19"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0">
    <mergeCell ref="J6:N7"/>
    <mergeCell ref="J8:N10"/>
    <mergeCell ref="J11:N11"/>
    <mergeCell ref="B3:B5"/>
    <mergeCell ref="F3:F5"/>
    <mergeCell ref="J3:N5"/>
    <mergeCell ref="B6:B7"/>
    <mergeCell ref="F6:F7"/>
    <mergeCell ref="B8:B10"/>
    <mergeCell ref="F8:F10"/>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F1000"/>
  <sheetViews>
    <sheetView workbookViewId="0">
      <pane xSplit="1" topLeftCell="B1" activePane="topRight" state="frozen"/>
      <selection pane="topRight" activeCell="C2" sqref="C2"/>
    </sheetView>
  </sheetViews>
  <sheetFormatPr defaultColWidth="14.42578125" defaultRowHeight="15" customHeight="1" outlineLevelCol="1" x14ac:dyDescent="0.25"/>
  <cols>
    <col min="3" max="3" width="20.5703125" customWidth="1" outlineLevel="1"/>
    <col min="4" max="6" width="14.42578125" outlineLevel="1"/>
    <col min="7" max="7" width="24.28515625" customWidth="1" outlineLevel="1"/>
    <col min="8" max="8" width="45.28515625" customWidth="1" outlineLevel="1"/>
    <col min="9" max="19" width="14.42578125" outlineLevel="1"/>
    <col min="21" max="21" width="25" customWidth="1"/>
  </cols>
  <sheetData>
    <row r="1" spans="1:58" ht="14.25" customHeight="1" x14ac:dyDescent="0.35">
      <c r="A1" s="249" t="s">
        <v>2954</v>
      </c>
      <c r="B1" s="250"/>
      <c r="C1" s="250"/>
      <c r="D1" s="250"/>
      <c r="E1" s="250"/>
      <c r="F1" s="250"/>
      <c r="G1" s="250"/>
      <c r="H1" s="250"/>
      <c r="I1" s="250"/>
      <c r="J1" s="250"/>
      <c r="K1" s="250"/>
      <c r="L1" s="250"/>
      <c r="M1" s="250"/>
      <c r="N1" s="250"/>
      <c r="O1" s="250"/>
      <c r="P1" s="250"/>
      <c r="Q1" s="250"/>
      <c r="R1" s="250"/>
      <c r="S1" s="250"/>
      <c r="T1" s="251"/>
      <c r="U1" s="252"/>
      <c r="V1" s="252"/>
      <c r="W1" s="252"/>
      <c r="X1" s="253"/>
      <c r="Y1" s="254"/>
      <c r="Z1" s="250"/>
      <c r="AA1" s="250"/>
      <c r="AB1" s="250"/>
      <c r="AC1" s="250"/>
      <c r="AD1" s="250"/>
      <c r="AE1" s="250"/>
      <c r="AF1" s="250"/>
      <c r="AG1" s="250"/>
      <c r="AH1" s="250"/>
      <c r="AI1" s="250"/>
      <c r="AJ1" s="250"/>
      <c r="AK1" s="250"/>
      <c r="AL1" s="250"/>
      <c r="AM1" s="250"/>
      <c r="AN1" s="250"/>
      <c r="AO1" s="250"/>
      <c r="AP1" s="250"/>
      <c r="AQ1" s="250"/>
      <c r="AR1" s="250"/>
      <c r="AS1" s="250"/>
      <c r="AT1" s="250"/>
      <c r="AU1" s="250"/>
      <c r="AV1" s="250"/>
      <c r="AW1" s="250"/>
      <c r="AX1" s="250"/>
      <c r="AY1" s="250"/>
      <c r="AZ1" s="250"/>
      <c r="BA1" s="250"/>
      <c r="BB1" s="250"/>
      <c r="BC1" s="250"/>
      <c r="BD1" s="250"/>
      <c r="BE1" s="250"/>
      <c r="BF1" s="250"/>
    </row>
    <row r="2" spans="1:58" ht="14.25" customHeight="1" x14ac:dyDescent="0.35">
      <c r="A2" s="255" t="s">
        <v>2955</v>
      </c>
      <c r="B2" s="250"/>
      <c r="C2" s="250"/>
      <c r="D2" s="250"/>
      <c r="E2" s="250"/>
      <c r="F2" s="250"/>
      <c r="G2" s="250"/>
      <c r="H2" s="250"/>
      <c r="I2" s="250"/>
      <c r="J2" s="250"/>
      <c r="K2" s="250"/>
      <c r="L2" s="250"/>
      <c r="M2" s="250"/>
      <c r="N2" s="250"/>
      <c r="O2" s="250"/>
      <c r="P2" s="250"/>
      <c r="Q2" s="250"/>
      <c r="R2" s="250"/>
      <c r="S2" s="250"/>
      <c r="T2" s="251"/>
      <c r="U2" s="252"/>
      <c r="V2" s="252"/>
      <c r="W2" s="252"/>
      <c r="X2" s="253"/>
      <c r="Y2" s="254"/>
      <c r="Z2" s="250"/>
      <c r="AA2" s="250"/>
      <c r="AB2" s="250"/>
      <c r="AC2" s="250"/>
      <c r="AD2" s="250"/>
      <c r="AE2" s="250"/>
      <c r="AF2" s="250"/>
      <c r="AG2" s="250"/>
      <c r="AH2" s="250"/>
      <c r="AI2" s="250"/>
      <c r="AJ2" s="250"/>
      <c r="AK2" s="250"/>
      <c r="AL2" s="250"/>
      <c r="AM2" s="250"/>
      <c r="AN2" s="250"/>
      <c r="AO2" s="250"/>
      <c r="AP2" s="250"/>
      <c r="AQ2" s="250"/>
      <c r="AR2" s="250"/>
      <c r="AS2" s="250"/>
      <c r="AT2" s="250"/>
      <c r="AU2" s="250"/>
      <c r="AV2" s="250"/>
      <c r="AW2" s="250"/>
      <c r="AX2" s="250"/>
      <c r="AY2" s="250"/>
      <c r="AZ2" s="250"/>
      <c r="BA2" s="250"/>
      <c r="BB2" s="250"/>
      <c r="BC2" s="250"/>
      <c r="BD2" s="250"/>
      <c r="BE2" s="250"/>
      <c r="BF2" s="250"/>
    </row>
    <row r="3" spans="1:58" ht="14.25" customHeight="1" x14ac:dyDescent="0.35">
      <c r="A3" s="256" t="s">
        <v>1643</v>
      </c>
      <c r="B3" s="250"/>
      <c r="C3" s="250"/>
      <c r="D3" s="250"/>
      <c r="E3" s="250"/>
      <c r="F3" s="250"/>
      <c r="G3" s="250"/>
      <c r="H3" s="250"/>
      <c r="I3" s="250"/>
      <c r="J3" s="250"/>
      <c r="K3" s="250"/>
      <c r="L3" s="250"/>
      <c r="M3" s="250"/>
      <c r="N3" s="250"/>
      <c r="O3" s="250"/>
      <c r="P3" s="250"/>
      <c r="Q3" s="250"/>
      <c r="R3" s="250"/>
      <c r="S3" s="250"/>
      <c r="T3" s="251"/>
      <c r="U3" s="252"/>
      <c r="V3" s="252"/>
      <c r="W3" s="252"/>
      <c r="X3" s="253"/>
      <c r="Y3" s="254"/>
      <c r="Z3" s="250"/>
      <c r="AA3" s="250"/>
      <c r="AB3" s="250"/>
      <c r="AC3" s="250"/>
      <c r="AD3" s="250"/>
      <c r="AE3" s="250"/>
      <c r="AF3" s="250"/>
      <c r="AG3" s="250"/>
      <c r="AH3" s="250"/>
      <c r="AI3" s="250"/>
      <c r="AJ3" s="250"/>
      <c r="AK3" s="250"/>
      <c r="AL3" s="250"/>
      <c r="AM3" s="250"/>
      <c r="AN3" s="250"/>
      <c r="AO3" s="250"/>
      <c r="AP3" s="250"/>
      <c r="AQ3" s="250"/>
      <c r="AR3" s="250"/>
      <c r="AS3" s="250"/>
      <c r="AT3" s="250"/>
      <c r="AU3" s="250"/>
      <c r="AV3" s="250"/>
      <c r="AW3" s="250"/>
      <c r="AX3" s="250"/>
      <c r="AY3" s="250"/>
      <c r="AZ3" s="250"/>
      <c r="BA3" s="250"/>
      <c r="BB3" s="250"/>
      <c r="BC3" s="250"/>
      <c r="BD3" s="250"/>
      <c r="BE3" s="250"/>
      <c r="BF3" s="250"/>
    </row>
    <row r="4" spans="1:58" ht="14.25" customHeight="1" x14ac:dyDescent="0.35">
      <c r="A4" s="250"/>
      <c r="B4" s="250"/>
      <c r="C4" s="250"/>
      <c r="D4" s="250"/>
      <c r="E4" s="250"/>
      <c r="F4" s="250"/>
      <c r="G4" s="250"/>
      <c r="H4" s="250"/>
      <c r="I4" s="250"/>
      <c r="J4" s="250"/>
      <c r="K4" s="250"/>
      <c r="L4" s="250"/>
      <c r="M4" s="250"/>
      <c r="N4" s="250"/>
      <c r="O4" s="250"/>
      <c r="P4" s="250"/>
      <c r="Q4" s="250"/>
      <c r="R4" s="250"/>
      <c r="S4" s="250"/>
      <c r="T4" s="251"/>
      <c r="U4" s="252"/>
      <c r="V4" s="252"/>
      <c r="W4" s="252"/>
      <c r="X4" s="253"/>
      <c r="Y4" s="254"/>
      <c r="Z4" s="250"/>
      <c r="AA4" s="250"/>
      <c r="AB4" s="250"/>
      <c r="AC4" s="250"/>
      <c r="AD4" s="250"/>
      <c r="AE4" s="250"/>
      <c r="AF4" s="250"/>
      <c r="AG4" s="250"/>
      <c r="AH4" s="250"/>
      <c r="AI4" s="250"/>
      <c r="AJ4" s="250"/>
      <c r="AK4" s="250"/>
      <c r="AL4" s="250"/>
      <c r="AM4" s="250"/>
      <c r="AN4" s="250"/>
      <c r="AO4" s="250"/>
      <c r="AP4" s="250"/>
      <c r="AQ4" s="250"/>
      <c r="AR4" s="250"/>
      <c r="AS4" s="250"/>
      <c r="AT4" s="250"/>
      <c r="AU4" s="250"/>
      <c r="AV4" s="250"/>
      <c r="AW4" s="250"/>
      <c r="AX4" s="250"/>
      <c r="AY4" s="250"/>
      <c r="AZ4" s="250"/>
      <c r="BA4" s="250"/>
      <c r="BB4" s="250"/>
      <c r="BC4" s="250"/>
      <c r="BD4" s="250"/>
      <c r="BE4" s="250"/>
      <c r="BF4" s="250"/>
    </row>
    <row r="5" spans="1:58" ht="14.25" customHeight="1" x14ac:dyDescent="0.35">
      <c r="A5" s="257" t="s">
        <v>43</v>
      </c>
      <c r="B5" s="257" t="s">
        <v>44</v>
      </c>
      <c r="C5" s="257" t="s">
        <v>47</v>
      </c>
      <c r="D5" s="257" t="s">
        <v>48</v>
      </c>
      <c r="E5" s="257" t="s">
        <v>49</v>
      </c>
      <c r="F5" s="257" t="s">
        <v>50</v>
      </c>
      <c r="G5" s="257" t="s">
        <v>51</v>
      </c>
      <c r="H5" s="257" t="s">
        <v>52</v>
      </c>
      <c r="I5" s="257" t="s">
        <v>55</v>
      </c>
      <c r="J5" s="257" t="s">
        <v>56</v>
      </c>
      <c r="K5" s="257" t="s">
        <v>57</v>
      </c>
      <c r="L5" s="257" t="s">
        <v>58</v>
      </c>
      <c r="M5" s="257" t="s">
        <v>2956</v>
      </c>
      <c r="N5" s="257" t="s">
        <v>2957</v>
      </c>
      <c r="O5" s="257" t="s">
        <v>2958</v>
      </c>
      <c r="P5" s="257" t="s">
        <v>2959</v>
      </c>
      <c r="Q5" s="257" t="s">
        <v>2960</v>
      </c>
      <c r="R5" s="257" t="s">
        <v>2961</v>
      </c>
      <c r="S5" s="257" t="s">
        <v>78</v>
      </c>
      <c r="T5" s="258" t="s">
        <v>80</v>
      </c>
      <c r="U5" s="259" t="s">
        <v>81</v>
      </c>
      <c r="V5" s="259" t="s">
        <v>82</v>
      </c>
      <c r="W5" s="259" t="s">
        <v>83</v>
      </c>
      <c r="X5" s="253" t="s">
        <v>84</v>
      </c>
      <c r="Y5" s="260" t="s">
        <v>46</v>
      </c>
      <c r="Z5" s="257" t="s">
        <v>2962</v>
      </c>
      <c r="AA5" s="257"/>
      <c r="AB5" s="257"/>
      <c r="AC5" s="257"/>
      <c r="AD5" s="257"/>
      <c r="AE5" s="257"/>
      <c r="AF5" s="257"/>
      <c r="AG5" s="257"/>
      <c r="AH5" s="257"/>
      <c r="AI5" s="257"/>
      <c r="AJ5" s="257"/>
      <c r="AK5" s="250"/>
      <c r="AL5" s="250"/>
      <c r="AM5" s="250"/>
      <c r="AN5" s="250"/>
      <c r="AO5" s="250"/>
      <c r="AP5" s="250"/>
      <c r="AQ5" s="250"/>
      <c r="AR5" s="250"/>
      <c r="AS5" s="250"/>
      <c r="AT5" s="250"/>
      <c r="AU5" s="250"/>
      <c r="AV5" s="250"/>
      <c r="AW5" s="250"/>
      <c r="AX5" s="250"/>
      <c r="AY5" s="250"/>
      <c r="AZ5" s="250"/>
      <c r="BA5" s="250"/>
      <c r="BB5" s="250"/>
      <c r="BC5" s="250"/>
      <c r="BD5" s="250"/>
      <c r="BE5" s="250"/>
      <c r="BF5" s="250"/>
    </row>
    <row r="6" spans="1:58" ht="14.25" customHeight="1" x14ac:dyDescent="0.25">
      <c r="A6" s="249" t="s">
        <v>307</v>
      </c>
      <c r="B6" s="249" t="s">
        <v>308</v>
      </c>
      <c r="C6" s="261" t="s">
        <v>193</v>
      </c>
      <c r="D6" s="249" t="s">
        <v>309</v>
      </c>
      <c r="E6" s="249" t="s">
        <v>310</v>
      </c>
      <c r="F6" s="249" t="s">
        <v>311</v>
      </c>
      <c r="G6" s="249" t="s">
        <v>302</v>
      </c>
      <c r="H6" s="249" t="s">
        <v>312</v>
      </c>
      <c r="I6" s="249" t="s">
        <v>151</v>
      </c>
      <c r="J6" s="249">
        <v>153</v>
      </c>
      <c r="K6" s="262">
        <v>0</v>
      </c>
      <c r="L6" s="262">
        <f t="shared" ref="L6:L28" si="0">J6+K6</f>
        <v>153</v>
      </c>
      <c r="M6" s="263">
        <v>0.36</v>
      </c>
      <c r="N6" s="262">
        <v>0</v>
      </c>
      <c r="O6" s="264">
        <f t="shared" ref="O6:O28" si="1">N6+M6</f>
        <v>0.36</v>
      </c>
      <c r="P6" s="264">
        <v>21.12</v>
      </c>
      <c r="Q6" s="264">
        <v>1.33</v>
      </c>
      <c r="R6" s="265">
        <v>322.88</v>
      </c>
      <c r="S6" s="249" t="s">
        <v>190</v>
      </c>
      <c r="T6" s="266">
        <v>46180</v>
      </c>
      <c r="U6" s="267" t="s">
        <v>305</v>
      </c>
      <c r="V6" s="268" t="s">
        <v>313</v>
      </c>
      <c r="W6" s="268" t="s">
        <v>239</v>
      </c>
      <c r="X6" s="249"/>
      <c r="Y6" s="249" t="s">
        <v>314</v>
      </c>
      <c r="Z6" s="269"/>
      <c r="AA6" s="269"/>
      <c r="AB6" s="269"/>
      <c r="AC6" s="269"/>
      <c r="AD6" s="269"/>
      <c r="AE6" s="269"/>
      <c r="AF6" s="269"/>
      <c r="AG6" s="269"/>
      <c r="AH6" s="269"/>
      <c r="AI6" s="269"/>
      <c r="AJ6" s="269"/>
      <c r="AK6" s="270"/>
      <c r="AL6" s="270"/>
      <c r="AM6" s="270"/>
      <c r="AN6" s="270"/>
      <c r="AO6" s="270"/>
      <c r="AP6" s="270"/>
      <c r="AQ6" s="270"/>
      <c r="AR6" s="270"/>
      <c r="AS6" s="270"/>
      <c r="AT6" s="270"/>
      <c r="AU6" s="270"/>
      <c r="AV6" s="270"/>
      <c r="AW6" s="270"/>
      <c r="AX6" s="270"/>
      <c r="AY6" s="270"/>
      <c r="AZ6" s="270"/>
      <c r="BA6" s="270"/>
      <c r="BB6" s="270"/>
      <c r="BC6" s="270"/>
      <c r="BD6" s="270"/>
      <c r="BE6" s="270"/>
      <c r="BF6" s="270"/>
    </row>
    <row r="7" spans="1:58" ht="14.25" customHeight="1" x14ac:dyDescent="0.25">
      <c r="A7" s="271" t="s">
        <v>724</v>
      </c>
      <c r="B7" s="271"/>
      <c r="C7" s="271" t="s">
        <v>718</v>
      </c>
      <c r="D7" s="271" t="s">
        <v>95</v>
      </c>
      <c r="E7" s="271" t="s">
        <v>725</v>
      </c>
      <c r="F7" s="271" t="s">
        <v>726</v>
      </c>
      <c r="G7" s="271" t="s">
        <v>721</v>
      </c>
      <c r="H7" s="271" t="s">
        <v>727</v>
      </c>
      <c r="I7" s="271" t="s">
        <v>159</v>
      </c>
      <c r="J7" s="271">
        <v>121</v>
      </c>
      <c r="K7" s="272">
        <v>37</v>
      </c>
      <c r="L7" s="272">
        <f t="shared" si="0"/>
        <v>158</v>
      </c>
      <c r="M7" s="273">
        <v>0.28000000000000003</v>
      </c>
      <c r="N7" s="273">
        <v>2.74</v>
      </c>
      <c r="O7" s="273">
        <f t="shared" si="1"/>
        <v>3.0200000000000005</v>
      </c>
      <c r="P7" s="273">
        <v>20</v>
      </c>
      <c r="Q7" s="273">
        <v>6.32</v>
      </c>
      <c r="R7" s="272">
        <v>313</v>
      </c>
      <c r="S7" s="271" t="s">
        <v>147</v>
      </c>
      <c r="T7" s="274">
        <v>44674</v>
      </c>
      <c r="U7" s="275" t="s">
        <v>728</v>
      </c>
      <c r="V7" s="275" t="s">
        <v>313</v>
      </c>
      <c r="W7" s="275" t="s">
        <v>544</v>
      </c>
      <c r="X7" s="271"/>
      <c r="Y7" s="271"/>
      <c r="Z7" s="276"/>
      <c r="AA7" s="276"/>
      <c r="AB7" s="276"/>
      <c r="AC7" s="276"/>
      <c r="AD7" s="276"/>
      <c r="AE7" s="276"/>
      <c r="AF7" s="276"/>
      <c r="AG7" s="276"/>
      <c r="AH7" s="276"/>
      <c r="AI7" s="276"/>
      <c r="AJ7" s="276"/>
      <c r="AK7" s="276"/>
      <c r="AL7" s="276"/>
      <c r="AM7" s="276"/>
      <c r="AN7" s="276"/>
      <c r="AO7" s="276"/>
      <c r="AP7" s="276"/>
      <c r="AQ7" s="276"/>
      <c r="AR7" s="276"/>
      <c r="AS7" s="276"/>
      <c r="AT7" s="276"/>
      <c r="AU7" s="276"/>
      <c r="AV7" s="276"/>
      <c r="AW7" s="276"/>
      <c r="AX7" s="276"/>
      <c r="AY7" s="276"/>
      <c r="AZ7" s="276"/>
      <c r="BA7" s="276"/>
      <c r="BB7" s="276"/>
      <c r="BC7" s="276"/>
      <c r="BD7" s="276"/>
      <c r="BE7" s="276"/>
      <c r="BF7" s="276"/>
    </row>
    <row r="8" spans="1:58" ht="14.25" customHeight="1" x14ac:dyDescent="0.25">
      <c r="A8" s="271" t="s">
        <v>747</v>
      </c>
      <c r="B8" s="271"/>
      <c r="C8" s="271" t="s">
        <v>718</v>
      </c>
      <c r="D8" s="271" t="s">
        <v>95</v>
      </c>
      <c r="E8" s="271" t="s">
        <v>748</v>
      </c>
      <c r="F8" s="271" t="s">
        <v>749</v>
      </c>
      <c r="G8" s="271" t="s">
        <v>721</v>
      </c>
      <c r="H8" s="271" t="s">
        <v>750</v>
      </c>
      <c r="I8" s="271" t="s">
        <v>159</v>
      </c>
      <c r="J8" s="271">
        <v>483</v>
      </c>
      <c r="K8" s="272">
        <v>0</v>
      </c>
      <c r="L8" s="272">
        <f t="shared" si="0"/>
        <v>483</v>
      </c>
      <c r="M8" s="273">
        <v>1.1399999999999999</v>
      </c>
      <c r="N8" s="273">
        <v>0</v>
      </c>
      <c r="O8" s="273">
        <f t="shared" si="1"/>
        <v>1.1399999999999999</v>
      </c>
      <c r="P8" s="273">
        <v>4.3</v>
      </c>
      <c r="Q8" s="273">
        <v>4.1900000000000004</v>
      </c>
      <c r="R8" s="272">
        <v>1870.7</v>
      </c>
      <c r="S8" s="271" t="s">
        <v>190</v>
      </c>
      <c r="T8" s="274">
        <v>44674</v>
      </c>
      <c r="U8" s="275" t="s">
        <v>751</v>
      </c>
      <c r="V8" s="275" t="s">
        <v>313</v>
      </c>
      <c r="W8" s="275" t="s">
        <v>544</v>
      </c>
      <c r="X8" s="271"/>
      <c r="Y8" s="271"/>
      <c r="Z8" s="276"/>
      <c r="AA8" s="276"/>
      <c r="AB8" s="276"/>
      <c r="AC8" s="276"/>
      <c r="AD8" s="276"/>
      <c r="AE8" s="276"/>
      <c r="AF8" s="276"/>
      <c r="AG8" s="276"/>
      <c r="AH8" s="276"/>
      <c r="AI8" s="276"/>
      <c r="AJ8" s="276"/>
      <c r="AK8" s="276"/>
      <c r="AL8" s="276"/>
      <c r="AM8" s="276"/>
      <c r="AN8" s="276"/>
      <c r="AO8" s="276"/>
      <c r="AP8" s="276"/>
      <c r="AQ8" s="276"/>
      <c r="AR8" s="276"/>
      <c r="AS8" s="276"/>
      <c r="AT8" s="276"/>
      <c r="AU8" s="276"/>
      <c r="AV8" s="276"/>
      <c r="AW8" s="276"/>
      <c r="AX8" s="276"/>
      <c r="AY8" s="276"/>
      <c r="AZ8" s="276"/>
      <c r="BA8" s="276"/>
      <c r="BB8" s="276"/>
      <c r="BC8" s="276"/>
      <c r="BD8" s="276"/>
      <c r="BE8" s="276"/>
      <c r="BF8" s="276"/>
    </row>
    <row r="9" spans="1:58" ht="14.25" customHeight="1" x14ac:dyDescent="0.25">
      <c r="A9" s="271" t="s">
        <v>777</v>
      </c>
      <c r="B9" s="277" t="s">
        <v>778</v>
      </c>
      <c r="C9" s="271" t="s">
        <v>764</v>
      </c>
      <c r="D9" s="271" t="s">
        <v>95</v>
      </c>
      <c r="E9" s="271" t="s">
        <v>779</v>
      </c>
      <c r="F9" s="271" t="s">
        <v>780</v>
      </c>
      <c r="G9" s="271" t="s">
        <v>767</v>
      </c>
      <c r="H9" s="271" t="s">
        <v>727</v>
      </c>
      <c r="I9" s="271" t="s">
        <v>118</v>
      </c>
      <c r="J9" s="271">
        <v>4159</v>
      </c>
      <c r="K9" s="272">
        <v>214.5</v>
      </c>
      <c r="L9" s="272">
        <f t="shared" si="0"/>
        <v>4373.5</v>
      </c>
      <c r="M9" s="273">
        <v>9.7799999999999994</v>
      </c>
      <c r="N9" s="273">
        <v>6.6</v>
      </c>
      <c r="O9" s="273">
        <f t="shared" si="1"/>
        <v>16.38</v>
      </c>
      <c r="P9" s="273">
        <v>139</v>
      </c>
      <c r="Q9" s="273">
        <v>42.54</v>
      </c>
      <c r="R9" s="272">
        <v>-96</v>
      </c>
      <c r="S9" s="271" t="s">
        <v>147</v>
      </c>
      <c r="T9" s="274">
        <v>45412</v>
      </c>
      <c r="U9" s="275" t="s">
        <v>781</v>
      </c>
      <c r="V9" s="275" t="s">
        <v>313</v>
      </c>
      <c r="W9" s="275" t="s">
        <v>544</v>
      </c>
      <c r="X9" s="277"/>
      <c r="Y9" s="277"/>
      <c r="Z9" s="276"/>
      <c r="AA9" s="276"/>
      <c r="AB9" s="276"/>
      <c r="AC9" s="276"/>
      <c r="AD9" s="276"/>
      <c r="AE9" s="276"/>
      <c r="AF9" s="276"/>
      <c r="AG9" s="276"/>
      <c r="AH9" s="276"/>
      <c r="AI9" s="276"/>
      <c r="AJ9" s="276"/>
      <c r="AK9" s="276"/>
      <c r="AL9" s="276"/>
      <c r="AM9" s="276"/>
      <c r="AN9" s="276"/>
      <c r="AO9" s="276"/>
      <c r="AP9" s="276"/>
      <c r="AQ9" s="276"/>
      <c r="AR9" s="276"/>
      <c r="AS9" s="276"/>
      <c r="AT9" s="276"/>
      <c r="AU9" s="276"/>
      <c r="AV9" s="276"/>
      <c r="AW9" s="276"/>
      <c r="AX9" s="276"/>
      <c r="AY9" s="276"/>
      <c r="AZ9" s="276"/>
      <c r="BA9" s="276"/>
      <c r="BB9" s="276"/>
      <c r="BC9" s="276"/>
      <c r="BD9" s="276"/>
      <c r="BE9" s="276"/>
      <c r="BF9" s="276"/>
    </row>
    <row r="10" spans="1:58" ht="14.25" customHeight="1" x14ac:dyDescent="0.25">
      <c r="A10" s="271" t="s">
        <v>782</v>
      </c>
      <c r="B10" s="277" t="s">
        <v>783</v>
      </c>
      <c r="C10" s="271" t="s">
        <v>764</v>
      </c>
      <c r="D10" s="271" t="s">
        <v>95</v>
      </c>
      <c r="E10" s="271" t="s">
        <v>785</v>
      </c>
      <c r="F10" s="271" t="s">
        <v>786</v>
      </c>
      <c r="G10" s="271" t="s">
        <v>767</v>
      </c>
      <c r="H10" s="271" t="s">
        <v>727</v>
      </c>
      <c r="I10" s="271" t="s">
        <v>151</v>
      </c>
      <c r="J10" s="271">
        <v>4159</v>
      </c>
      <c r="K10" s="272">
        <v>214.5</v>
      </c>
      <c r="L10" s="272">
        <f t="shared" si="0"/>
        <v>4373.5</v>
      </c>
      <c r="M10" s="273">
        <v>9.7799999999999994</v>
      </c>
      <c r="N10" s="273">
        <v>6.6</v>
      </c>
      <c r="O10" s="273">
        <f t="shared" si="1"/>
        <v>16.38</v>
      </c>
      <c r="P10" s="273">
        <v>38.229999999999997</v>
      </c>
      <c r="Q10" s="278">
        <v>42.54</v>
      </c>
      <c r="R10" s="272">
        <v>2746.77</v>
      </c>
      <c r="S10" s="271" t="s">
        <v>190</v>
      </c>
      <c r="T10" s="274">
        <v>45423</v>
      </c>
      <c r="U10" s="275" t="s">
        <v>787</v>
      </c>
      <c r="V10" s="275" t="s">
        <v>313</v>
      </c>
      <c r="W10" s="275" t="s">
        <v>544</v>
      </c>
      <c r="X10" s="277"/>
      <c r="Y10" s="277"/>
      <c r="Z10" s="276"/>
      <c r="AA10" s="276"/>
      <c r="AB10" s="276"/>
      <c r="AC10" s="276"/>
      <c r="AD10" s="276"/>
      <c r="AE10" s="276"/>
      <c r="AF10" s="276"/>
      <c r="AG10" s="276"/>
      <c r="AH10" s="276"/>
      <c r="AI10" s="276"/>
      <c r="AJ10" s="276"/>
      <c r="AK10" s="276"/>
      <c r="AL10" s="276"/>
      <c r="AM10" s="276"/>
      <c r="AN10" s="276"/>
      <c r="AO10" s="276"/>
      <c r="AP10" s="276"/>
      <c r="AQ10" s="276"/>
      <c r="AR10" s="276"/>
      <c r="AS10" s="276"/>
      <c r="AT10" s="276"/>
      <c r="AU10" s="276"/>
      <c r="AV10" s="276"/>
      <c r="AW10" s="276"/>
      <c r="AX10" s="276"/>
      <c r="AY10" s="276"/>
      <c r="AZ10" s="276"/>
      <c r="BA10" s="276"/>
      <c r="BB10" s="276"/>
      <c r="BC10" s="276"/>
      <c r="BD10" s="276"/>
      <c r="BE10" s="276"/>
      <c r="BF10" s="276"/>
    </row>
    <row r="11" spans="1:58" ht="14.25" customHeight="1" x14ac:dyDescent="0.25">
      <c r="A11" s="271" t="s">
        <v>788</v>
      </c>
      <c r="B11" s="277" t="s">
        <v>789</v>
      </c>
      <c r="C11" s="271" t="s">
        <v>764</v>
      </c>
      <c r="D11" s="271" t="s">
        <v>95</v>
      </c>
      <c r="E11" s="271" t="s">
        <v>274</v>
      </c>
      <c r="F11" s="271" t="s">
        <v>2963</v>
      </c>
      <c r="G11" s="271" t="s">
        <v>767</v>
      </c>
      <c r="H11" s="271" t="s">
        <v>791</v>
      </c>
      <c r="I11" s="271" t="s">
        <v>253</v>
      </c>
      <c r="J11" s="271"/>
      <c r="K11" s="272"/>
      <c r="L11" s="272">
        <f t="shared" si="0"/>
        <v>0</v>
      </c>
      <c r="M11" s="273"/>
      <c r="N11" s="273"/>
      <c r="O11" s="273">
        <f t="shared" si="1"/>
        <v>0</v>
      </c>
      <c r="P11" s="273"/>
      <c r="Q11" s="273"/>
      <c r="R11" s="272">
        <v>0</v>
      </c>
      <c r="S11" s="271"/>
      <c r="T11" s="274">
        <v>45424</v>
      </c>
      <c r="U11" s="275" t="s">
        <v>792</v>
      </c>
      <c r="V11" s="275" t="s">
        <v>313</v>
      </c>
      <c r="W11" s="275" t="s">
        <v>544</v>
      </c>
      <c r="X11" s="277"/>
      <c r="Y11" s="277"/>
      <c r="Z11" s="276"/>
      <c r="AA11" s="276"/>
      <c r="AB11" s="276"/>
      <c r="AC11" s="276"/>
      <c r="AD11" s="276"/>
      <c r="AE11" s="276"/>
      <c r="AF11" s="276"/>
      <c r="AG11" s="276"/>
      <c r="AH11" s="276"/>
      <c r="AI11" s="276"/>
      <c r="AJ11" s="276"/>
      <c r="AK11" s="276"/>
      <c r="AL11" s="276"/>
      <c r="AM11" s="276"/>
      <c r="AN11" s="276"/>
      <c r="AO11" s="276"/>
      <c r="AP11" s="276"/>
      <c r="AQ11" s="276"/>
      <c r="AR11" s="276"/>
      <c r="AS11" s="276"/>
      <c r="AT11" s="276"/>
      <c r="AU11" s="276"/>
      <c r="AV11" s="276"/>
      <c r="AW11" s="276"/>
      <c r="AX11" s="276"/>
      <c r="AY11" s="276"/>
      <c r="AZ11" s="276"/>
      <c r="BA11" s="276"/>
      <c r="BB11" s="276"/>
      <c r="BC11" s="276"/>
      <c r="BD11" s="276"/>
      <c r="BE11" s="276"/>
      <c r="BF11" s="276"/>
    </row>
    <row r="12" spans="1:58" ht="14.25" customHeight="1" x14ac:dyDescent="0.25">
      <c r="A12" s="271" t="s">
        <v>793</v>
      </c>
      <c r="B12" s="277"/>
      <c r="C12" s="271" t="s">
        <v>764</v>
      </c>
      <c r="D12" s="271" t="s">
        <v>95</v>
      </c>
      <c r="E12" s="271" t="s">
        <v>274</v>
      </c>
      <c r="F12" s="271" t="s">
        <v>790</v>
      </c>
      <c r="G12" s="271" t="s">
        <v>767</v>
      </c>
      <c r="H12" s="271" t="s">
        <v>791</v>
      </c>
      <c r="I12" s="271" t="s">
        <v>253</v>
      </c>
      <c r="J12" s="271"/>
      <c r="K12" s="272"/>
      <c r="L12" s="272">
        <f t="shared" si="0"/>
        <v>0</v>
      </c>
      <c r="M12" s="273"/>
      <c r="N12" s="273"/>
      <c r="O12" s="273">
        <f t="shared" si="1"/>
        <v>0</v>
      </c>
      <c r="P12" s="273"/>
      <c r="Q12" s="273"/>
      <c r="R12" s="272">
        <v>0</v>
      </c>
      <c r="S12" s="271"/>
      <c r="T12" s="274">
        <v>45412</v>
      </c>
      <c r="U12" s="275" t="s">
        <v>723</v>
      </c>
      <c r="V12" s="275" t="s">
        <v>313</v>
      </c>
      <c r="W12" s="275" t="s">
        <v>544</v>
      </c>
      <c r="X12" s="277"/>
      <c r="Y12" s="277" t="s">
        <v>795</v>
      </c>
      <c r="Z12" s="276"/>
      <c r="AA12" s="276"/>
      <c r="AB12" s="276"/>
      <c r="AC12" s="276"/>
      <c r="AD12" s="276"/>
      <c r="AE12" s="276"/>
      <c r="AF12" s="276"/>
      <c r="AG12" s="276"/>
      <c r="AH12" s="276"/>
      <c r="AI12" s="276"/>
      <c r="AJ12" s="276"/>
      <c r="AK12" s="276"/>
      <c r="AL12" s="276"/>
      <c r="AM12" s="276"/>
      <c r="AN12" s="276"/>
      <c r="AO12" s="276"/>
      <c r="AP12" s="276"/>
      <c r="AQ12" s="276"/>
      <c r="AR12" s="276"/>
      <c r="AS12" s="276"/>
      <c r="AT12" s="276"/>
      <c r="AU12" s="276"/>
      <c r="AV12" s="276"/>
      <c r="AW12" s="276"/>
      <c r="AX12" s="276"/>
      <c r="AY12" s="276"/>
      <c r="AZ12" s="276"/>
      <c r="BA12" s="276"/>
      <c r="BB12" s="276"/>
      <c r="BC12" s="276"/>
      <c r="BD12" s="276"/>
      <c r="BE12" s="276"/>
      <c r="BF12" s="276"/>
    </row>
    <row r="13" spans="1:58" ht="14.25" customHeight="1" x14ac:dyDescent="0.25">
      <c r="A13" s="271" t="s">
        <v>842</v>
      </c>
      <c r="B13" s="277" t="s">
        <v>843</v>
      </c>
      <c r="C13" s="271" t="s">
        <v>764</v>
      </c>
      <c r="D13" s="271" t="s">
        <v>95</v>
      </c>
      <c r="E13" s="271" t="s">
        <v>844</v>
      </c>
      <c r="F13" s="271" t="s">
        <v>845</v>
      </c>
      <c r="G13" s="271" t="s">
        <v>767</v>
      </c>
      <c r="H13" s="271" t="s">
        <v>846</v>
      </c>
      <c r="I13" s="271" t="s">
        <v>159</v>
      </c>
      <c r="J13" s="271">
        <v>139</v>
      </c>
      <c r="K13" s="272">
        <v>0</v>
      </c>
      <c r="L13" s="272">
        <f t="shared" si="0"/>
        <v>139</v>
      </c>
      <c r="M13" s="273">
        <v>0.33</v>
      </c>
      <c r="N13" s="273">
        <v>0</v>
      </c>
      <c r="O13" s="273">
        <f t="shared" si="1"/>
        <v>0.33</v>
      </c>
      <c r="P13" s="273">
        <v>21.71</v>
      </c>
      <c r="Q13" s="273">
        <v>1.21</v>
      </c>
      <c r="R13" s="272">
        <v>462.29</v>
      </c>
      <c r="S13" s="271" t="s">
        <v>190</v>
      </c>
      <c r="T13" s="274">
        <v>45412</v>
      </c>
      <c r="U13" s="275" t="s">
        <v>847</v>
      </c>
      <c r="V13" s="275" t="s">
        <v>313</v>
      </c>
      <c r="W13" s="275" t="s">
        <v>544</v>
      </c>
      <c r="X13" s="277"/>
      <c r="Y13" s="277"/>
      <c r="Z13" s="276"/>
      <c r="AA13" s="276"/>
      <c r="AB13" s="276"/>
      <c r="AC13" s="276"/>
      <c r="AD13" s="276"/>
      <c r="AE13" s="276"/>
      <c r="AF13" s="276"/>
      <c r="AG13" s="276"/>
      <c r="AH13" s="276"/>
      <c r="AI13" s="276"/>
      <c r="AJ13" s="276"/>
      <c r="AK13" s="276"/>
      <c r="AL13" s="276"/>
      <c r="AM13" s="276"/>
      <c r="AN13" s="276"/>
      <c r="AO13" s="276"/>
      <c r="AP13" s="276"/>
      <c r="AQ13" s="276"/>
      <c r="AR13" s="276"/>
      <c r="AS13" s="276"/>
      <c r="AT13" s="276"/>
      <c r="AU13" s="276"/>
      <c r="AV13" s="276"/>
      <c r="AW13" s="276"/>
      <c r="AX13" s="276"/>
      <c r="AY13" s="276"/>
      <c r="AZ13" s="276"/>
      <c r="BA13" s="276"/>
      <c r="BB13" s="276"/>
      <c r="BC13" s="276"/>
      <c r="BD13" s="276"/>
      <c r="BE13" s="276"/>
      <c r="BF13" s="276"/>
    </row>
    <row r="14" spans="1:58" ht="14.25" customHeight="1" x14ac:dyDescent="0.25">
      <c r="A14" s="249" t="s">
        <v>860</v>
      </c>
      <c r="B14" s="279" t="s">
        <v>861</v>
      </c>
      <c r="C14" s="280" t="s">
        <v>850</v>
      </c>
      <c r="D14" s="249" t="s">
        <v>95</v>
      </c>
      <c r="E14" s="249" t="s">
        <v>862</v>
      </c>
      <c r="F14" s="249" t="s">
        <v>863</v>
      </c>
      <c r="G14" s="249" t="s">
        <v>850</v>
      </c>
      <c r="H14" s="249" t="s">
        <v>864</v>
      </c>
      <c r="I14" s="249" t="s">
        <v>151</v>
      </c>
      <c r="J14" s="249">
        <v>504</v>
      </c>
      <c r="K14" s="265">
        <v>0</v>
      </c>
      <c r="L14" s="265">
        <f t="shared" si="0"/>
        <v>504</v>
      </c>
      <c r="M14" s="263">
        <v>1.1853333333333333</v>
      </c>
      <c r="N14" s="263">
        <v>0</v>
      </c>
      <c r="O14" s="263">
        <f t="shared" si="1"/>
        <v>1.1853333333333333</v>
      </c>
      <c r="P14" s="263">
        <v>26.86</v>
      </c>
      <c r="Q14" s="263">
        <v>4.375</v>
      </c>
      <c r="R14" s="265">
        <v>897.14</v>
      </c>
      <c r="S14" s="249" t="s">
        <v>190</v>
      </c>
      <c r="T14" s="281">
        <v>46543</v>
      </c>
      <c r="U14" s="282" t="s">
        <v>854</v>
      </c>
      <c r="V14" s="282" t="s">
        <v>313</v>
      </c>
      <c r="W14" s="282" t="s">
        <v>544</v>
      </c>
      <c r="X14" s="283"/>
      <c r="Y14" s="283"/>
      <c r="Z14" s="284"/>
      <c r="AA14" s="270"/>
      <c r="AB14" s="270"/>
      <c r="AC14" s="270"/>
      <c r="AD14" s="270"/>
      <c r="AE14" s="270"/>
      <c r="AF14" s="270"/>
      <c r="AG14" s="270"/>
      <c r="AH14" s="270"/>
      <c r="AI14" s="270"/>
      <c r="AJ14" s="270"/>
      <c r="AK14" s="270"/>
      <c r="AL14" s="270"/>
      <c r="AM14" s="270"/>
      <c r="AN14" s="270"/>
      <c r="AO14" s="270"/>
      <c r="AP14" s="270"/>
      <c r="AQ14" s="270"/>
      <c r="AR14" s="270"/>
      <c r="AS14" s="270"/>
      <c r="AT14" s="270"/>
      <c r="AU14" s="270"/>
      <c r="AV14" s="270"/>
      <c r="AW14" s="270"/>
      <c r="AX14" s="270"/>
      <c r="AY14" s="270"/>
      <c r="AZ14" s="270"/>
      <c r="BA14" s="270"/>
      <c r="BB14" s="270"/>
      <c r="BC14" s="270"/>
      <c r="BD14" s="270"/>
      <c r="BE14" s="270"/>
      <c r="BF14" s="270"/>
    </row>
    <row r="15" spans="1:58" ht="14.25" customHeight="1" x14ac:dyDescent="0.25">
      <c r="A15" s="249" t="s">
        <v>865</v>
      </c>
      <c r="B15" s="279" t="s">
        <v>866</v>
      </c>
      <c r="C15" s="280" t="s">
        <v>850</v>
      </c>
      <c r="D15" s="249" t="s">
        <v>95</v>
      </c>
      <c r="E15" s="249" t="s">
        <v>867</v>
      </c>
      <c r="F15" s="249" t="s">
        <v>868</v>
      </c>
      <c r="G15" s="280" t="s">
        <v>850</v>
      </c>
      <c r="H15" s="249" t="s">
        <v>864</v>
      </c>
      <c r="I15" s="249" t="s">
        <v>151</v>
      </c>
      <c r="J15" s="249">
        <v>334</v>
      </c>
      <c r="K15" s="265">
        <v>0</v>
      </c>
      <c r="L15" s="265">
        <f t="shared" si="0"/>
        <v>334</v>
      </c>
      <c r="M15" s="263">
        <v>0.7855185185185185</v>
      </c>
      <c r="N15" s="263">
        <v>0</v>
      </c>
      <c r="O15" s="263">
        <f t="shared" si="1"/>
        <v>0.7855185185185185</v>
      </c>
      <c r="P15" s="263">
        <v>46.5</v>
      </c>
      <c r="Q15" s="263">
        <v>2.8993055555555554</v>
      </c>
      <c r="R15" s="265">
        <v>533.5</v>
      </c>
      <c r="S15" s="249" t="s">
        <v>190</v>
      </c>
      <c r="T15" s="281">
        <v>46543</v>
      </c>
      <c r="U15" s="282" t="s">
        <v>854</v>
      </c>
      <c r="V15" s="282" t="s">
        <v>313</v>
      </c>
      <c r="W15" s="282" t="s">
        <v>544</v>
      </c>
      <c r="X15" s="283"/>
      <c r="Y15" s="283"/>
      <c r="Z15" s="284"/>
      <c r="AA15" s="270"/>
      <c r="AB15" s="270"/>
      <c r="AC15" s="270"/>
      <c r="AD15" s="270"/>
      <c r="AE15" s="270"/>
      <c r="AF15" s="270"/>
      <c r="AG15" s="270"/>
      <c r="AH15" s="270"/>
      <c r="AI15" s="270"/>
      <c r="AJ15" s="270"/>
      <c r="AK15" s="270"/>
      <c r="AL15" s="270"/>
      <c r="AM15" s="270"/>
      <c r="AN15" s="270"/>
      <c r="AO15" s="270"/>
      <c r="AP15" s="270"/>
      <c r="AQ15" s="270"/>
      <c r="AR15" s="270"/>
      <c r="AS15" s="270"/>
      <c r="AT15" s="270"/>
      <c r="AU15" s="270"/>
      <c r="AV15" s="270"/>
      <c r="AW15" s="270"/>
      <c r="AX15" s="270"/>
      <c r="AY15" s="270"/>
      <c r="AZ15" s="270"/>
      <c r="BA15" s="270"/>
      <c r="BB15" s="270"/>
      <c r="BC15" s="270"/>
      <c r="BD15" s="270"/>
      <c r="BE15" s="270"/>
      <c r="BF15" s="270"/>
    </row>
    <row r="16" spans="1:58" ht="14.25" customHeight="1" x14ac:dyDescent="0.25">
      <c r="A16" s="249" t="s">
        <v>869</v>
      </c>
      <c r="B16" s="279" t="s">
        <v>870</v>
      </c>
      <c r="C16" s="280" t="s">
        <v>850</v>
      </c>
      <c r="D16" s="249" t="s">
        <v>95</v>
      </c>
      <c r="E16" s="249" t="s">
        <v>871</v>
      </c>
      <c r="F16" s="249" t="s">
        <v>872</v>
      </c>
      <c r="G16" s="280" t="s">
        <v>850</v>
      </c>
      <c r="H16" s="249" t="s">
        <v>864</v>
      </c>
      <c r="I16" s="249" t="s">
        <v>151</v>
      </c>
      <c r="J16" s="249">
        <v>1531</v>
      </c>
      <c r="K16" s="265">
        <v>24</v>
      </c>
      <c r="L16" s="265">
        <f t="shared" si="0"/>
        <v>1555</v>
      </c>
      <c r="M16" s="263">
        <v>3.6006851851851849</v>
      </c>
      <c r="N16" s="263">
        <v>9.5138888888888884E-2</v>
      </c>
      <c r="O16" s="263">
        <f t="shared" si="1"/>
        <v>3.695824074074074</v>
      </c>
      <c r="P16" s="263">
        <v>67.34</v>
      </c>
      <c r="Q16" s="263">
        <v>13.498263888888889</v>
      </c>
      <c r="R16" s="265">
        <v>221.66</v>
      </c>
      <c r="S16" s="249" t="s">
        <v>190</v>
      </c>
      <c r="T16" s="281">
        <v>46543</v>
      </c>
      <c r="U16" s="282" t="s">
        <v>854</v>
      </c>
      <c r="V16" s="282" t="s">
        <v>313</v>
      </c>
      <c r="W16" s="282" t="s">
        <v>544</v>
      </c>
      <c r="X16" s="283"/>
      <c r="Y16" s="283"/>
      <c r="Z16" s="284"/>
      <c r="AA16" s="270"/>
      <c r="AB16" s="270"/>
      <c r="AC16" s="270"/>
      <c r="AD16" s="270"/>
      <c r="AE16" s="270"/>
      <c r="AF16" s="270"/>
      <c r="AG16" s="270"/>
      <c r="AH16" s="270"/>
      <c r="AI16" s="270"/>
      <c r="AJ16" s="270"/>
      <c r="AK16" s="270"/>
      <c r="AL16" s="270"/>
      <c r="AM16" s="270"/>
      <c r="AN16" s="270"/>
      <c r="AO16" s="270"/>
      <c r="AP16" s="270"/>
      <c r="AQ16" s="270"/>
      <c r="AR16" s="270"/>
      <c r="AS16" s="270"/>
      <c r="AT16" s="270"/>
      <c r="AU16" s="270"/>
      <c r="AV16" s="270"/>
      <c r="AW16" s="270"/>
      <c r="AX16" s="270"/>
      <c r="AY16" s="270"/>
      <c r="AZ16" s="270"/>
      <c r="BA16" s="270"/>
      <c r="BB16" s="270"/>
      <c r="BC16" s="270"/>
      <c r="BD16" s="270"/>
      <c r="BE16" s="270"/>
      <c r="BF16" s="270"/>
    </row>
    <row r="17" spans="1:58" ht="14.25" customHeight="1" x14ac:dyDescent="0.25">
      <c r="A17" s="249" t="s">
        <v>894</v>
      </c>
      <c r="B17" s="279" t="s">
        <v>895</v>
      </c>
      <c r="C17" s="280" t="s">
        <v>850</v>
      </c>
      <c r="D17" s="249" t="s">
        <v>95</v>
      </c>
      <c r="E17" s="249" t="s">
        <v>896</v>
      </c>
      <c r="F17" s="249" t="s">
        <v>897</v>
      </c>
      <c r="G17" s="280" t="s">
        <v>850</v>
      </c>
      <c r="H17" s="249" t="s">
        <v>864</v>
      </c>
      <c r="I17" s="249" t="s">
        <v>151</v>
      </c>
      <c r="J17" s="249">
        <v>27</v>
      </c>
      <c r="K17" s="265">
        <v>0</v>
      </c>
      <c r="L17" s="265">
        <f t="shared" si="0"/>
        <v>27</v>
      </c>
      <c r="M17" s="263">
        <v>6.3500000000000001E-2</v>
      </c>
      <c r="N17" s="263">
        <v>0</v>
      </c>
      <c r="O17" s="263">
        <f t="shared" si="1"/>
        <v>6.3500000000000001E-2</v>
      </c>
      <c r="P17" s="263">
        <v>78.209999999999994</v>
      </c>
      <c r="Q17" s="263">
        <v>0.234375</v>
      </c>
      <c r="R17" s="265">
        <v>10.790000000000006</v>
      </c>
      <c r="S17" s="249" t="s">
        <v>147</v>
      </c>
      <c r="T17" s="281">
        <v>46543</v>
      </c>
      <c r="U17" s="282" t="s">
        <v>854</v>
      </c>
      <c r="V17" s="282" t="s">
        <v>313</v>
      </c>
      <c r="W17" s="282" t="s">
        <v>544</v>
      </c>
      <c r="X17" s="283"/>
      <c r="Y17" s="283"/>
      <c r="Z17" s="284"/>
      <c r="AA17" s="270"/>
      <c r="AB17" s="270"/>
      <c r="AC17" s="270"/>
      <c r="AD17" s="270"/>
      <c r="AE17" s="270"/>
      <c r="AF17" s="270"/>
      <c r="AG17" s="270"/>
      <c r="AH17" s="270"/>
      <c r="AI17" s="270"/>
      <c r="AJ17" s="270"/>
      <c r="AK17" s="270"/>
      <c r="AL17" s="270"/>
      <c r="AM17" s="270"/>
      <c r="AN17" s="270"/>
      <c r="AO17" s="270"/>
      <c r="AP17" s="270"/>
      <c r="AQ17" s="270"/>
      <c r="AR17" s="270"/>
      <c r="AS17" s="270"/>
      <c r="AT17" s="270"/>
      <c r="AU17" s="270"/>
      <c r="AV17" s="270"/>
      <c r="AW17" s="270"/>
      <c r="AX17" s="270"/>
      <c r="AY17" s="270"/>
      <c r="AZ17" s="270"/>
      <c r="BA17" s="270"/>
      <c r="BB17" s="270"/>
      <c r="BC17" s="270"/>
      <c r="BD17" s="270"/>
      <c r="BE17" s="270"/>
      <c r="BF17" s="270"/>
    </row>
    <row r="18" spans="1:58" ht="14.25" customHeight="1" x14ac:dyDescent="0.25">
      <c r="A18" s="249" t="s">
        <v>907</v>
      </c>
      <c r="B18" s="279" t="s">
        <v>908</v>
      </c>
      <c r="C18" s="280" t="s">
        <v>850</v>
      </c>
      <c r="D18" s="249" t="s">
        <v>95</v>
      </c>
      <c r="E18" s="249" t="s">
        <v>909</v>
      </c>
      <c r="F18" s="249" t="s">
        <v>910</v>
      </c>
      <c r="G18" s="249" t="s">
        <v>850</v>
      </c>
      <c r="H18" s="249" t="s">
        <v>911</v>
      </c>
      <c r="I18" s="249" t="s">
        <v>151</v>
      </c>
      <c r="J18" s="249">
        <v>1756</v>
      </c>
      <c r="K18" s="265">
        <v>29</v>
      </c>
      <c r="L18" s="265">
        <f t="shared" si="0"/>
        <v>1785</v>
      </c>
      <c r="M18" s="263">
        <v>4.1298518518518526</v>
      </c>
      <c r="N18" s="263">
        <v>0.13</v>
      </c>
      <c r="O18" s="263">
        <f t="shared" si="1"/>
        <v>4.2598518518518524</v>
      </c>
      <c r="P18" s="263">
        <v>51.85</v>
      </c>
      <c r="Q18" s="263">
        <v>15.49</v>
      </c>
      <c r="R18" s="265">
        <v>1661.15</v>
      </c>
      <c r="S18" s="249" t="s">
        <v>190</v>
      </c>
      <c r="T18" s="281">
        <v>46543</v>
      </c>
      <c r="U18" s="282" t="s">
        <v>854</v>
      </c>
      <c r="V18" s="282" t="s">
        <v>313</v>
      </c>
      <c r="W18" s="282" t="s">
        <v>544</v>
      </c>
      <c r="X18" s="283"/>
      <c r="Y18" s="283"/>
      <c r="Z18" s="284"/>
      <c r="AA18" s="270"/>
      <c r="AB18" s="270"/>
      <c r="AC18" s="270"/>
      <c r="AD18" s="270"/>
      <c r="AE18" s="270"/>
      <c r="AF18" s="270"/>
      <c r="AG18" s="270"/>
      <c r="AH18" s="270"/>
      <c r="AI18" s="270"/>
      <c r="AJ18" s="270"/>
      <c r="AK18" s="270"/>
      <c r="AL18" s="270"/>
      <c r="AM18" s="270"/>
      <c r="AN18" s="270"/>
      <c r="AO18" s="270"/>
      <c r="AP18" s="270"/>
      <c r="AQ18" s="270"/>
      <c r="AR18" s="270"/>
      <c r="AS18" s="270"/>
      <c r="AT18" s="270"/>
      <c r="AU18" s="270"/>
      <c r="AV18" s="270"/>
      <c r="AW18" s="270"/>
      <c r="AX18" s="270"/>
      <c r="AY18" s="270"/>
      <c r="AZ18" s="270"/>
      <c r="BA18" s="270"/>
      <c r="BB18" s="270"/>
      <c r="BC18" s="270"/>
      <c r="BD18" s="270"/>
      <c r="BE18" s="270"/>
      <c r="BF18" s="270"/>
    </row>
    <row r="19" spans="1:58" ht="14.25" customHeight="1" x14ac:dyDescent="0.25">
      <c r="A19" s="249" t="s">
        <v>912</v>
      </c>
      <c r="B19" s="279" t="s">
        <v>913</v>
      </c>
      <c r="C19" s="280" t="s">
        <v>850</v>
      </c>
      <c r="D19" s="249" t="s">
        <v>95</v>
      </c>
      <c r="E19" s="249" t="s">
        <v>914</v>
      </c>
      <c r="F19" s="249" t="s">
        <v>915</v>
      </c>
      <c r="G19" s="249" t="s">
        <v>850</v>
      </c>
      <c r="H19" s="249" t="s">
        <v>911</v>
      </c>
      <c r="I19" s="249" t="s">
        <v>151</v>
      </c>
      <c r="J19" s="249">
        <v>4358</v>
      </c>
      <c r="K19" s="265">
        <v>343</v>
      </c>
      <c r="L19" s="265">
        <f t="shared" si="0"/>
        <v>4701</v>
      </c>
      <c r="M19" s="263">
        <v>10.249370370370372</v>
      </c>
      <c r="N19" s="263">
        <v>6.6328703703703704</v>
      </c>
      <c r="O19" s="263">
        <f t="shared" si="1"/>
        <v>16.882240740740741</v>
      </c>
      <c r="P19" s="263">
        <v>100.18</v>
      </c>
      <c r="Q19" s="263">
        <v>44.01</v>
      </c>
      <c r="R19" s="265">
        <v>1645.82</v>
      </c>
      <c r="S19" s="249" t="s">
        <v>190</v>
      </c>
      <c r="T19" s="281">
        <v>46543</v>
      </c>
      <c r="U19" s="282" t="s">
        <v>854</v>
      </c>
      <c r="V19" s="282" t="s">
        <v>313</v>
      </c>
      <c r="W19" s="282" t="s">
        <v>544</v>
      </c>
      <c r="X19" s="283"/>
      <c r="Y19" s="283"/>
      <c r="Z19" s="284"/>
      <c r="AA19" s="270"/>
      <c r="AB19" s="270"/>
      <c r="AC19" s="270"/>
      <c r="AD19" s="270"/>
      <c r="AE19" s="270"/>
      <c r="AF19" s="270"/>
      <c r="AG19" s="270"/>
      <c r="AH19" s="270"/>
      <c r="AI19" s="270"/>
      <c r="AJ19" s="270"/>
      <c r="AK19" s="270"/>
      <c r="AL19" s="270"/>
      <c r="AM19" s="270"/>
      <c r="AN19" s="270"/>
      <c r="AO19" s="270"/>
      <c r="AP19" s="270"/>
      <c r="AQ19" s="270"/>
      <c r="AR19" s="270"/>
      <c r="AS19" s="270"/>
      <c r="AT19" s="270"/>
      <c r="AU19" s="270"/>
      <c r="AV19" s="270"/>
      <c r="AW19" s="270"/>
      <c r="AX19" s="270"/>
      <c r="AY19" s="270"/>
      <c r="AZ19" s="270"/>
      <c r="BA19" s="270"/>
      <c r="BB19" s="270"/>
      <c r="BC19" s="270"/>
      <c r="BD19" s="270"/>
      <c r="BE19" s="270"/>
      <c r="BF19" s="270"/>
    </row>
    <row r="20" spans="1:58" ht="14.25" customHeight="1" x14ac:dyDescent="0.25">
      <c r="A20" s="249" t="s">
        <v>935</v>
      </c>
      <c r="B20" s="279" t="s">
        <v>936</v>
      </c>
      <c r="C20" s="280" t="s">
        <v>850</v>
      </c>
      <c r="D20" s="249" t="s">
        <v>95</v>
      </c>
      <c r="E20" s="249" t="s">
        <v>938</v>
      </c>
      <c r="F20" s="249" t="s">
        <v>939</v>
      </c>
      <c r="G20" s="249" t="s">
        <v>850</v>
      </c>
      <c r="H20" s="249" t="s">
        <v>864</v>
      </c>
      <c r="I20" s="249" t="s">
        <v>151</v>
      </c>
      <c r="J20" s="249">
        <v>11627</v>
      </c>
      <c r="K20" s="265">
        <v>1069</v>
      </c>
      <c r="L20" s="265">
        <f t="shared" si="0"/>
        <v>12696</v>
      </c>
      <c r="M20" s="263">
        <v>27.344981481481483</v>
      </c>
      <c r="N20" s="263">
        <v>33.93</v>
      </c>
      <c r="O20" s="263">
        <f t="shared" si="1"/>
        <v>61.274981481481483</v>
      </c>
      <c r="P20" s="263">
        <v>287.25</v>
      </c>
      <c r="Q20" s="263">
        <v>149.88999999999999</v>
      </c>
      <c r="R20" s="265">
        <v>590.75</v>
      </c>
      <c r="S20" s="249" t="s">
        <v>190</v>
      </c>
      <c r="T20" s="281">
        <v>46543</v>
      </c>
      <c r="U20" s="282" t="s">
        <v>854</v>
      </c>
      <c r="V20" s="282" t="s">
        <v>313</v>
      </c>
      <c r="W20" s="282" t="s">
        <v>544</v>
      </c>
      <c r="X20" s="283"/>
      <c r="Y20" s="283"/>
      <c r="Z20" s="284"/>
      <c r="AA20" s="270"/>
      <c r="AB20" s="270"/>
      <c r="AC20" s="270"/>
      <c r="AD20" s="270"/>
      <c r="AE20" s="270"/>
      <c r="AF20" s="270"/>
      <c r="AG20" s="270"/>
      <c r="AH20" s="270"/>
      <c r="AI20" s="270"/>
      <c r="AJ20" s="270"/>
      <c r="AK20" s="270"/>
      <c r="AL20" s="270"/>
      <c r="AM20" s="270"/>
      <c r="AN20" s="270"/>
      <c r="AO20" s="270"/>
      <c r="AP20" s="270"/>
      <c r="AQ20" s="270"/>
      <c r="AR20" s="270"/>
      <c r="AS20" s="270"/>
      <c r="AT20" s="270"/>
      <c r="AU20" s="270"/>
      <c r="AV20" s="270"/>
      <c r="AW20" s="270"/>
      <c r="AX20" s="270"/>
      <c r="AY20" s="270"/>
      <c r="AZ20" s="270"/>
      <c r="BA20" s="270"/>
      <c r="BB20" s="270"/>
      <c r="BC20" s="270"/>
      <c r="BD20" s="270"/>
      <c r="BE20" s="270"/>
      <c r="BF20" s="270"/>
    </row>
    <row r="21" spans="1:58" ht="14.25" customHeight="1" x14ac:dyDescent="0.25">
      <c r="A21" s="249" t="s">
        <v>956</v>
      </c>
      <c r="B21" s="279" t="s">
        <v>957</v>
      </c>
      <c r="C21" s="280" t="s">
        <v>850</v>
      </c>
      <c r="D21" s="249" t="s">
        <v>95</v>
      </c>
      <c r="E21" s="249" t="s">
        <v>958</v>
      </c>
      <c r="F21" s="249" t="s">
        <v>959</v>
      </c>
      <c r="G21" s="249" t="s">
        <v>850</v>
      </c>
      <c r="H21" s="249" t="s">
        <v>864</v>
      </c>
      <c r="I21" s="249" t="s">
        <v>151</v>
      </c>
      <c r="J21" s="249">
        <v>6560</v>
      </c>
      <c r="K21" s="265">
        <v>12</v>
      </c>
      <c r="L21" s="265">
        <f t="shared" si="0"/>
        <v>6572</v>
      </c>
      <c r="M21" s="263">
        <v>15.428148148148148</v>
      </c>
      <c r="N21" s="263">
        <v>0.02</v>
      </c>
      <c r="O21" s="263">
        <f t="shared" si="1"/>
        <v>15.448148148148148</v>
      </c>
      <c r="P21" s="263">
        <v>286.3</v>
      </c>
      <c r="Q21" s="263">
        <v>57.05</v>
      </c>
      <c r="R21" s="265">
        <v>3492.7</v>
      </c>
      <c r="S21" s="249" t="s">
        <v>190</v>
      </c>
      <c r="T21" s="281">
        <v>46543</v>
      </c>
      <c r="U21" s="282" t="s">
        <v>854</v>
      </c>
      <c r="V21" s="282" t="s">
        <v>313</v>
      </c>
      <c r="W21" s="282" t="s">
        <v>544</v>
      </c>
      <c r="X21" s="283"/>
      <c r="Y21" s="283"/>
      <c r="Z21" s="284"/>
      <c r="AA21" s="270"/>
      <c r="AB21" s="270"/>
      <c r="AC21" s="270"/>
      <c r="AD21" s="270"/>
      <c r="AE21" s="270"/>
      <c r="AF21" s="270"/>
      <c r="AG21" s="270"/>
      <c r="AH21" s="270"/>
      <c r="AI21" s="270"/>
      <c r="AJ21" s="270"/>
      <c r="AK21" s="270"/>
      <c r="AL21" s="270"/>
      <c r="AM21" s="270"/>
      <c r="AN21" s="270"/>
      <c r="AO21" s="270"/>
      <c r="AP21" s="270"/>
      <c r="AQ21" s="270"/>
      <c r="AR21" s="270"/>
      <c r="AS21" s="270"/>
      <c r="AT21" s="270"/>
      <c r="AU21" s="270"/>
      <c r="AV21" s="270"/>
      <c r="AW21" s="270"/>
      <c r="AX21" s="270"/>
      <c r="AY21" s="270"/>
      <c r="AZ21" s="270"/>
      <c r="BA21" s="270"/>
      <c r="BB21" s="270"/>
      <c r="BC21" s="270"/>
      <c r="BD21" s="270"/>
      <c r="BE21" s="270"/>
      <c r="BF21" s="270"/>
    </row>
    <row r="22" spans="1:58" ht="14.25" customHeight="1" x14ac:dyDescent="0.25">
      <c r="A22" s="249" t="s">
        <v>960</v>
      </c>
      <c r="B22" s="279" t="s">
        <v>961</v>
      </c>
      <c r="C22" s="280" t="s">
        <v>850</v>
      </c>
      <c r="D22" s="285" t="s">
        <v>95</v>
      </c>
      <c r="E22" s="285" t="s">
        <v>962</v>
      </c>
      <c r="F22" s="285" t="s">
        <v>963</v>
      </c>
      <c r="G22" s="249" t="s">
        <v>850</v>
      </c>
      <c r="H22" s="285" t="s">
        <v>864</v>
      </c>
      <c r="I22" s="249" t="s">
        <v>151</v>
      </c>
      <c r="J22" s="249">
        <v>1717</v>
      </c>
      <c r="K22" s="265">
        <v>0</v>
      </c>
      <c r="L22" s="265">
        <f t="shared" si="0"/>
        <v>1717</v>
      </c>
      <c r="M22" s="263">
        <v>4.0381296296296298</v>
      </c>
      <c r="N22" s="263">
        <v>0</v>
      </c>
      <c r="O22" s="263">
        <f t="shared" si="1"/>
        <v>4.0381296296296298</v>
      </c>
      <c r="P22" s="263">
        <v>327.2</v>
      </c>
      <c r="Q22" s="263">
        <v>14.904513888888889</v>
      </c>
      <c r="R22" s="265">
        <v>1997.8</v>
      </c>
      <c r="S22" s="249" t="s">
        <v>190</v>
      </c>
      <c r="T22" s="281">
        <v>46543</v>
      </c>
      <c r="U22" s="282" t="s">
        <v>854</v>
      </c>
      <c r="V22" s="282" t="s">
        <v>313</v>
      </c>
      <c r="W22" s="282" t="s">
        <v>544</v>
      </c>
      <c r="X22" s="283"/>
      <c r="Y22" s="283"/>
      <c r="Z22" s="284"/>
      <c r="AA22" s="270"/>
      <c r="AB22" s="270"/>
      <c r="AC22" s="270"/>
      <c r="AD22" s="270"/>
      <c r="AE22" s="270"/>
      <c r="AF22" s="270"/>
      <c r="AG22" s="270"/>
      <c r="AH22" s="270"/>
      <c r="AI22" s="270"/>
      <c r="AJ22" s="270"/>
      <c r="AK22" s="270"/>
      <c r="AL22" s="270"/>
      <c r="AM22" s="270"/>
      <c r="AN22" s="270"/>
      <c r="AO22" s="270"/>
      <c r="AP22" s="270"/>
      <c r="AQ22" s="270"/>
      <c r="AR22" s="270"/>
      <c r="AS22" s="270"/>
      <c r="AT22" s="270"/>
      <c r="AU22" s="270"/>
      <c r="AV22" s="270"/>
      <c r="AW22" s="270"/>
      <c r="AX22" s="270"/>
      <c r="AY22" s="270"/>
      <c r="AZ22" s="270"/>
      <c r="BA22" s="270"/>
      <c r="BB22" s="270"/>
      <c r="BC22" s="270"/>
      <c r="BD22" s="270"/>
      <c r="BE22" s="270"/>
      <c r="BF22" s="270"/>
    </row>
    <row r="23" spans="1:58" ht="14.25" customHeight="1" x14ac:dyDescent="0.25">
      <c r="A23" s="249" t="s">
        <v>964</v>
      </c>
      <c r="B23" s="279" t="s">
        <v>965</v>
      </c>
      <c r="C23" s="286" t="s">
        <v>850</v>
      </c>
      <c r="D23" s="249" t="s">
        <v>95</v>
      </c>
      <c r="E23" s="249" t="s">
        <v>966</v>
      </c>
      <c r="F23" s="249" t="s">
        <v>967</v>
      </c>
      <c r="G23" s="249" t="s">
        <v>850</v>
      </c>
      <c r="H23" s="249" t="s">
        <v>864</v>
      </c>
      <c r="I23" s="249" t="s">
        <v>151</v>
      </c>
      <c r="J23" s="249">
        <v>1673</v>
      </c>
      <c r="K23" s="265">
        <v>24</v>
      </c>
      <c r="L23" s="265">
        <f t="shared" si="0"/>
        <v>1697</v>
      </c>
      <c r="M23" s="263">
        <v>3.9346481481481486</v>
      </c>
      <c r="N23" s="263">
        <v>9.5138888888888884E-2</v>
      </c>
      <c r="O23" s="263">
        <f t="shared" si="1"/>
        <v>4.0297870370370372</v>
      </c>
      <c r="P23" s="263">
        <v>77.48</v>
      </c>
      <c r="Q23" s="263">
        <v>14.730902777777779</v>
      </c>
      <c r="R23" s="265">
        <v>368.52</v>
      </c>
      <c r="S23" s="249" t="s">
        <v>190</v>
      </c>
      <c r="T23" s="281">
        <v>46543</v>
      </c>
      <c r="U23" s="282" t="s">
        <v>854</v>
      </c>
      <c r="V23" s="282" t="s">
        <v>313</v>
      </c>
      <c r="W23" s="282" t="s">
        <v>544</v>
      </c>
      <c r="X23" s="283"/>
      <c r="Y23" s="283"/>
      <c r="Z23" s="284"/>
      <c r="AA23" s="270"/>
      <c r="AB23" s="270"/>
      <c r="AC23" s="270"/>
      <c r="AD23" s="270"/>
      <c r="AE23" s="270"/>
      <c r="AF23" s="270"/>
      <c r="AG23" s="270"/>
      <c r="AH23" s="270"/>
      <c r="AI23" s="270"/>
      <c r="AJ23" s="270"/>
      <c r="AK23" s="270"/>
      <c r="AL23" s="270"/>
      <c r="AM23" s="270"/>
      <c r="AN23" s="270"/>
      <c r="AO23" s="270"/>
      <c r="AP23" s="270"/>
      <c r="AQ23" s="270"/>
      <c r="AR23" s="270"/>
      <c r="AS23" s="270"/>
      <c r="AT23" s="270"/>
      <c r="AU23" s="270"/>
      <c r="AV23" s="270"/>
      <c r="AW23" s="270"/>
      <c r="AX23" s="270"/>
      <c r="AY23" s="270"/>
      <c r="AZ23" s="270"/>
      <c r="BA23" s="270"/>
      <c r="BB23" s="270"/>
      <c r="BC23" s="270"/>
      <c r="BD23" s="270"/>
      <c r="BE23" s="270"/>
      <c r="BF23" s="270"/>
    </row>
    <row r="24" spans="1:58" ht="14.25" customHeight="1" x14ac:dyDescent="0.25">
      <c r="A24" s="249" t="s">
        <v>972</v>
      </c>
      <c r="B24" s="279" t="s">
        <v>973</v>
      </c>
      <c r="C24" s="286" t="s">
        <v>850</v>
      </c>
      <c r="D24" s="249" t="s">
        <v>95</v>
      </c>
      <c r="E24" s="249" t="s">
        <v>974</v>
      </c>
      <c r="F24" s="249" t="s">
        <v>975</v>
      </c>
      <c r="G24" s="249" t="s">
        <v>850</v>
      </c>
      <c r="H24" s="249" t="s">
        <v>864</v>
      </c>
      <c r="I24" s="249" t="s">
        <v>151</v>
      </c>
      <c r="J24" s="249">
        <v>2799</v>
      </c>
      <c r="K24" s="265">
        <v>62</v>
      </c>
      <c r="L24" s="265">
        <f t="shared" si="0"/>
        <v>2861</v>
      </c>
      <c r="M24" s="263">
        <v>6.5828333333333333</v>
      </c>
      <c r="N24" s="263">
        <v>0.26666666666666666</v>
      </c>
      <c r="O24" s="263">
        <f t="shared" si="1"/>
        <v>6.8494999999999999</v>
      </c>
      <c r="P24" s="263">
        <v>434.66</v>
      </c>
      <c r="Q24" s="263">
        <v>24.835069444444443</v>
      </c>
      <c r="R24" s="265">
        <v>3708.34</v>
      </c>
      <c r="S24" s="249" t="s">
        <v>190</v>
      </c>
      <c r="T24" s="281">
        <v>46543</v>
      </c>
      <c r="U24" s="282" t="s">
        <v>854</v>
      </c>
      <c r="V24" s="282" t="s">
        <v>313</v>
      </c>
      <c r="W24" s="282" t="s">
        <v>544</v>
      </c>
      <c r="X24" s="283"/>
      <c r="Y24" s="283"/>
      <c r="Z24" s="284"/>
      <c r="AA24" s="270"/>
      <c r="AB24" s="270"/>
      <c r="AC24" s="270"/>
      <c r="AD24" s="270"/>
      <c r="AE24" s="270"/>
      <c r="AF24" s="270"/>
      <c r="AG24" s="270"/>
      <c r="AH24" s="270"/>
      <c r="AI24" s="270"/>
      <c r="AJ24" s="270"/>
      <c r="AK24" s="270"/>
      <c r="AL24" s="270"/>
      <c r="AM24" s="270"/>
      <c r="AN24" s="270"/>
      <c r="AO24" s="270"/>
      <c r="AP24" s="270"/>
      <c r="AQ24" s="270"/>
      <c r="AR24" s="270"/>
      <c r="AS24" s="270"/>
      <c r="AT24" s="270"/>
      <c r="AU24" s="270"/>
      <c r="AV24" s="270"/>
      <c r="AW24" s="270"/>
      <c r="AX24" s="270"/>
      <c r="AY24" s="270"/>
      <c r="AZ24" s="270"/>
      <c r="BA24" s="270"/>
      <c r="BB24" s="270"/>
      <c r="BC24" s="270"/>
      <c r="BD24" s="270"/>
      <c r="BE24" s="270"/>
      <c r="BF24" s="270"/>
    </row>
    <row r="25" spans="1:58" ht="14.25" customHeight="1" x14ac:dyDescent="0.25">
      <c r="A25" s="249" t="s">
        <v>976</v>
      </c>
      <c r="B25" s="279" t="s">
        <v>977</v>
      </c>
      <c r="C25" s="286" t="s">
        <v>850</v>
      </c>
      <c r="D25" s="249" t="s">
        <v>95</v>
      </c>
      <c r="E25" s="249" t="s">
        <v>979</v>
      </c>
      <c r="F25" s="249" t="s">
        <v>980</v>
      </c>
      <c r="G25" s="249" t="s">
        <v>850</v>
      </c>
      <c r="H25" s="249" t="s">
        <v>864</v>
      </c>
      <c r="I25" s="249" t="s">
        <v>151</v>
      </c>
      <c r="J25" s="249">
        <v>618</v>
      </c>
      <c r="K25" s="265">
        <v>0</v>
      </c>
      <c r="L25" s="265">
        <f t="shared" si="0"/>
        <v>618</v>
      </c>
      <c r="M25" s="263">
        <v>1.4534444444444445</v>
      </c>
      <c r="N25" s="263">
        <v>0</v>
      </c>
      <c r="O25" s="263">
        <f t="shared" si="1"/>
        <v>1.4534444444444445</v>
      </c>
      <c r="P25" s="263">
        <v>23.61</v>
      </c>
      <c r="Q25" s="263">
        <v>5.364583333333333</v>
      </c>
      <c r="R25" s="265">
        <v>876.39</v>
      </c>
      <c r="S25" s="249" t="s">
        <v>190</v>
      </c>
      <c r="T25" s="281">
        <v>46543</v>
      </c>
      <c r="U25" s="282" t="s">
        <v>854</v>
      </c>
      <c r="V25" s="282" t="s">
        <v>313</v>
      </c>
      <c r="W25" s="282" t="s">
        <v>544</v>
      </c>
      <c r="X25" s="283"/>
      <c r="Y25" s="283"/>
      <c r="Z25" s="284"/>
      <c r="AA25" s="270"/>
      <c r="AB25" s="270"/>
      <c r="AC25" s="270"/>
      <c r="AD25" s="270"/>
      <c r="AE25" s="270"/>
      <c r="AF25" s="270"/>
      <c r="AG25" s="270"/>
      <c r="AH25" s="270"/>
      <c r="AI25" s="270"/>
      <c r="AJ25" s="270"/>
      <c r="AK25" s="270"/>
      <c r="AL25" s="270"/>
      <c r="AM25" s="270"/>
      <c r="AN25" s="270"/>
      <c r="AO25" s="270"/>
      <c r="AP25" s="270"/>
      <c r="AQ25" s="270"/>
      <c r="AR25" s="270"/>
      <c r="AS25" s="270"/>
      <c r="AT25" s="270"/>
      <c r="AU25" s="270"/>
      <c r="AV25" s="270"/>
      <c r="AW25" s="270"/>
      <c r="AX25" s="270"/>
      <c r="AY25" s="270"/>
      <c r="AZ25" s="270"/>
      <c r="BA25" s="270"/>
      <c r="BB25" s="270"/>
      <c r="BC25" s="270"/>
      <c r="BD25" s="270"/>
      <c r="BE25" s="270"/>
      <c r="BF25" s="270"/>
    </row>
    <row r="26" spans="1:58" ht="14.25" customHeight="1" x14ac:dyDescent="0.25">
      <c r="A26" s="249" t="s">
        <v>981</v>
      </c>
      <c r="B26" s="279" t="s">
        <v>982</v>
      </c>
      <c r="C26" s="286" t="s">
        <v>850</v>
      </c>
      <c r="D26" s="249" t="s">
        <v>95</v>
      </c>
      <c r="E26" s="249" t="s">
        <v>983</v>
      </c>
      <c r="F26" s="249" t="s">
        <v>984</v>
      </c>
      <c r="G26" s="249" t="s">
        <v>850</v>
      </c>
      <c r="H26" s="249" t="s">
        <v>864</v>
      </c>
      <c r="I26" s="249" t="s">
        <v>151</v>
      </c>
      <c r="J26" s="249">
        <v>8</v>
      </c>
      <c r="K26" s="265">
        <v>0</v>
      </c>
      <c r="L26" s="265">
        <f t="shared" si="0"/>
        <v>8</v>
      </c>
      <c r="M26" s="263">
        <v>0.02</v>
      </c>
      <c r="N26" s="263">
        <v>0</v>
      </c>
      <c r="O26" s="263">
        <f t="shared" si="1"/>
        <v>0.02</v>
      </c>
      <c r="P26" s="263">
        <v>45.7</v>
      </c>
      <c r="Q26" s="263">
        <v>7.0000000000000007E-2</v>
      </c>
      <c r="R26" s="265">
        <v>0.29999999999999716</v>
      </c>
      <c r="S26" s="249" t="s">
        <v>147</v>
      </c>
      <c r="T26" s="281">
        <v>46543</v>
      </c>
      <c r="U26" s="282" t="s">
        <v>854</v>
      </c>
      <c r="V26" s="282" t="s">
        <v>313</v>
      </c>
      <c r="W26" s="282" t="s">
        <v>544</v>
      </c>
      <c r="X26" s="283"/>
      <c r="Y26" s="283"/>
      <c r="Z26" s="284"/>
      <c r="AA26" s="270"/>
      <c r="AB26" s="270"/>
      <c r="AC26" s="270"/>
      <c r="AD26" s="270"/>
      <c r="AE26" s="270"/>
      <c r="AF26" s="270"/>
      <c r="AG26" s="270"/>
      <c r="AH26" s="270"/>
      <c r="AI26" s="270"/>
      <c r="AJ26" s="270"/>
      <c r="AK26" s="270"/>
      <c r="AL26" s="270"/>
      <c r="AM26" s="270"/>
      <c r="AN26" s="270"/>
      <c r="AO26" s="270"/>
      <c r="AP26" s="270"/>
      <c r="AQ26" s="270"/>
      <c r="AR26" s="270"/>
      <c r="AS26" s="270"/>
      <c r="AT26" s="270"/>
      <c r="AU26" s="270"/>
      <c r="AV26" s="270"/>
      <c r="AW26" s="270"/>
      <c r="AX26" s="270"/>
      <c r="AY26" s="270"/>
      <c r="AZ26" s="270"/>
      <c r="BA26" s="270"/>
      <c r="BB26" s="270"/>
      <c r="BC26" s="270"/>
      <c r="BD26" s="270"/>
      <c r="BE26" s="270"/>
      <c r="BF26" s="270"/>
    </row>
    <row r="27" spans="1:58" ht="14.25" customHeight="1" x14ac:dyDescent="0.25">
      <c r="A27" s="249" t="s">
        <v>1004</v>
      </c>
      <c r="B27" s="279" t="s">
        <v>1005</v>
      </c>
      <c r="C27" s="286" t="s">
        <v>850</v>
      </c>
      <c r="D27" s="249" t="s">
        <v>95</v>
      </c>
      <c r="E27" s="249" t="s">
        <v>1006</v>
      </c>
      <c r="F27" s="249" t="s">
        <v>1007</v>
      </c>
      <c r="G27" s="249" t="s">
        <v>850</v>
      </c>
      <c r="H27" s="249" t="s">
        <v>864</v>
      </c>
      <c r="I27" s="249" t="s">
        <v>151</v>
      </c>
      <c r="J27" s="249">
        <v>2441</v>
      </c>
      <c r="K27" s="265">
        <v>24</v>
      </c>
      <c r="L27" s="265">
        <f t="shared" si="0"/>
        <v>2465</v>
      </c>
      <c r="M27" s="263">
        <v>5.7408703703703701</v>
      </c>
      <c r="N27" s="263">
        <v>9.5138888888888884E-2</v>
      </c>
      <c r="O27" s="263">
        <f t="shared" si="1"/>
        <v>5.8360092592592592</v>
      </c>
      <c r="P27" s="263">
        <v>397</v>
      </c>
      <c r="Q27" s="263">
        <v>21.397569444444443</v>
      </c>
      <c r="R27" s="265">
        <v>902</v>
      </c>
      <c r="S27" s="249" t="s">
        <v>190</v>
      </c>
      <c r="T27" s="281">
        <v>46543</v>
      </c>
      <c r="U27" s="282" t="s">
        <v>854</v>
      </c>
      <c r="V27" s="282" t="s">
        <v>313</v>
      </c>
      <c r="W27" s="282" t="s">
        <v>544</v>
      </c>
      <c r="X27" s="283"/>
      <c r="Y27" s="283"/>
      <c r="Z27" s="284"/>
      <c r="AA27" s="270"/>
      <c r="AB27" s="270"/>
      <c r="AC27" s="270"/>
      <c r="AD27" s="270"/>
      <c r="AE27" s="270"/>
      <c r="AF27" s="270"/>
      <c r="AG27" s="270"/>
      <c r="AH27" s="270"/>
      <c r="AI27" s="270"/>
      <c r="AJ27" s="270"/>
      <c r="AK27" s="270"/>
      <c r="AL27" s="270"/>
      <c r="AM27" s="270"/>
      <c r="AN27" s="270"/>
      <c r="AO27" s="270"/>
      <c r="AP27" s="270"/>
      <c r="AQ27" s="270"/>
      <c r="AR27" s="270"/>
      <c r="AS27" s="270"/>
      <c r="AT27" s="270"/>
      <c r="AU27" s="270"/>
      <c r="AV27" s="270"/>
      <c r="AW27" s="270"/>
      <c r="AX27" s="270"/>
      <c r="AY27" s="270"/>
      <c r="AZ27" s="270"/>
      <c r="BA27" s="270"/>
      <c r="BB27" s="270"/>
      <c r="BC27" s="270"/>
      <c r="BD27" s="270"/>
      <c r="BE27" s="270"/>
      <c r="BF27" s="270"/>
    </row>
    <row r="28" spans="1:58" ht="14.25" customHeight="1" x14ac:dyDescent="0.25">
      <c r="A28" s="249" t="s">
        <v>1014</v>
      </c>
      <c r="B28" s="249" t="s">
        <v>1015</v>
      </c>
      <c r="C28" s="261" t="s">
        <v>1010</v>
      </c>
      <c r="D28" s="249" t="s">
        <v>95</v>
      </c>
      <c r="E28" s="249" t="s">
        <v>1016</v>
      </c>
      <c r="F28" s="249" t="s">
        <v>1017</v>
      </c>
      <c r="G28" s="249" t="s">
        <v>1013</v>
      </c>
      <c r="H28" s="249" t="s">
        <v>1018</v>
      </c>
      <c r="I28" s="249" t="s">
        <v>159</v>
      </c>
      <c r="J28" s="249">
        <v>1906</v>
      </c>
      <c r="K28" s="262">
        <v>2</v>
      </c>
      <c r="L28" s="262">
        <f t="shared" si="0"/>
        <v>1908</v>
      </c>
      <c r="M28" s="263">
        <v>4.4800000000000004</v>
      </c>
      <c r="N28" s="262">
        <v>0.06</v>
      </c>
      <c r="O28" s="264">
        <f t="shared" si="1"/>
        <v>4.54</v>
      </c>
      <c r="P28" s="264">
        <v>43</v>
      </c>
      <c r="Q28" s="264">
        <v>16.559999999999999</v>
      </c>
      <c r="R28" s="265">
        <v>4311</v>
      </c>
      <c r="S28" s="249" t="s">
        <v>190</v>
      </c>
      <c r="T28" s="266">
        <v>46013</v>
      </c>
      <c r="U28" s="267" t="s">
        <v>2964</v>
      </c>
      <c r="V28" s="268" t="s">
        <v>313</v>
      </c>
      <c r="W28" s="268" t="s">
        <v>544</v>
      </c>
      <c r="X28" s="249"/>
      <c r="Y28" s="249" t="s">
        <v>1020</v>
      </c>
      <c r="Z28" s="269"/>
      <c r="AA28" s="269"/>
      <c r="AB28" s="269"/>
      <c r="AC28" s="269"/>
      <c r="AD28" s="269"/>
      <c r="AE28" s="269"/>
      <c r="AF28" s="269"/>
      <c r="AG28" s="269"/>
      <c r="AH28" s="269"/>
      <c r="AI28" s="269"/>
      <c r="AJ28" s="269"/>
      <c r="AK28" s="270"/>
      <c r="AL28" s="270"/>
      <c r="AM28" s="270"/>
      <c r="AN28" s="270"/>
      <c r="AO28" s="270"/>
      <c r="AP28" s="270"/>
      <c r="AQ28" s="270"/>
      <c r="AR28" s="270"/>
      <c r="AS28" s="270"/>
      <c r="AT28" s="270"/>
      <c r="AU28" s="270"/>
      <c r="AV28" s="270"/>
      <c r="AW28" s="270"/>
      <c r="AX28" s="270"/>
      <c r="AY28" s="270"/>
      <c r="AZ28" s="270"/>
      <c r="BA28" s="270"/>
      <c r="BB28" s="270"/>
      <c r="BC28" s="270"/>
      <c r="BD28" s="270"/>
      <c r="BE28" s="270"/>
      <c r="BF28" s="270"/>
    </row>
    <row r="29" spans="1:58" ht="14.25" customHeight="1" x14ac:dyDescent="0.25">
      <c r="A29" s="249" t="s">
        <v>1033</v>
      </c>
      <c r="B29" s="249"/>
      <c r="C29" s="261" t="s">
        <v>1010</v>
      </c>
      <c r="D29" s="249" t="s">
        <v>95</v>
      </c>
      <c r="E29" s="249" t="s">
        <v>1036</v>
      </c>
      <c r="F29" s="249" t="s">
        <v>1037</v>
      </c>
      <c r="G29" s="249" t="s">
        <v>1013</v>
      </c>
      <c r="H29" s="249" t="s">
        <v>1018</v>
      </c>
      <c r="I29" s="249" t="s">
        <v>159</v>
      </c>
      <c r="J29" s="249"/>
      <c r="K29" s="262"/>
      <c r="L29" s="262"/>
      <c r="M29" s="263"/>
      <c r="N29" s="262"/>
      <c r="O29" s="264"/>
      <c r="P29" s="264"/>
      <c r="Q29" s="264"/>
      <c r="R29" s="265"/>
      <c r="S29" s="249"/>
      <c r="T29" s="266"/>
      <c r="U29" s="267" t="s">
        <v>2965</v>
      </c>
      <c r="V29" s="268" t="s">
        <v>313</v>
      </c>
      <c r="W29" s="268" t="s">
        <v>544</v>
      </c>
      <c r="X29" s="249"/>
      <c r="Y29" s="249" t="s">
        <v>1020</v>
      </c>
      <c r="Z29" s="269"/>
      <c r="AA29" s="269"/>
      <c r="AB29" s="269"/>
      <c r="AC29" s="269"/>
      <c r="AD29" s="269"/>
      <c r="AE29" s="269"/>
      <c r="AF29" s="269"/>
      <c r="AG29" s="269"/>
      <c r="AH29" s="269"/>
      <c r="AI29" s="269"/>
      <c r="AJ29" s="269"/>
      <c r="AK29" s="270"/>
      <c r="AL29" s="270"/>
      <c r="AM29" s="270"/>
      <c r="AN29" s="270"/>
      <c r="AO29" s="270"/>
      <c r="AP29" s="270"/>
      <c r="AQ29" s="270"/>
      <c r="AR29" s="270"/>
      <c r="AS29" s="270"/>
      <c r="AT29" s="270"/>
      <c r="AU29" s="270"/>
      <c r="AV29" s="270"/>
      <c r="AW29" s="270"/>
      <c r="AX29" s="270"/>
      <c r="AY29" s="270"/>
      <c r="AZ29" s="270"/>
      <c r="BA29" s="270"/>
      <c r="BB29" s="270"/>
      <c r="BC29" s="270"/>
      <c r="BD29" s="270"/>
      <c r="BE29" s="270"/>
      <c r="BF29" s="270"/>
    </row>
    <row r="30" spans="1:58" ht="14.25" customHeight="1" x14ac:dyDescent="0.25">
      <c r="A30" s="249" t="s">
        <v>1038</v>
      </c>
      <c r="B30" s="249" t="s">
        <v>1039</v>
      </c>
      <c r="C30" s="261" t="s">
        <v>1010</v>
      </c>
      <c r="D30" s="249" t="s">
        <v>95</v>
      </c>
      <c r="E30" s="249" t="s">
        <v>1040</v>
      </c>
      <c r="F30" s="249" t="s">
        <v>1041</v>
      </c>
      <c r="G30" s="249" t="s">
        <v>1013</v>
      </c>
      <c r="H30" s="249" t="s">
        <v>1018</v>
      </c>
      <c r="I30" s="249" t="s">
        <v>118</v>
      </c>
      <c r="J30" s="249">
        <v>4528</v>
      </c>
      <c r="K30" s="265">
        <v>56.4</v>
      </c>
      <c r="L30" s="265">
        <f t="shared" ref="L30:L41" si="2">J30+K30</f>
        <v>4584.3999999999996</v>
      </c>
      <c r="M30" s="263">
        <v>10.65</v>
      </c>
      <c r="N30" s="263">
        <v>4.3499999999999996</v>
      </c>
      <c r="O30" s="263">
        <f t="shared" ref="O30:O41" si="3">N30+M30</f>
        <v>15</v>
      </c>
      <c r="P30" s="263">
        <v>543.15</v>
      </c>
      <c r="Q30" s="263">
        <v>40.65</v>
      </c>
      <c r="R30" s="265">
        <v>1291.8499999999999</v>
      </c>
      <c r="S30" s="249" t="s">
        <v>190</v>
      </c>
      <c r="T30" s="287">
        <v>46013</v>
      </c>
      <c r="U30" s="267" t="s">
        <v>2964</v>
      </c>
      <c r="V30" s="268" t="s">
        <v>313</v>
      </c>
      <c r="W30" s="268" t="s">
        <v>544</v>
      </c>
      <c r="X30" s="249"/>
      <c r="Y30" s="249" t="s">
        <v>1020</v>
      </c>
      <c r="Z30" s="270"/>
      <c r="AA30" s="270"/>
      <c r="AB30" s="270"/>
      <c r="AC30" s="270"/>
      <c r="AD30" s="270"/>
      <c r="AE30" s="270"/>
      <c r="AF30" s="270"/>
      <c r="AG30" s="270"/>
      <c r="AH30" s="270"/>
      <c r="AI30" s="270"/>
      <c r="AJ30" s="270"/>
      <c r="AK30" s="270"/>
      <c r="AL30" s="270"/>
      <c r="AM30" s="270"/>
      <c r="AN30" s="270"/>
      <c r="AO30" s="270"/>
      <c r="AP30" s="270"/>
      <c r="AQ30" s="270"/>
      <c r="AR30" s="270"/>
      <c r="AS30" s="270"/>
      <c r="AT30" s="270"/>
      <c r="AU30" s="270"/>
      <c r="AV30" s="270"/>
      <c r="AW30" s="270"/>
      <c r="AX30" s="270"/>
      <c r="AY30" s="270"/>
      <c r="AZ30" s="270"/>
      <c r="BA30" s="270"/>
      <c r="BB30" s="270"/>
      <c r="BC30" s="270"/>
      <c r="BD30" s="270"/>
      <c r="BE30" s="270"/>
      <c r="BF30" s="270"/>
    </row>
    <row r="31" spans="1:58" ht="14.25" customHeight="1" x14ac:dyDescent="0.25">
      <c r="A31" s="249" t="s">
        <v>1042</v>
      </c>
      <c r="B31" s="249" t="s">
        <v>1043</v>
      </c>
      <c r="C31" s="261" t="s">
        <v>1010</v>
      </c>
      <c r="D31" s="249" t="s">
        <v>95</v>
      </c>
      <c r="E31" s="249" t="s">
        <v>1044</v>
      </c>
      <c r="F31" s="249" t="s">
        <v>1045</v>
      </c>
      <c r="G31" s="249" t="s">
        <v>1013</v>
      </c>
      <c r="H31" s="249" t="s">
        <v>1018</v>
      </c>
      <c r="I31" s="249" t="s">
        <v>151</v>
      </c>
      <c r="J31" s="249">
        <v>29</v>
      </c>
      <c r="K31" s="265">
        <v>0</v>
      </c>
      <c r="L31" s="265">
        <f t="shared" si="2"/>
        <v>29</v>
      </c>
      <c r="M31" s="263">
        <v>7.0000000000000007E-2</v>
      </c>
      <c r="N31" s="263">
        <v>0</v>
      </c>
      <c r="O31" s="263">
        <f t="shared" si="3"/>
        <v>7.0000000000000007E-2</v>
      </c>
      <c r="P31" s="263">
        <v>64.39</v>
      </c>
      <c r="Q31" s="263">
        <v>0.25</v>
      </c>
      <c r="R31" s="265">
        <v>38.61</v>
      </c>
      <c r="S31" s="249" t="s">
        <v>190</v>
      </c>
      <c r="T31" s="287">
        <v>46013</v>
      </c>
      <c r="U31" s="267" t="s">
        <v>2964</v>
      </c>
      <c r="V31" s="268" t="s">
        <v>313</v>
      </c>
      <c r="W31" s="268" t="s">
        <v>544</v>
      </c>
      <c r="X31" s="249"/>
      <c r="Y31" s="249" t="s">
        <v>1020</v>
      </c>
      <c r="Z31" s="270"/>
      <c r="AA31" s="270"/>
      <c r="AB31" s="270"/>
      <c r="AC31" s="270"/>
      <c r="AD31" s="270"/>
      <c r="AE31" s="270"/>
      <c r="AF31" s="270"/>
      <c r="AG31" s="270"/>
      <c r="AH31" s="270"/>
      <c r="AI31" s="270"/>
      <c r="AJ31" s="270"/>
      <c r="AK31" s="270"/>
      <c r="AL31" s="270"/>
      <c r="AM31" s="270"/>
      <c r="AN31" s="270"/>
      <c r="AO31" s="270"/>
      <c r="AP31" s="270"/>
      <c r="AQ31" s="270"/>
      <c r="AR31" s="270"/>
      <c r="AS31" s="270"/>
      <c r="AT31" s="270"/>
      <c r="AU31" s="270"/>
      <c r="AV31" s="270"/>
      <c r="AW31" s="270"/>
      <c r="AX31" s="270"/>
      <c r="AY31" s="270"/>
      <c r="AZ31" s="270"/>
      <c r="BA31" s="270"/>
      <c r="BB31" s="270"/>
      <c r="BC31" s="270"/>
      <c r="BD31" s="270"/>
      <c r="BE31" s="270"/>
      <c r="BF31" s="270"/>
    </row>
    <row r="32" spans="1:58" ht="14.25" customHeight="1" x14ac:dyDescent="0.25">
      <c r="A32" s="255" t="s">
        <v>1353</v>
      </c>
      <c r="B32" s="288" t="s">
        <v>1354</v>
      </c>
      <c r="C32" s="255" t="s">
        <v>141</v>
      </c>
      <c r="D32" s="255" t="s">
        <v>95</v>
      </c>
      <c r="E32" s="255" t="s">
        <v>1355</v>
      </c>
      <c r="F32" s="255" t="s">
        <v>1356</v>
      </c>
      <c r="G32" s="255" t="s">
        <v>141</v>
      </c>
      <c r="H32" s="255" t="s">
        <v>1357</v>
      </c>
      <c r="I32" s="255" t="s">
        <v>159</v>
      </c>
      <c r="J32" s="255">
        <v>7268</v>
      </c>
      <c r="K32" s="289">
        <v>0</v>
      </c>
      <c r="L32" s="289">
        <f t="shared" si="2"/>
        <v>7268</v>
      </c>
      <c r="M32" s="290">
        <v>17.09</v>
      </c>
      <c r="N32" s="290">
        <v>0.02</v>
      </c>
      <c r="O32" s="290">
        <f t="shared" si="3"/>
        <v>17.11</v>
      </c>
      <c r="P32" s="290">
        <v>150</v>
      </c>
      <c r="Q32" s="290">
        <v>84.16</v>
      </c>
      <c r="R32" s="289">
        <v>4287</v>
      </c>
      <c r="S32" s="255" t="s">
        <v>152</v>
      </c>
      <c r="T32" s="291">
        <v>46698</v>
      </c>
      <c r="U32" s="292" t="s">
        <v>1358</v>
      </c>
      <c r="V32" s="292" t="s">
        <v>313</v>
      </c>
      <c r="W32" s="292" t="s">
        <v>544</v>
      </c>
      <c r="X32" s="293"/>
      <c r="Y32" s="288"/>
      <c r="Z32" s="293"/>
      <c r="AA32" s="293"/>
      <c r="AB32" s="293"/>
      <c r="AC32" s="293"/>
      <c r="AD32" s="293"/>
      <c r="AE32" s="293"/>
      <c r="AF32" s="293"/>
      <c r="AG32" s="293"/>
      <c r="AH32" s="293"/>
      <c r="AI32" s="293"/>
      <c r="AJ32" s="293"/>
      <c r="AK32" s="293"/>
      <c r="AL32" s="293"/>
      <c r="AM32" s="293"/>
      <c r="AN32" s="293"/>
      <c r="AO32" s="293"/>
      <c r="AP32" s="293"/>
      <c r="AQ32" s="293"/>
      <c r="AR32" s="293"/>
      <c r="AS32" s="293"/>
      <c r="AT32" s="293"/>
      <c r="AU32" s="293"/>
      <c r="AV32" s="293"/>
      <c r="AW32" s="293"/>
      <c r="AX32" s="293"/>
      <c r="AY32" s="293"/>
      <c r="AZ32" s="293"/>
      <c r="BA32" s="293"/>
      <c r="BB32" s="293"/>
      <c r="BC32" s="293"/>
      <c r="BD32" s="293"/>
      <c r="BE32" s="293"/>
      <c r="BF32" s="293"/>
    </row>
    <row r="33" spans="1:58" ht="14.25" customHeight="1" x14ac:dyDescent="0.25">
      <c r="A33" s="56" t="s">
        <v>1359</v>
      </c>
      <c r="B33" s="294" t="s">
        <v>1360</v>
      </c>
      <c r="C33" s="56" t="s">
        <v>141</v>
      </c>
      <c r="D33" s="56" t="s">
        <v>167</v>
      </c>
      <c r="E33" s="56" t="s">
        <v>1361</v>
      </c>
      <c r="F33" s="56" t="s">
        <v>1362</v>
      </c>
      <c r="G33" s="56" t="s">
        <v>141</v>
      </c>
      <c r="H33" s="56" t="s">
        <v>1363</v>
      </c>
      <c r="I33" s="56" t="s">
        <v>159</v>
      </c>
      <c r="J33" s="56">
        <v>534</v>
      </c>
      <c r="K33" s="295">
        <v>0</v>
      </c>
      <c r="L33" s="295">
        <f t="shared" si="2"/>
        <v>534</v>
      </c>
      <c r="M33" s="296">
        <v>1.26</v>
      </c>
      <c r="N33" s="296">
        <v>0</v>
      </c>
      <c r="O33" s="296">
        <f t="shared" si="3"/>
        <v>1.26</v>
      </c>
      <c r="P33" s="296">
        <v>7</v>
      </c>
      <c r="Q33" s="296">
        <v>6.18</v>
      </c>
      <c r="R33" s="295">
        <v>367</v>
      </c>
      <c r="S33" s="56" t="s">
        <v>152</v>
      </c>
      <c r="T33" s="297">
        <v>46698</v>
      </c>
      <c r="U33" s="298" t="s">
        <v>1364</v>
      </c>
      <c r="V33" s="298" t="s">
        <v>313</v>
      </c>
      <c r="W33" s="298" t="s">
        <v>544</v>
      </c>
      <c r="Y33" s="299"/>
      <c r="Z33" s="207"/>
      <c r="AA33" s="207"/>
      <c r="AB33" s="207"/>
      <c r="AC33" s="207"/>
      <c r="AD33" s="207"/>
      <c r="AE33" s="207"/>
      <c r="AF33" s="207"/>
      <c r="AG33" s="207"/>
      <c r="AH33" s="207"/>
      <c r="AI33" s="207"/>
      <c r="AJ33" s="207"/>
      <c r="AK33" s="207"/>
      <c r="AL33" s="207"/>
      <c r="AM33" s="207"/>
      <c r="AN33" s="207"/>
      <c r="AO33" s="207"/>
      <c r="AP33" s="207"/>
      <c r="AQ33" s="207"/>
      <c r="AR33" s="207"/>
      <c r="AS33" s="207"/>
      <c r="AT33" s="207"/>
      <c r="AU33" s="207"/>
      <c r="AV33" s="207"/>
      <c r="AW33" s="207"/>
      <c r="AX33" s="207"/>
      <c r="AY33" s="207"/>
      <c r="AZ33" s="207"/>
      <c r="BA33" s="207"/>
      <c r="BB33" s="207"/>
      <c r="BC33" s="207"/>
      <c r="BD33" s="207"/>
      <c r="BE33" s="207"/>
      <c r="BF33" s="207"/>
    </row>
    <row r="34" spans="1:58" ht="14.25" customHeight="1" x14ac:dyDescent="0.25">
      <c r="A34" s="300" t="s">
        <v>1374</v>
      </c>
      <c r="B34" s="249"/>
      <c r="C34" s="261" t="s">
        <v>141</v>
      </c>
      <c r="D34" s="249" t="s">
        <v>1376</v>
      </c>
      <c r="E34" s="249" t="s">
        <v>1377</v>
      </c>
      <c r="F34" s="249" t="s">
        <v>1378</v>
      </c>
      <c r="G34" s="249" t="s">
        <v>141</v>
      </c>
      <c r="H34" s="249" t="s">
        <v>1379</v>
      </c>
      <c r="I34" s="249" t="s">
        <v>159</v>
      </c>
      <c r="J34" s="249">
        <v>5368</v>
      </c>
      <c r="K34" s="265">
        <v>7</v>
      </c>
      <c r="L34" s="265">
        <f t="shared" si="2"/>
        <v>5375</v>
      </c>
      <c r="M34" s="263">
        <v>12.62</v>
      </c>
      <c r="N34" s="263">
        <v>0.61</v>
      </c>
      <c r="O34" s="263">
        <f t="shared" si="3"/>
        <v>13.229999999999999</v>
      </c>
      <c r="P34" s="263">
        <v>125</v>
      </c>
      <c r="Q34" s="263">
        <v>62.21</v>
      </c>
      <c r="R34" s="265">
        <v>757</v>
      </c>
      <c r="S34" s="249" t="s">
        <v>152</v>
      </c>
      <c r="T34" s="287"/>
      <c r="U34" s="267" t="s">
        <v>1370</v>
      </c>
      <c r="V34" s="268" t="s">
        <v>313</v>
      </c>
      <c r="W34" s="268" t="s">
        <v>544</v>
      </c>
      <c r="X34" s="249"/>
      <c r="Y34" s="249"/>
      <c r="Z34" s="270"/>
      <c r="AA34" s="270"/>
      <c r="AB34" s="270"/>
      <c r="AC34" s="270"/>
      <c r="AD34" s="270"/>
      <c r="AE34" s="270"/>
      <c r="AF34" s="270"/>
      <c r="AG34" s="270"/>
      <c r="AH34" s="270"/>
      <c r="AI34" s="270"/>
      <c r="AJ34" s="270"/>
      <c r="AK34" s="270"/>
      <c r="AL34" s="270"/>
      <c r="AM34" s="270"/>
      <c r="AN34" s="270"/>
      <c r="AO34" s="270"/>
      <c r="AP34" s="270"/>
      <c r="AQ34" s="270"/>
      <c r="AR34" s="270"/>
      <c r="AS34" s="270"/>
      <c r="AT34" s="270"/>
      <c r="AU34" s="270"/>
      <c r="AV34" s="270"/>
      <c r="AW34" s="270"/>
      <c r="AX34" s="270"/>
      <c r="AY34" s="270"/>
      <c r="AZ34" s="270"/>
      <c r="BA34" s="270"/>
      <c r="BB34" s="270"/>
      <c r="BC34" s="270"/>
      <c r="BD34" s="270"/>
      <c r="BE34" s="270"/>
      <c r="BF34" s="270"/>
    </row>
    <row r="35" spans="1:58" ht="14.25" customHeight="1" x14ac:dyDescent="0.25">
      <c r="A35" s="300" t="s">
        <v>1384</v>
      </c>
      <c r="B35" s="249"/>
      <c r="C35" s="261" t="s">
        <v>141</v>
      </c>
      <c r="D35" s="249" t="s">
        <v>95</v>
      </c>
      <c r="E35" s="249" t="s">
        <v>1386</v>
      </c>
      <c r="F35" s="249" t="s">
        <v>1387</v>
      </c>
      <c r="G35" s="249" t="s">
        <v>141</v>
      </c>
      <c r="H35" s="249" t="s">
        <v>1357</v>
      </c>
      <c r="I35" s="249" t="s">
        <v>151</v>
      </c>
      <c r="J35" s="249">
        <v>1385</v>
      </c>
      <c r="K35" s="265">
        <v>0</v>
      </c>
      <c r="L35" s="265">
        <f t="shared" si="2"/>
        <v>1385</v>
      </c>
      <c r="M35" s="263">
        <v>3.26</v>
      </c>
      <c r="N35" s="263">
        <v>0</v>
      </c>
      <c r="O35" s="263">
        <f t="shared" si="3"/>
        <v>3.26</v>
      </c>
      <c r="P35" s="263">
        <v>75.73</v>
      </c>
      <c r="Q35" s="263">
        <v>16.03</v>
      </c>
      <c r="R35" s="265">
        <v>1152.27</v>
      </c>
      <c r="S35" s="249" t="s">
        <v>152</v>
      </c>
      <c r="T35" s="287"/>
      <c r="U35" s="267" t="s">
        <v>1370</v>
      </c>
      <c r="V35" s="268" t="s">
        <v>313</v>
      </c>
      <c r="W35" s="268" t="s">
        <v>544</v>
      </c>
      <c r="X35" s="249"/>
      <c r="Y35" s="249"/>
      <c r="Z35" s="270"/>
      <c r="AA35" s="270"/>
      <c r="AB35" s="270"/>
      <c r="AC35" s="270"/>
      <c r="AD35" s="270"/>
      <c r="AE35" s="270"/>
      <c r="AF35" s="270"/>
      <c r="AG35" s="270"/>
      <c r="AH35" s="270"/>
      <c r="AI35" s="270"/>
      <c r="AJ35" s="270"/>
      <c r="AK35" s="270"/>
      <c r="AL35" s="270"/>
      <c r="AM35" s="270"/>
      <c r="AN35" s="270"/>
      <c r="AO35" s="270"/>
      <c r="AP35" s="270"/>
      <c r="AQ35" s="270"/>
      <c r="AR35" s="270"/>
      <c r="AS35" s="270"/>
      <c r="AT35" s="270"/>
      <c r="AU35" s="270"/>
      <c r="AV35" s="270"/>
      <c r="AW35" s="270"/>
      <c r="AX35" s="270"/>
      <c r="AY35" s="270"/>
      <c r="AZ35" s="270"/>
      <c r="BA35" s="270"/>
      <c r="BB35" s="270"/>
      <c r="BC35" s="270"/>
      <c r="BD35" s="270"/>
      <c r="BE35" s="270"/>
      <c r="BF35" s="270"/>
    </row>
    <row r="36" spans="1:58" ht="14.25" customHeight="1" x14ac:dyDescent="0.25">
      <c r="A36" s="56" t="s">
        <v>1389</v>
      </c>
      <c r="B36" s="294" t="s">
        <v>1390</v>
      </c>
      <c r="C36" s="56" t="s">
        <v>141</v>
      </c>
      <c r="D36" s="56" t="s">
        <v>161</v>
      </c>
      <c r="E36" s="56" t="s">
        <v>162</v>
      </c>
      <c r="F36" s="56" t="s">
        <v>1391</v>
      </c>
      <c r="G36" s="56" t="s">
        <v>141</v>
      </c>
      <c r="H36" s="56" t="s">
        <v>164</v>
      </c>
      <c r="I36" s="56" t="s">
        <v>151</v>
      </c>
      <c r="J36" s="56">
        <v>15138</v>
      </c>
      <c r="K36" s="295">
        <v>108</v>
      </c>
      <c r="L36" s="295">
        <f t="shared" si="2"/>
        <v>15246</v>
      </c>
      <c r="M36" s="296">
        <v>35.6</v>
      </c>
      <c r="N36" s="296">
        <v>3.17</v>
      </c>
      <c r="O36" s="296">
        <f t="shared" si="3"/>
        <v>38.770000000000003</v>
      </c>
      <c r="P36" s="296">
        <v>1105.7</v>
      </c>
      <c r="Q36" s="296">
        <v>176.45</v>
      </c>
      <c r="R36" s="295">
        <v>2104.3000000000002</v>
      </c>
      <c r="S36" s="56" t="s">
        <v>1392</v>
      </c>
      <c r="T36" s="297">
        <v>46915</v>
      </c>
      <c r="U36" s="298" t="s">
        <v>1393</v>
      </c>
      <c r="V36" s="298" t="s">
        <v>313</v>
      </c>
      <c r="W36" s="298" t="s">
        <v>544</v>
      </c>
      <c r="Y36" s="299"/>
      <c r="Z36" s="207"/>
      <c r="AA36" s="207"/>
      <c r="AB36" s="207"/>
      <c r="AC36" s="207"/>
      <c r="AD36" s="207"/>
      <c r="AE36" s="207"/>
      <c r="AF36" s="207"/>
      <c r="AG36" s="207"/>
      <c r="AH36" s="207"/>
      <c r="AI36" s="207"/>
      <c r="AJ36" s="207"/>
      <c r="AK36" s="207"/>
      <c r="AL36" s="207"/>
      <c r="AM36" s="207"/>
      <c r="AN36" s="207"/>
      <c r="AO36" s="207"/>
      <c r="AP36" s="207"/>
      <c r="AQ36" s="207"/>
      <c r="AR36" s="207"/>
      <c r="AS36" s="207"/>
      <c r="AT36" s="207"/>
      <c r="AU36" s="207"/>
      <c r="AV36" s="207"/>
      <c r="AW36" s="207"/>
      <c r="AX36" s="207"/>
      <c r="AY36" s="207"/>
      <c r="AZ36" s="207"/>
      <c r="BA36" s="207"/>
      <c r="BB36" s="207"/>
      <c r="BC36" s="207"/>
      <c r="BD36" s="207"/>
      <c r="BE36" s="207"/>
      <c r="BF36" s="207"/>
    </row>
    <row r="37" spans="1:58" ht="14.25" customHeight="1" x14ac:dyDescent="0.25">
      <c r="A37" s="56" t="s">
        <v>1394</v>
      </c>
      <c r="B37" s="294" t="s">
        <v>1395</v>
      </c>
      <c r="C37" s="56" t="s">
        <v>141</v>
      </c>
      <c r="D37" s="56" t="s">
        <v>161</v>
      </c>
      <c r="E37" s="56" t="s">
        <v>162</v>
      </c>
      <c r="F37" s="56" t="s">
        <v>1397</v>
      </c>
      <c r="G37" s="56" t="s">
        <v>141</v>
      </c>
      <c r="H37" s="56" t="s">
        <v>164</v>
      </c>
      <c r="I37" s="56" t="s">
        <v>151</v>
      </c>
      <c r="J37" s="56">
        <v>15237</v>
      </c>
      <c r="K37" s="295">
        <v>108</v>
      </c>
      <c r="L37" s="295">
        <f t="shared" si="2"/>
        <v>15345</v>
      </c>
      <c r="M37" s="296">
        <v>35.840000000000003</v>
      </c>
      <c r="N37" s="296">
        <v>3.17</v>
      </c>
      <c r="O37" s="296">
        <f t="shared" si="3"/>
        <v>39.010000000000005</v>
      </c>
      <c r="P37" s="296">
        <v>204.32</v>
      </c>
      <c r="Q37" s="296">
        <v>178.76</v>
      </c>
      <c r="R37" s="295">
        <v>1051.68</v>
      </c>
      <c r="S37" s="56" t="s">
        <v>152</v>
      </c>
      <c r="T37" s="297">
        <v>46698</v>
      </c>
      <c r="U37" s="298" t="s">
        <v>1398</v>
      </c>
      <c r="V37" s="298" t="s">
        <v>313</v>
      </c>
      <c r="W37" s="298" t="s">
        <v>544</v>
      </c>
      <c r="Y37" s="299"/>
      <c r="Z37" s="207"/>
      <c r="AA37" s="207"/>
      <c r="AB37" s="207"/>
      <c r="AC37" s="207"/>
      <c r="AD37" s="207"/>
      <c r="AE37" s="207"/>
      <c r="AF37" s="207"/>
      <c r="AG37" s="207"/>
      <c r="AH37" s="207"/>
      <c r="AI37" s="207"/>
      <c r="AJ37" s="207"/>
      <c r="AK37" s="207"/>
      <c r="AL37" s="207"/>
      <c r="AM37" s="207"/>
      <c r="AN37" s="207"/>
      <c r="AO37" s="207"/>
      <c r="AP37" s="207"/>
      <c r="AQ37" s="207"/>
      <c r="AR37" s="207"/>
      <c r="AS37" s="207"/>
      <c r="AT37" s="207"/>
      <c r="AU37" s="207"/>
      <c r="AV37" s="207"/>
      <c r="AW37" s="207"/>
      <c r="AX37" s="207"/>
      <c r="AY37" s="207"/>
      <c r="AZ37" s="207"/>
      <c r="BA37" s="207"/>
      <c r="BB37" s="207"/>
      <c r="BC37" s="207"/>
      <c r="BD37" s="207"/>
      <c r="BE37" s="207"/>
      <c r="BF37" s="207"/>
    </row>
    <row r="38" spans="1:58" ht="14.25" customHeight="1" x14ac:dyDescent="0.25">
      <c r="A38" s="56" t="s">
        <v>1399</v>
      </c>
      <c r="B38" s="294" t="s">
        <v>1400</v>
      </c>
      <c r="C38" s="56" t="s">
        <v>141</v>
      </c>
      <c r="D38" s="56" t="s">
        <v>161</v>
      </c>
      <c r="E38" s="56" t="s">
        <v>162</v>
      </c>
      <c r="F38" s="56" t="s">
        <v>1401</v>
      </c>
      <c r="G38" s="56" t="s">
        <v>141</v>
      </c>
      <c r="H38" s="56" t="s">
        <v>164</v>
      </c>
      <c r="I38" s="56" t="s">
        <v>151</v>
      </c>
      <c r="J38" s="56">
        <v>1447</v>
      </c>
      <c r="K38" s="295">
        <v>1</v>
      </c>
      <c r="L38" s="295">
        <f t="shared" si="2"/>
        <v>1448</v>
      </c>
      <c r="M38" s="296">
        <v>3.4</v>
      </c>
      <c r="N38" s="296">
        <v>0.06</v>
      </c>
      <c r="O38" s="296">
        <f t="shared" si="3"/>
        <v>3.46</v>
      </c>
      <c r="P38" s="296">
        <v>101.76</v>
      </c>
      <c r="Q38" s="296">
        <v>16.809999999999999</v>
      </c>
      <c r="R38" s="295">
        <v>1488.24</v>
      </c>
      <c r="S38" s="56" t="s">
        <v>152</v>
      </c>
      <c r="T38" s="297">
        <v>46698</v>
      </c>
      <c r="U38" s="298" t="s">
        <v>1402</v>
      </c>
      <c r="V38" s="298" t="s">
        <v>313</v>
      </c>
      <c r="W38" s="298" t="s">
        <v>544</v>
      </c>
      <c r="Y38" s="299"/>
      <c r="Z38" s="207"/>
      <c r="AA38" s="207"/>
      <c r="AB38" s="207"/>
      <c r="AC38" s="207"/>
      <c r="AD38" s="207"/>
      <c r="AE38" s="207"/>
      <c r="AF38" s="207"/>
      <c r="AG38" s="207"/>
      <c r="AH38" s="207"/>
      <c r="AI38" s="207"/>
      <c r="AJ38" s="207"/>
      <c r="AK38" s="207"/>
      <c r="AL38" s="207"/>
      <c r="AM38" s="207"/>
      <c r="AN38" s="207"/>
      <c r="AO38" s="207"/>
      <c r="AP38" s="207"/>
      <c r="AQ38" s="207"/>
      <c r="AR38" s="207"/>
      <c r="AS38" s="207"/>
      <c r="AT38" s="207"/>
      <c r="AU38" s="207"/>
      <c r="AV38" s="207"/>
      <c r="AW38" s="207"/>
      <c r="AX38" s="207"/>
      <c r="AY38" s="207"/>
      <c r="AZ38" s="207"/>
      <c r="BA38" s="207"/>
      <c r="BB38" s="207"/>
      <c r="BC38" s="207"/>
      <c r="BD38" s="207"/>
      <c r="BE38" s="207"/>
      <c r="BF38" s="207"/>
    </row>
    <row r="39" spans="1:58" ht="13.5" customHeight="1" x14ac:dyDescent="0.25">
      <c r="A39" s="56" t="s">
        <v>1403</v>
      </c>
      <c r="B39" s="294" t="s">
        <v>1404</v>
      </c>
      <c r="C39" s="56" t="s">
        <v>141</v>
      </c>
      <c r="D39" s="56" t="s">
        <v>1405</v>
      </c>
      <c r="E39" s="56" t="s">
        <v>1405</v>
      </c>
      <c r="F39" s="56" t="s">
        <v>1406</v>
      </c>
      <c r="G39" s="56" t="s">
        <v>141</v>
      </c>
      <c r="H39" s="56" t="s">
        <v>1407</v>
      </c>
      <c r="I39" s="56" t="s">
        <v>151</v>
      </c>
      <c r="J39" s="56">
        <v>956</v>
      </c>
      <c r="K39" s="295">
        <v>0</v>
      </c>
      <c r="L39" s="295">
        <f t="shared" si="2"/>
        <v>956</v>
      </c>
      <c r="M39" s="296">
        <v>2.25</v>
      </c>
      <c r="N39" s="296">
        <v>0</v>
      </c>
      <c r="O39" s="296">
        <f t="shared" si="3"/>
        <v>2.25</v>
      </c>
      <c r="P39" s="296">
        <v>113.4</v>
      </c>
      <c r="Q39" s="296">
        <v>11.06</v>
      </c>
      <c r="R39" s="295">
        <v>1308.5999999999999</v>
      </c>
      <c r="S39" s="56" t="s">
        <v>152</v>
      </c>
      <c r="T39" s="297">
        <v>46698</v>
      </c>
      <c r="U39" s="298" t="s">
        <v>1408</v>
      </c>
      <c r="V39" s="298" t="s">
        <v>313</v>
      </c>
      <c r="W39" s="298" t="s">
        <v>544</v>
      </c>
      <c r="Y39" s="299"/>
      <c r="Z39" s="207"/>
      <c r="AA39" s="207"/>
      <c r="AB39" s="207"/>
      <c r="AC39" s="207"/>
      <c r="AD39" s="207"/>
      <c r="AE39" s="207"/>
      <c r="AF39" s="207"/>
      <c r="AG39" s="207"/>
      <c r="AH39" s="207"/>
      <c r="AI39" s="207"/>
      <c r="AJ39" s="207"/>
      <c r="AK39" s="207"/>
      <c r="AL39" s="207"/>
      <c r="AM39" s="207"/>
      <c r="AN39" s="207"/>
      <c r="AO39" s="207"/>
      <c r="AP39" s="207"/>
      <c r="AQ39" s="207"/>
      <c r="AR39" s="207"/>
      <c r="AS39" s="207"/>
      <c r="AT39" s="207"/>
      <c r="AU39" s="207"/>
      <c r="AV39" s="207"/>
      <c r="AW39" s="207"/>
      <c r="AX39" s="207"/>
      <c r="AY39" s="207"/>
      <c r="AZ39" s="207"/>
      <c r="BA39" s="207"/>
      <c r="BB39" s="207"/>
      <c r="BC39" s="207"/>
      <c r="BD39" s="207"/>
      <c r="BE39" s="207"/>
      <c r="BF39" s="207"/>
    </row>
    <row r="40" spans="1:58" ht="14.25" customHeight="1" x14ac:dyDescent="0.25">
      <c r="A40" s="255" t="s">
        <v>1460</v>
      </c>
      <c r="B40" s="288" t="s">
        <v>1461</v>
      </c>
      <c r="C40" s="255" t="s">
        <v>141</v>
      </c>
      <c r="D40" s="255" t="s">
        <v>95</v>
      </c>
      <c r="E40" s="255" t="s">
        <v>1462</v>
      </c>
      <c r="F40" s="255" t="s">
        <v>1463</v>
      </c>
      <c r="G40" s="255" t="s">
        <v>141</v>
      </c>
      <c r="H40" s="255" t="s">
        <v>1357</v>
      </c>
      <c r="I40" s="255" t="s">
        <v>151</v>
      </c>
      <c r="J40" s="255">
        <v>4514</v>
      </c>
      <c r="K40" s="289">
        <v>0</v>
      </c>
      <c r="L40" s="289">
        <f t="shared" si="2"/>
        <v>4514</v>
      </c>
      <c r="M40" s="290">
        <v>10.62</v>
      </c>
      <c r="N40" s="290">
        <v>0.03</v>
      </c>
      <c r="O40" s="290">
        <f t="shared" si="3"/>
        <v>10.649999999999999</v>
      </c>
      <c r="P40" s="290">
        <v>140</v>
      </c>
      <c r="Q40" s="290">
        <v>52.3</v>
      </c>
      <c r="R40" s="289">
        <v>670</v>
      </c>
      <c r="S40" s="255" t="s">
        <v>152</v>
      </c>
      <c r="T40" s="291">
        <v>46712</v>
      </c>
      <c r="U40" s="292" t="s">
        <v>1464</v>
      </c>
      <c r="V40" s="292" t="s">
        <v>313</v>
      </c>
      <c r="W40" s="292" t="s">
        <v>544</v>
      </c>
      <c r="X40" s="293"/>
      <c r="Y40" s="288"/>
      <c r="Z40" s="293"/>
      <c r="AA40" s="293"/>
      <c r="AB40" s="293"/>
      <c r="AC40" s="293"/>
      <c r="AD40" s="293"/>
      <c r="AE40" s="293"/>
      <c r="AF40" s="293"/>
      <c r="AG40" s="293"/>
      <c r="AH40" s="293"/>
      <c r="AI40" s="293"/>
      <c r="AJ40" s="293"/>
      <c r="AK40" s="293"/>
      <c r="AL40" s="293"/>
      <c r="AM40" s="293"/>
      <c r="AN40" s="293"/>
      <c r="AO40" s="293"/>
      <c r="AP40" s="293"/>
      <c r="AQ40" s="293"/>
      <c r="AR40" s="293"/>
      <c r="AS40" s="293"/>
      <c r="AT40" s="293"/>
      <c r="AU40" s="293"/>
      <c r="AV40" s="293"/>
      <c r="AW40" s="293"/>
      <c r="AX40" s="293"/>
      <c r="AY40" s="293"/>
      <c r="AZ40" s="293"/>
      <c r="BA40" s="293"/>
      <c r="BB40" s="293"/>
      <c r="BC40" s="293"/>
      <c r="BD40" s="293"/>
      <c r="BE40" s="293"/>
      <c r="BF40" s="293"/>
    </row>
    <row r="41" spans="1:58" ht="14.25" customHeight="1" x14ac:dyDescent="0.25">
      <c r="A41" s="300" t="s">
        <v>1465</v>
      </c>
      <c r="B41" s="249"/>
      <c r="C41" s="261" t="s">
        <v>141</v>
      </c>
      <c r="D41" s="249" t="s">
        <v>95</v>
      </c>
      <c r="E41" s="249" t="s">
        <v>1467</v>
      </c>
      <c r="F41" s="249" t="s">
        <v>1468</v>
      </c>
      <c r="G41" s="249" t="s">
        <v>141</v>
      </c>
      <c r="H41" s="249" t="s">
        <v>1357</v>
      </c>
      <c r="I41" s="249" t="s">
        <v>253</v>
      </c>
      <c r="J41" s="249">
        <v>380</v>
      </c>
      <c r="K41" s="265">
        <v>0</v>
      </c>
      <c r="L41" s="265">
        <f t="shared" si="2"/>
        <v>380</v>
      </c>
      <c r="M41" s="263">
        <v>0.89</v>
      </c>
      <c r="N41" s="263">
        <v>0</v>
      </c>
      <c r="O41" s="263">
        <f t="shared" si="3"/>
        <v>0.89</v>
      </c>
      <c r="P41" s="263">
        <v>135.76</v>
      </c>
      <c r="Q41" s="263">
        <v>4.4000000000000004</v>
      </c>
      <c r="R41" s="265">
        <v>30.240000000000009</v>
      </c>
      <c r="S41" s="249" t="s">
        <v>152</v>
      </c>
      <c r="T41" s="287"/>
      <c r="U41" s="267" t="s">
        <v>595</v>
      </c>
      <c r="V41" s="268" t="s">
        <v>313</v>
      </c>
      <c r="W41" s="268" t="s">
        <v>544</v>
      </c>
      <c r="X41" s="249"/>
      <c r="Y41" s="249"/>
      <c r="Z41" s="270"/>
      <c r="AA41" s="270"/>
      <c r="AB41" s="270"/>
      <c r="AC41" s="270"/>
      <c r="AD41" s="270"/>
      <c r="AE41" s="270"/>
      <c r="AF41" s="270"/>
      <c r="AG41" s="270"/>
      <c r="AH41" s="270"/>
      <c r="AI41" s="270"/>
      <c r="AJ41" s="270"/>
      <c r="AK41" s="270"/>
      <c r="AL41" s="270"/>
      <c r="AM41" s="270"/>
      <c r="AN41" s="270"/>
      <c r="AO41" s="270"/>
      <c r="AP41" s="270"/>
      <c r="AQ41" s="270"/>
      <c r="AR41" s="270"/>
      <c r="AS41" s="270"/>
      <c r="AT41" s="270"/>
      <c r="AU41" s="270"/>
      <c r="AV41" s="270"/>
      <c r="AW41" s="270"/>
      <c r="AX41" s="270"/>
      <c r="AY41" s="270"/>
      <c r="AZ41" s="270"/>
      <c r="BA41" s="270"/>
      <c r="BB41" s="270"/>
      <c r="BC41" s="270"/>
      <c r="BD41" s="270"/>
      <c r="BE41" s="270"/>
      <c r="BF41" s="270"/>
    </row>
    <row r="42" spans="1:58" ht="14.25" customHeight="1" x14ac:dyDescent="0.25">
      <c r="A42" s="301" t="s">
        <v>1474</v>
      </c>
      <c r="B42" s="56"/>
      <c r="C42" s="56" t="s">
        <v>141</v>
      </c>
      <c r="D42" s="56"/>
      <c r="E42" s="56" t="s">
        <v>1475</v>
      </c>
      <c r="F42" s="56" t="s">
        <v>1476</v>
      </c>
      <c r="G42" s="56" t="s">
        <v>141</v>
      </c>
      <c r="H42" s="56" t="s">
        <v>1477</v>
      </c>
      <c r="I42" s="56" t="s">
        <v>118</v>
      </c>
      <c r="J42" s="56"/>
      <c r="K42" s="295"/>
      <c r="L42" s="56"/>
      <c r="M42" s="296"/>
      <c r="N42" s="296"/>
      <c r="O42" s="296"/>
      <c r="P42" s="296"/>
      <c r="Q42" s="296"/>
      <c r="R42" s="295">
        <v>0</v>
      </c>
      <c r="S42" s="56"/>
      <c r="T42" s="302"/>
      <c r="U42" s="303" t="s">
        <v>1478</v>
      </c>
      <c r="V42" s="298" t="s">
        <v>313</v>
      </c>
      <c r="W42" s="298" t="s">
        <v>544</v>
      </c>
      <c r="Y42" s="207"/>
      <c r="Z42" s="207"/>
      <c r="AA42" s="207"/>
      <c r="AB42" s="207"/>
      <c r="AC42" s="207"/>
      <c r="AD42" s="207"/>
      <c r="AE42" s="207"/>
      <c r="AF42" s="207"/>
      <c r="AG42" s="207"/>
      <c r="AH42" s="207"/>
      <c r="AI42" s="207"/>
      <c r="AJ42" s="207"/>
      <c r="AK42" s="207"/>
      <c r="AL42" s="207"/>
      <c r="AM42" s="207"/>
      <c r="AN42" s="207"/>
      <c r="AO42" s="207"/>
      <c r="AP42" s="207"/>
      <c r="AQ42" s="207"/>
      <c r="AR42" s="207"/>
      <c r="AS42" s="207"/>
      <c r="AT42" s="207"/>
      <c r="AU42" s="207"/>
      <c r="AV42" s="207"/>
      <c r="AW42" s="207"/>
      <c r="AX42" s="207"/>
      <c r="AY42" s="207"/>
      <c r="AZ42" s="207"/>
      <c r="BA42" s="207"/>
      <c r="BB42" s="207"/>
      <c r="BC42" s="207"/>
      <c r="BD42" s="207"/>
      <c r="BE42" s="207"/>
      <c r="BF42" s="207"/>
    </row>
    <row r="43" spans="1:58" ht="14.25" customHeight="1" x14ac:dyDescent="0.25">
      <c r="A43" s="56" t="s">
        <v>1479</v>
      </c>
      <c r="B43" s="294" t="s">
        <v>1480</v>
      </c>
      <c r="C43" s="56" t="s">
        <v>141</v>
      </c>
      <c r="D43" s="56" t="s">
        <v>167</v>
      </c>
      <c r="E43" s="56" t="s">
        <v>1481</v>
      </c>
      <c r="F43" s="56" t="s">
        <v>1482</v>
      </c>
      <c r="G43" s="56" t="s">
        <v>141</v>
      </c>
      <c r="H43" s="56" t="s">
        <v>1483</v>
      </c>
      <c r="I43" s="56" t="s">
        <v>159</v>
      </c>
      <c r="J43" s="56">
        <v>1075</v>
      </c>
      <c r="K43" s="295">
        <v>0</v>
      </c>
      <c r="L43" s="295">
        <f t="shared" ref="L43:L62" si="4">J43+K43</f>
        <v>1075</v>
      </c>
      <c r="M43" s="296">
        <v>2.5299999999999998</v>
      </c>
      <c r="N43" s="296">
        <v>0</v>
      </c>
      <c r="O43" s="296">
        <f t="shared" ref="O43:O62" si="5">N43+M43</f>
        <v>2.5299999999999998</v>
      </c>
      <c r="P43" s="296">
        <v>30</v>
      </c>
      <c r="Q43" s="296">
        <v>12.44</v>
      </c>
      <c r="R43" s="295">
        <v>1018</v>
      </c>
      <c r="S43" s="56" t="s">
        <v>152</v>
      </c>
      <c r="T43" s="297">
        <v>46698</v>
      </c>
      <c r="U43" s="298" t="s">
        <v>1484</v>
      </c>
      <c r="V43" s="298" t="s">
        <v>313</v>
      </c>
      <c r="W43" s="298" t="s">
        <v>544</v>
      </c>
      <c r="Y43" s="299"/>
      <c r="Z43" s="207"/>
      <c r="AA43" s="207"/>
      <c r="AB43" s="207"/>
      <c r="AC43" s="207"/>
      <c r="AD43" s="207"/>
      <c r="AE43" s="207"/>
      <c r="AF43" s="207"/>
      <c r="AG43" s="207"/>
      <c r="AH43" s="207"/>
      <c r="AI43" s="207"/>
      <c r="AJ43" s="207"/>
      <c r="AK43" s="207"/>
      <c r="AL43" s="207"/>
      <c r="AM43" s="207"/>
      <c r="AN43" s="207"/>
      <c r="AO43" s="207"/>
      <c r="AP43" s="207"/>
      <c r="AQ43" s="207"/>
      <c r="AR43" s="207"/>
      <c r="AS43" s="207"/>
      <c r="AT43" s="207"/>
      <c r="AU43" s="207"/>
      <c r="AV43" s="207"/>
      <c r="AW43" s="207"/>
      <c r="AX43" s="207"/>
      <c r="AY43" s="207"/>
      <c r="AZ43" s="207"/>
      <c r="BA43" s="207"/>
      <c r="BB43" s="207"/>
      <c r="BC43" s="207"/>
      <c r="BD43" s="207"/>
      <c r="BE43" s="207"/>
      <c r="BF43" s="207"/>
    </row>
    <row r="44" spans="1:58" ht="14.25" customHeight="1" x14ac:dyDescent="0.25">
      <c r="A44" s="300" t="s">
        <v>1490</v>
      </c>
      <c r="B44" s="249"/>
      <c r="C44" s="261" t="s">
        <v>141</v>
      </c>
      <c r="D44" s="249" t="s">
        <v>95</v>
      </c>
      <c r="E44" s="249" t="s">
        <v>1492</v>
      </c>
      <c r="F44" s="249" t="s">
        <v>1493</v>
      </c>
      <c r="G44" s="249" t="s">
        <v>141</v>
      </c>
      <c r="H44" s="249" t="s">
        <v>1357</v>
      </c>
      <c r="I44" s="249" t="s">
        <v>151</v>
      </c>
      <c r="J44" s="249">
        <v>4789</v>
      </c>
      <c r="K44" s="265">
        <v>1</v>
      </c>
      <c r="L44" s="265">
        <f t="shared" si="4"/>
        <v>4790</v>
      </c>
      <c r="M44" s="263">
        <v>11.26</v>
      </c>
      <c r="N44" s="263">
        <v>0.01</v>
      </c>
      <c r="O44" s="263">
        <f t="shared" si="5"/>
        <v>11.27</v>
      </c>
      <c r="P44" s="263">
        <v>177.42</v>
      </c>
      <c r="Q44" s="263">
        <v>55.44</v>
      </c>
      <c r="R44" s="265">
        <v>400.58000000000004</v>
      </c>
      <c r="S44" s="249" t="s">
        <v>152</v>
      </c>
      <c r="T44" s="287"/>
      <c r="U44" s="267" t="s">
        <v>1370</v>
      </c>
      <c r="V44" s="268" t="s">
        <v>313</v>
      </c>
      <c r="W44" s="268" t="s">
        <v>544</v>
      </c>
      <c r="X44" s="249"/>
      <c r="Y44" s="249" t="s">
        <v>1495</v>
      </c>
      <c r="Z44" s="270"/>
      <c r="AA44" s="270"/>
      <c r="AB44" s="270"/>
      <c r="AC44" s="270"/>
      <c r="AD44" s="270"/>
      <c r="AE44" s="270"/>
      <c r="AF44" s="270"/>
      <c r="AG44" s="270"/>
      <c r="AH44" s="270"/>
      <c r="AI44" s="270"/>
      <c r="AJ44" s="270"/>
      <c r="AK44" s="270"/>
      <c r="AL44" s="270"/>
      <c r="AM44" s="270"/>
      <c r="AN44" s="270"/>
      <c r="AO44" s="270"/>
      <c r="AP44" s="270"/>
      <c r="AQ44" s="270"/>
      <c r="AR44" s="270"/>
      <c r="AS44" s="270"/>
      <c r="AT44" s="270"/>
      <c r="AU44" s="270"/>
      <c r="AV44" s="270"/>
      <c r="AW44" s="270"/>
      <c r="AX44" s="270"/>
      <c r="AY44" s="270"/>
      <c r="AZ44" s="270"/>
      <c r="BA44" s="270"/>
      <c r="BB44" s="270"/>
      <c r="BC44" s="270"/>
      <c r="BD44" s="270"/>
      <c r="BE44" s="270"/>
      <c r="BF44" s="270"/>
    </row>
    <row r="45" spans="1:58" ht="14.25" customHeight="1" x14ac:dyDescent="0.25">
      <c r="A45" s="300" t="s">
        <v>1507</v>
      </c>
      <c r="B45" s="249"/>
      <c r="C45" s="261" t="s">
        <v>141</v>
      </c>
      <c r="D45" s="249" t="s">
        <v>95</v>
      </c>
      <c r="E45" s="249" t="s">
        <v>1509</v>
      </c>
      <c r="F45" s="249" t="s">
        <v>1510</v>
      </c>
      <c r="G45" s="249" t="s">
        <v>141</v>
      </c>
      <c r="H45" s="249" t="s">
        <v>1357</v>
      </c>
      <c r="I45" s="249" t="s">
        <v>159</v>
      </c>
      <c r="J45" s="249">
        <v>404</v>
      </c>
      <c r="K45" s="265">
        <v>0</v>
      </c>
      <c r="L45" s="265">
        <f t="shared" si="4"/>
        <v>404</v>
      </c>
      <c r="M45" s="263">
        <v>0.95</v>
      </c>
      <c r="N45" s="263">
        <v>0</v>
      </c>
      <c r="O45" s="263">
        <f t="shared" si="5"/>
        <v>0.95</v>
      </c>
      <c r="P45" s="263">
        <v>32</v>
      </c>
      <c r="Q45" s="263">
        <v>4.68</v>
      </c>
      <c r="R45" s="265">
        <v>490</v>
      </c>
      <c r="S45" s="249" t="s">
        <v>152</v>
      </c>
      <c r="T45" s="287"/>
      <c r="U45" s="267" t="s">
        <v>1370</v>
      </c>
      <c r="V45" s="268" t="s">
        <v>313</v>
      </c>
      <c r="W45" s="268" t="s">
        <v>544</v>
      </c>
      <c r="X45" s="249"/>
      <c r="Y45" s="249" t="s">
        <v>1495</v>
      </c>
      <c r="Z45" s="270"/>
      <c r="AA45" s="270"/>
      <c r="AB45" s="270"/>
      <c r="AC45" s="270"/>
      <c r="AD45" s="270"/>
      <c r="AE45" s="270"/>
      <c r="AF45" s="270"/>
      <c r="AG45" s="270"/>
      <c r="AH45" s="270"/>
      <c r="AI45" s="270"/>
      <c r="AJ45" s="270"/>
      <c r="AK45" s="270"/>
      <c r="AL45" s="270"/>
      <c r="AM45" s="270"/>
      <c r="AN45" s="270"/>
      <c r="AO45" s="270"/>
      <c r="AP45" s="270"/>
      <c r="AQ45" s="270"/>
      <c r="AR45" s="270"/>
      <c r="AS45" s="270"/>
      <c r="AT45" s="270"/>
      <c r="AU45" s="270"/>
      <c r="AV45" s="270"/>
      <c r="AW45" s="270"/>
      <c r="AX45" s="270"/>
      <c r="AY45" s="270"/>
      <c r="AZ45" s="270"/>
      <c r="BA45" s="270"/>
      <c r="BB45" s="270"/>
      <c r="BC45" s="270"/>
      <c r="BD45" s="270"/>
      <c r="BE45" s="270"/>
      <c r="BF45" s="270"/>
    </row>
    <row r="46" spans="1:58" ht="14.25" customHeight="1" x14ac:dyDescent="0.25">
      <c r="A46" s="304" t="s">
        <v>1526</v>
      </c>
      <c r="B46" s="294" t="s">
        <v>1527</v>
      </c>
      <c r="C46" s="304" t="s">
        <v>141</v>
      </c>
      <c r="D46" s="304" t="s">
        <v>95</v>
      </c>
      <c r="E46" s="304" t="s">
        <v>1528</v>
      </c>
      <c r="F46" s="56" t="s">
        <v>1529</v>
      </c>
      <c r="G46" s="304" t="s">
        <v>141</v>
      </c>
      <c r="H46" s="304" t="s">
        <v>1363</v>
      </c>
      <c r="I46" s="304" t="s">
        <v>151</v>
      </c>
      <c r="J46" s="304">
        <v>98</v>
      </c>
      <c r="K46" s="305">
        <v>0</v>
      </c>
      <c r="L46" s="305">
        <f t="shared" si="4"/>
        <v>98</v>
      </c>
      <c r="M46" s="306">
        <v>0.23</v>
      </c>
      <c r="N46" s="306">
        <v>0</v>
      </c>
      <c r="O46" s="306">
        <f t="shared" si="5"/>
        <v>0.23</v>
      </c>
      <c r="P46" s="306">
        <v>57.44</v>
      </c>
      <c r="Q46" s="306">
        <v>1.1299999999999999</v>
      </c>
      <c r="R46" s="295">
        <v>354.56</v>
      </c>
      <c r="S46" s="304" t="s">
        <v>152</v>
      </c>
      <c r="T46" s="307">
        <v>46720</v>
      </c>
      <c r="U46" s="308" t="s">
        <v>1530</v>
      </c>
      <c r="V46" s="298" t="s">
        <v>313</v>
      </c>
      <c r="W46" s="298" t="s">
        <v>544</v>
      </c>
      <c r="Y46" s="207"/>
      <c r="Z46" s="207"/>
      <c r="AA46" s="207"/>
      <c r="AB46" s="207"/>
      <c r="AC46" s="207"/>
      <c r="AD46" s="207"/>
      <c r="AE46" s="207"/>
      <c r="AF46" s="207"/>
      <c r="AG46" s="207"/>
      <c r="AH46" s="207"/>
      <c r="AI46" s="207"/>
      <c r="AJ46" s="207"/>
      <c r="AK46" s="207"/>
      <c r="AL46" s="207"/>
      <c r="AM46" s="207"/>
      <c r="AN46" s="207"/>
      <c r="AO46" s="207"/>
      <c r="AP46" s="207"/>
      <c r="AQ46" s="207"/>
      <c r="AR46" s="207"/>
      <c r="AS46" s="207"/>
      <c r="AT46" s="207"/>
      <c r="AU46" s="207"/>
      <c r="AV46" s="207"/>
      <c r="AW46" s="207"/>
      <c r="AX46" s="207"/>
      <c r="AY46" s="207"/>
      <c r="AZ46" s="207"/>
      <c r="BA46" s="207"/>
      <c r="BB46" s="207"/>
      <c r="BC46" s="207"/>
      <c r="BD46" s="207"/>
      <c r="BE46" s="207"/>
      <c r="BF46" s="207"/>
    </row>
    <row r="47" spans="1:58" ht="14.25" customHeight="1" x14ac:dyDescent="0.25">
      <c r="A47" s="249" t="s">
        <v>1631</v>
      </c>
      <c r="B47" s="249" t="s">
        <v>1632</v>
      </c>
      <c r="C47" s="249" t="s">
        <v>1606</v>
      </c>
      <c r="D47" s="249" t="s">
        <v>1607</v>
      </c>
      <c r="E47" s="249" t="s">
        <v>1633</v>
      </c>
      <c r="F47" s="249" t="s">
        <v>1634</v>
      </c>
      <c r="G47" s="249" t="s">
        <v>1610</v>
      </c>
      <c r="H47" s="249" t="s">
        <v>1635</v>
      </c>
      <c r="I47" s="249" t="s">
        <v>151</v>
      </c>
      <c r="J47" s="249">
        <v>563</v>
      </c>
      <c r="K47" s="265">
        <v>0</v>
      </c>
      <c r="L47" s="265">
        <f t="shared" si="4"/>
        <v>563</v>
      </c>
      <c r="M47" s="263">
        <v>1.32</v>
      </c>
      <c r="N47" s="263">
        <v>0</v>
      </c>
      <c r="O47" s="263">
        <f t="shared" si="5"/>
        <v>1.32</v>
      </c>
      <c r="P47" s="263">
        <v>55</v>
      </c>
      <c r="Q47" s="263">
        <v>4.8899999999999997</v>
      </c>
      <c r="R47" s="265">
        <v>1216</v>
      </c>
      <c r="S47" s="249" t="s">
        <v>1636</v>
      </c>
      <c r="T47" s="309">
        <v>46720</v>
      </c>
      <c r="U47" s="283" t="s">
        <v>1612</v>
      </c>
      <c r="V47" s="282" t="s">
        <v>313</v>
      </c>
      <c r="W47" s="283">
        <v>2049</v>
      </c>
      <c r="X47" s="283" t="s">
        <v>1637</v>
      </c>
      <c r="Y47" s="283"/>
      <c r="Z47" s="269"/>
      <c r="AA47" s="269"/>
      <c r="AB47" s="269"/>
      <c r="AC47" s="269"/>
      <c r="AD47" s="269"/>
      <c r="AE47" s="269"/>
      <c r="AF47" s="269"/>
      <c r="AG47" s="269"/>
      <c r="AH47" s="269"/>
      <c r="AI47" s="269"/>
      <c r="AJ47" s="269"/>
      <c r="AK47" s="270"/>
      <c r="AL47" s="270"/>
      <c r="AM47" s="270"/>
      <c r="AN47" s="270"/>
      <c r="AO47" s="270"/>
      <c r="AP47" s="270"/>
      <c r="AQ47" s="270"/>
      <c r="AR47" s="270"/>
      <c r="AS47" s="270"/>
      <c r="AT47" s="270"/>
      <c r="AU47" s="270"/>
      <c r="AV47" s="270"/>
      <c r="AW47" s="270"/>
      <c r="AX47" s="270"/>
      <c r="AY47" s="270"/>
      <c r="AZ47" s="270"/>
      <c r="BA47" s="270"/>
      <c r="BB47" s="270"/>
      <c r="BC47" s="270"/>
      <c r="BD47" s="270"/>
      <c r="BE47" s="270"/>
      <c r="BF47" s="270"/>
    </row>
    <row r="48" spans="1:58" ht="14.25" customHeight="1" x14ac:dyDescent="0.25">
      <c r="A48" s="249" t="s">
        <v>1732</v>
      </c>
      <c r="B48" s="249" t="s">
        <v>1733</v>
      </c>
      <c r="C48" s="249" t="s">
        <v>1713</v>
      </c>
      <c r="D48" s="249" t="s">
        <v>95</v>
      </c>
      <c r="E48" s="249" t="s">
        <v>1734</v>
      </c>
      <c r="F48" s="249" t="s">
        <v>1735</v>
      </c>
      <c r="G48" s="249" t="s">
        <v>1716</v>
      </c>
      <c r="H48" s="249" t="s">
        <v>1736</v>
      </c>
      <c r="I48" s="249" t="s">
        <v>151</v>
      </c>
      <c r="J48" s="249">
        <v>18</v>
      </c>
      <c r="K48" s="265">
        <v>5.3</v>
      </c>
      <c r="L48" s="265">
        <f t="shared" si="4"/>
        <v>23.3</v>
      </c>
      <c r="M48" s="263">
        <v>0.04</v>
      </c>
      <c r="N48" s="263">
        <v>0.63</v>
      </c>
      <c r="O48" s="263">
        <f t="shared" si="5"/>
        <v>0.67</v>
      </c>
      <c r="P48" s="263">
        <v>38.68</v>
      </c>
      <c r="Q48" s="263">
        <v>1.38</v>
      </c>
      <c r="R48" s="265">
        <v>1592.32</v>
      </c>
      <c r="S48" s="249" t="s">
        <v>190</v>
      </c>
      <c r="T48" s="309">
        <v>46215</v>
      </c>
      <c r="U48" s="283" t="s">
        <v>1718</v>
      </c>
      <c r="V48" s="282" t="s">
        <v>313</v>
      </c>
      <c r="W48" s="283" t="s">
        <v>544</v>
      </c>
      <c r="X48" s="283"/>
      <c r="Y48" s="283"/>
      <c r="Z48" s="269"/>
      <c r="AA48" s="269"/>
      <c r="AB48" s="269"/>
      <c r="AC48" s="269"/>
      <c r="AD48" s="269"/>
      <c r="AE48" s="269"/>
      <c r="AF48" s="269"/>
      <c r="AG48" s="269"/>
      <c r="AH48" s="269"/>
      <c r="AI48" s="269"/>
      <c r="AJ48" s="269"/>
      <c r="AK48" s="270"/>
      <c r="AL48" s="270"/>
      <c r="AM48" s="270"/>
      <c r="AN48" s="270"/>
      <c r="AO48" s="270"/>
      <c r="AP48" s="270"/>
      <c r="AQ48" s="270"/>
      <c r="AR48" s="270"/>
      <c r="AS48" s="270"/>
      <c r="AT48" s="270"/>
      <c r="AU48" s="270"/>
      <c r="AV48" s="270"/>
      <c r="AW48" s="270"/>
      <c r="AX48" s="270"/>
      <c r="AY48" s="270"/>
      <c r="AZ48" s="270"/>
      <c r="BA48" s="270"/>
      <c r="BB48" s="270"/>
      <c r="BC48" s="270"/>
      <c r="BD48" s="270"/>
      <c r="BE48" s="270"/>
      <c r="BF48" s="270"/>
    </row>
    <row r="49" spans="1:58" ht="14.25" customHeight="1" x14ac:dyDescent="0.25">
      <c r="A49" s="280" t="s">
        <v>1737</v>
      </c>
      <c r="B49" s="249" t="s">
        <v>1738</v>
      </c>
      <c r="C49" s="280" t="s">
        <v>1713</v>
      </c>
      <c r="D49" s="280" t="s">
        <v>95</v>
      </c>
      <c r="E49" s="280" t="s">
        <v>1739</v>
      </c>
      <c r="F49" s="249" t="s">
        <v>1740</v>
      </c>
      <c r="G49" s="280" t="s">
        <v>1716</v>
      </c>
      <c r="H49" s="280" t="s">
        <v>1741</v>
      </c>
      <c r="I49" s="280" t="s">
        <v>118</v>
      </c>
      <c r="J49" s="280">
        <v>6032</v>
      </c>
      <c r="K49" s="310">
        <v>75.3</v>
      </c>
      <c r="L49" s="310">
        <f t="shared" si="4"/>
        <v>6107.3</v>
      </c>
      <c r="M49" s="311">
        <v>14.19</v>
      </c>
      <c r="N49" s="311">
        <v>1.46</v>
      </c>
      <c r="O49" s="311">
        <f t="shared" si="5"/>
        <v>15.649999999999999</v>
      </c>
      <c r="P49" s="311">
        <v>76</v>
      </c>
      <c r="Q49" s="311">
        <v>53.01</v>
      </c>
      <c r="R49" s="265">
        <v>6176</v>
      </c>
      <c r="S49" s="280" t="s">
        <v>190</v>
      </c>
      <c r="T49" s="312">
        <v>46215</v>
      </c>
      <c r="U49" s="313" t="s">
        <v>1718</v>
      </c>
      <c r="V49" s="282" t="s">
        <v>313</v>
      </c>
      <c r="W49" s="283" t="s">
        <v>544</v>
      </c>
      <c r="X49" s="283"/>
      <c r="Y49" s="283"/>
      <c r="Z49" s="270"/>
      <c r="AA49" s="270"/>
      <c r="AB49" s="270"/>
      <c r="AC49" s="270"/>
      <c r="AD49" s="270"/>
      <c r="AE49" s="270"/>
      <c r="AF49" s="270"/>
      <c r="AG49" s="270"/>
      <c r="AH49" s="270"/>
      <c r="AI49" s="270"/>
      <c r="AJ49" s="270"/>
      <c r="AK49" s="270"/>
      <c r="AL49" s="270"/>
      <c r="AM49" s="270"/>
      <c r="AN49" s="270"/>
      <c r="AO49" s="270"/>
      <c r="AP49" s="270"/>
      <c r="AQ49" s="270"/>
      <c r="AR49" s="270"/>
      <c r="AS49" s="270"/>
      <c r="AT49" s="270"/>
      <c r="AU49" s="270"/>
      <c r="AV49" s="270"/>
      <c r="AW49" s="270"/>
      <c r="AX49" s="270"/>
      <c r="AY49" s="270"/>
      <c r="AZ49" s="270"/>
      <c r="BA49" s="270"/>
      <c r="BB49" s="270"/>
      <c r="BC49" s="270"/>
      <c r="BD49" s="270"/>
      <c r="BE49" s="270"/>
      <c r="BF49" s="270"/>
    </row>
    <row r="50" spans="1:58" ht="14.25" customHeight="1" x14ac:dyDescent="0.25">
      <c r="A50" s="249" t="s">
        <v>1874</v>
      </c>
      <c r="B50" s="249"/>
      <c r="C50" s="249" t="s">
        <v>1875</v>
      </c>
      <c r="D50" s="249" t="s">
        <v>1876</v>
      </c>
      <c r="E50" s="249" t="s">
        <v>1877</v>
      </c>
      <c r="F50" s="249" t="s">
        <v>1878</v>
      </c>
      <c r="G50" s="249" t="s">
        <v>1879</v>
      </c>
      <c r="H50" s="249" t="s">
        <v>1880</v>
      </c>
      <c r="I50" s="249" t="s">
        <v>151</v>
      </c>
      <c r="J50" s="249">
        <v>68</v>
      </c>
      <c r="K50" s="265">
        <v>0</v>
      </c>
      <c r="L50" s="265">
        <f t="shared" si="4"/>
        <v>68</v>
      </c>
      <c r="M50" s="263">
        <v>0.16</v>
      </c>
      <c r="N50" s="263">
        <v>0</v>
      </c>
      <c r="O50" s="263">
        <f t="shared" si="5"/>
        <v>0.16</v>
      </c>
      <c r="P50" s="263">
        <v>24.46</v>
      </c>
      <c r="Q50" s="263">
        <v>0.59027777777777779</v>
      </c>
      <c r="R50" s="265">
        <v>169.54</v>
      </c>
      <c r="S50" s="249" t="s">
        <v>190</v>
      </c>
      <c r="T50" s="314">
        <v>2021</v>
      </c>
      <c r="U50" s="268" t="s">
        <v>1881</v>
      </c>
      <c r="V50" s="268" t="s">
        <v>313</v>
      </c>
      <c r="W50" s="268" t="s">
        <v>544</v>
      </c>
      <c r="X50" s="279"/>
      <c r="Y50" s="279" t="s">
        <v>1882</v>
      </c>
      <c r="Z50" s="270"/>
      <c r="AA50" s="270"/>
      <c r="AB50" s="270"/>
      <c r="AC50" s="270"/>
      <c r="AD50" s="270"/>
      <c r="AE50" s="270"/>
      <c r="AF50" s="270"/>
      <c r="AG50" s="270"/>
      <c r="AH50" s="270"/>
      <c r="AI50" s="270"/>
      <c r="AJ50" s="270"/>
      <c r="AK50" s="270"/>
      <c r="AL50" s="270"/>
      <c r="AM50" s="270"/>
      <c r="AN50" s="270"/>
      <c r="AO50" s="270"/>
      <c r="AP50" s="270"/>
      <c r="AQ50" s="270"/>
      <c r="AR50" s="270"/>
      <c r="AS50" s="270"/>
      <c r="AT50" s="270"/>
      <c r="AU50" s="270"/>
      <c r="AV50" s="270"/>
      <c r="AW50" s="270"/>
      <c r="AX50" s="270"/>
      <c r="AY50" s="270"/>
      <c r="AZ50" s="270"/>
      <c r="BA50" s="270"/>
      <c r="BB50" s="270"/>
      <c r="BC50" s="270"/>
      <c r="BD50" s="270"/>
      <c r="BE50" s="270"/>
      <c r="BF50" s="270"/>
    </row>
    <row r="51" spans="1:58" ht="14.25" customHeight="1" x14ac:dyDescent="0.25">
      <c r="A51" s="315" t="s">
        <v>1883</v>
      </c>
      <c r="B51" s="316" t="s">
        <v>1884</v>
      </c>
      <c r="C51" s="315" t="s">
        <v>1875</v>
      </c>
      <c r="D51" s="315" t="s">
        <v>1876</v>
      </c>
      <c r="E51" s="315" t="s">
        <v>1885</v>
      </c>
      <c r="F51" s="315" t="s">
        <v>1886</v>
      </c>
      <c r="G51" s="315" t="s">
        <v>1887</v>
      </c>
      <c r="H51" s="315" t="s">
        <v>1880</v>
      </c>
      <c r="I51" s="315" t="s">
        <v>151</v>
      </c>
      <c r="J51" s="315">
        <v>7467</v>
      </c>
      <c r="K51" s="317">
        <v>20.5</v>
      </c>
      <c r="L51" s="317">
        <f t="shared" si="4"/>
        <v>7487.5</v>
      </c>
      <c r="M51" s="318">
        <v>17.559999999999999</v>
      </c>
      <c r="N51" s="318">
        <v>0.24</v>
      </c>
      <c r="O51" s="318">
        <f t="shared" si="5"/>
        <v>17.799999999999997</v>
      </c>
      <c r="P51" s="318">
        <v>249.5</v>
      </c>
      <c r="Q51" s="318">
        <v>64.995659722222229</v>
      </c>
      <c r="R51" s="317">
        <v>2751.5</v>
      </c>
      <c r="S51" s="315" t="s">
        <v>190</v>
      </c>
      <c r="T51" s="319">
        <v>46690</v>
      </c>
      <c r="U51" s="320" t="s">
        <v>1888</v>
      </c>
      <c r="V51" s="320" t="s">
        <v>313</v>
      </c>
      <c r="W51" s="320" t="s">
        <v>239</v>
      </c>
      <c r="X51" s="320"/>
      <c r="Y51" s="321" t="s">
        <v>1889</v>
      </c>
      <c r="Z51" s="322"/>
      <c r="AA51" s="322"/>
      <c r="AB51" s="322"/>
      <c r="AC51" s="322"/>
      <c r="AD51" s="322"/>
      <c r="AE51" s="322"/>
      <c r="AF51" s="322"/>
      <c r="AG51" s="322"/>
      <c r="AH51" s="322"/>
      <c r="AI51" s="322"/>
      <c r="AJ51" s="322"/>
      <c r="AK51" s="322"/>
      <c r="AL51" s="322"/>
      <c r="AM51" s="322"/>
      <c r="AN51" s="322"/>
      <c r="AO51" s="322"/>
      <c r="AP51" s="322"/>
      <c r="AQ51" s="322"/>
      <c r="AR51" s="322"/>
      <c r="AS51" s="322"/>
      <c r="AT51" s="322"/>
      <c r="AU51" s="322"/>
      <c r="AV51" s="322"/>
      <c r="AW51" s="322"/>
      <c r="AX51" s="322"/>
      <c r="AY51" s="322"/>
      <c r="AZ51" s="322"/>
      <c r="BA51" s="322"/>
      <c r="BB51" s="322"/>
      <c r="BC51" s="322"/>
      <c r="BD51" s="322"/>
      <c r="BE51" s="322"/>
      <c r="BF51" s="322"/>
    </row>
    <row r="52" spans="1:58" ht="14.25" customHeight="1" x14ac:dyDescent="0.25">
      <c r="A52" s="315" t="s">
        <v>1909</v>
      </c>
      <c r="B52" s="316" t="s">
        <v>1910</v>
      </c>
      <c r="C52" s="315" t="s">
        <v>1875</v>
      </c>
      <c r="D52" s="315" t="s">
        <v>1876</v>
      </c>
      <c r="E52" s="315" t="s">
        <v>1912</v>
      </c>
      <c r="F52" s="315" t="s">
        <v>1913</v>
      </c>
      <c r="G52" s="315" t="s">
        <v>1887</v>
      </c>
      <c r="H52" s="315" t="s">
        <v>1880</v>
      </c>
      <c r="I52" s="315" t="s">
        <v>151</v>
      </c>
      <c r="J52" s="315">
        <v>1662</v>
      </c>
      <c r="K52" s="317">
        <v>0</v>
      </c>
      <c r="L52" s="317">
        <f t="shared" si="4"/>
        <v>1662</v>
      </c>
      <c r="M52" s="318">
        <v>3.91</v>
      </c>
      <c r="N52" s="318">
        <v>0</v>
      </c>
      <c r="O52" s="318">
        <f t="shared" si="5"/>
        <v>3.91</v>
      </c>
      <c r="P52" s="318">
        <v>38.81</v>
      </c>
      <c r="Q52" s="318">
        <v>14.427083333333334</v>
      </c>
      <c r="R52" s="317">
        <v>211.19</v>
      </c>
      <c r="S52" s="315" t="s">
        <v>190</v>
      </c>
      <c r="T52" s="319">
        <v>46690</v>
      </c>
      <c r="U52" s="320" t="s">
        <v>1888</v>
      </c>
      <c r="V52" s="320" t="s">
        <v>313</v>
      </c>
      <c r="W52" s="320" t="s">
        <v>239</v>
      </c>
      <c r="X52" s="320"/>
      <c r="Y52" s="321" t="s">
        <v>1889</v>
      </c>
      <c r="Z52" s="322"/>
      <c r="AA52" s="322"/>
      <c r="AB52" s="322"/>
      <c r="AC52" s="322"/>
      <c r="AD52" s="322"/>
      <c r="AE52" s="322"/>
      <c r="AF52" s="322"/>
      <c r="AG52" s="322"/>
      <c r="AH52" s="322"/>
      <c r="AI52" s="322"/>
      <c r="AJ52" s="322"/>
      <c r="AK52" s="322"/>
      <c r="AL52" s="322"/>
      <c r="AM52" s="322"/>
      <c r="AN52" s="322"/>
      <c r="AO52" s="322"/>
      <c r="AP52" s="322"/>
      <c r="AQ52" s="322"/>
      <c r="AR52" s="322"/>
      <c r="AS52" s="322"/>
      <c r="AT52" s="322"/>
      <c r="AU52" s="322"/>
      <c r="AV52" s="322"/>
      <c r="AW52" s="322"/>
      <c r="AX52" s="322"/>
      <c r="AY52" s="322"/>
      <c r="AZ52" s="322"/>
      <c r="BA52" s="322"/>
      <c r="BB52" s="322"/>
      <c r="BC52" s="322"/>
      <c r="BD52" s="322"/>
      <c r="BE52" s="322"/>
      <c r="BF52" s="322"/>
    </row>
    <row r="53" spans="1:58" ht="14.25" customHeight="1" x14ac:dyDescent="0.25">
      <c r="A53" s="249" t="s">
        <v>1918</v>
      </c>
      <c r="B53" s="249"/>
      <c r="C53" s="249" t="s">
        <v>1875</v>
      </c>
      <c r="D53" s="249" t="s">
        <v>1876</v>
      </c>
      <c r="E53" s="249" t="s">
        <v>1919</v>
      </c>
      <c r="F53" s="249" t="s">
        <v>1920</v>
      </c>
      <c r="G53" s="249" t="s">
        <v>1879</v>
      </c>
      <c r="H53" s="249" t="s">
        <v>1880</v>
      </c>
      <c r="I53" s="249" t="s">
        <v>151</v>
      </c>
      <c r="J53" s="249">
        <v>3328</v>
      </c>
      <c r="K53" s="265">
        <v>1</v>
      </c>
      <c r="L53" s="265">
        <f t="shared" si="4"/>
        <v>3329</v>
      </c>
      <c r="M53" s="263">
        <v>7.83</v>
      </c>
      <c r="N53" s="263">
        <v>0</v>
      </c>
      <c r="O53" s="263">
        <f t="shared" si="5"/>
        <v>7.83</v>
      </c>
      <c r="P53" s="263">
        <v>112.56</v>
      </c>
      <c r="Q53" s="263">
        <v>28.897569444444443</v>
      </c>
      <c r="R53" s="265">
        <v>2503.44</v>
      </c>
      <c r="S53" s="249" t="s">
        <v>190</v>
      </c>
      <c r="T53" s="314">
        <v>2021</v>
      </c>
      <c r="U53" s="268" t="s">
        <v>1921</v>
      </c>
      <c r="V53" s="268" t="s">
        <v>313</v>
      </c>
      <c r="W53" s="268" t="s">
        <v>544</v>
      </c>
      <c r="X53" s="279"/>
      <c r="Y53" s="279" t="s">
        <v>1882</v>
      </c>
      <c r="Z53" s="270"/>
      <c r="AA53" s="270"/>
      <c r="AB53" s="270"/>
      <c r="AC53" s="270"/>
      <c r="AD53" s="270"/>
      <c r="AE53" s="270"/>
      <c r="AF53" s="270"/>
      <c r="AG53" s="270"/>
      <c r="AH53" s="270"/>
      <c r="AI53" s="270"/>
      <c r="AJ53" s="270"/>
      <c r="AK53" s="270"/>
      <c r="AL53" s="270"/>
      <c r="AM53" s="270"/>
      <c r="AN53" s="270"/>
      <c r="AO53" s="270"/>
      <c r="AP53" s="270"/>
      <c r="AQ53" s="270"/>
      <c r="AR53" s="270"/>
      <c r="AS53" s="270"/>
      <c r="AT53" s="270"/>
      <c r="AU53" s="270"/>
      <c r="AV53" s="270"/>
      <c r="AW53" s="270"/>
      <c r="AX53" s="270"/>
      <c r="AY53" s="270"/>
      <c r="AZ53" s="270"/>
      <c r="BA53" s="270"/>
      <c r="BB53" s="270"/>
      <c r="BC53" s="270"/>
      <c r="BD53" s="270"/>
      <c r="BE53" s="270"/>
      <c r="BF53" s="270"/>
    </row>
    <row r="54" spans="1:58" ht="14.25" customHeight="1" x14ac:dyDescent="0.25">
      <c r="A54" s="315" t="s">
        <v>1936</v>
      </c>
      <c r="B54" s="316" t="s">
        <v>1937</v>
      </c>
      <c r="C54" s="315" t="s">
        <v>1875</v>
      </c>
      <c r="D54" s="315" t="s">
        <v>1938</v>
      </c>
      <c r="E54" s="315" t="s">
        <v>1939</v>
      </c>
      <c r="F54" s="315" t="s">
        <v>1940</v>
      </c>
      <c r="G54" s="315" t="s">
        <v>1887</v>
      </c>
      <c r="H54" s="315" t="s">
        <v>1941</v>
      </c>
      <c r="I54" s="315" t="s">
        <v>151</v>
      </c>
      <c r="J54" s="315">
        <v>1576</v>
      </c>
      <c r="K54" s="317">
        <v>0</v>
      </c>
      <c r="L54" s="317">
        <f t="shared" si="4"/>
        <v>1576</v>
      </c>
      <c r="M54" s="318">
        <v>3.71</v>
      </c>
      <c r="N54" s="318">
        <v>0</v>
      </c>
      <c r="O54" s="318">
        <f t="shared" si="5"/>
        <v>3.71</v>
      </c>
      <c r="P54" s="318">
        <v>80.290000000000006</v>
      </c>
      <c r="Q54" s="318">
        <v>13.680555555555555</v>
      </c>
      <c r="R54" s="317">
        <v>1182.71</v>
      </c>
      <c r="S54" s="315" t="s">
        <v>190</v>
      </c>
      <c r="T54" s="319">
        <v>46690</v>
      </c>
      <c r="U54" s="320" t="s">
        <v>1888</v>
      </c>
      <c r="V54" s="320" t="s">
        <v>313</v>
      </c>
      <c r="W54" s="320" t="s">
        <v>239</v>
      </c>
      <c r="X54" s="320"/>
      <c r="Y54" s="321" t="s">
        <v>1889</v>
      </c>
      <c r="Z54" s="322"/>
      <c r="AA54" s="322"/>
      <c r="AB54" s="322"/>
      <c r="AC54" s="322"/>
      <c r="AD54" s="322"/>
      <c r="AE54" s="322"/>
      <c r="AF54" s="322"/>
      <c r="AG54" s="322"/>
      <c r="AH54" s="322"/>
      <c r="AI54" s="322"/>
      <c r="AJ54" s="322"/>
      <c r="AK54" s="322"/>
      <c r="AL54" s="322"/>
      <c r="AM54" s="322"/>
      <c r="AN54" s="322"/>
      <c r="AO54" s="322"/>
      <c r="AP54" s="322"/>
      <c r="AQ54" s="322"/>
      <c r="AR54" s="322"/>
      <c r="AS54" s="322"/>
      <c r="AT54" s="322"/>
      <c r="AU54" s="322"/>
      <c r="AV54" s="322"/>
      <c r="AW54" s="322"/>
      <c r="AX54" s="322"/>
      <c r="AY54" s="322"/>
      <c r="AZ54" s="322"/>
      <c r="BA54" s="322"/>
      <c r="BB54" s="322"/>
      <c r="BC54" s="322"/>
      <c r="BD54" s="322"/>
      <c r="BE54" s="322"/>
      <c r="BF54" s="322"/>
    </row>
    <row r="55" spans="1:58" ht="14.25" customHeight="1" x14ac:dyDescent="0.25">
      <c r="A55" s="249" t="s">
        <v>1962</v>
      </c>
      <c r="B55" s="249"/>
      <c r="C55" s="249" t="s">
        <v>1875</v>
      </c>
      <c r="D55" s="249" t="s">
        <v>1876</v>
      </c>
      <c r="E55" s="249" t="s">
        <v>1963</v>
      </c>
      <c r="F55" s="249" t="s">
        <v>1964</v>
      </c>
      <c r="G55" s="249" t="s">
        <v>1879</v>
      </c>
      <c r="H55" s="249" t="s">
        <v>1880</v>
      </c>
      <c r="I55" s="249" t="s">
        <v>151</v>
      </c>
      <c r="J55" s="249">
        <v>4130</v>
      </c>
      <c r="K55" s="265">
        <v>6</v>
      </c>
      <c r="L55" s="265">
        <f t="shared" si="4"/>
        <v>4136</v>
      </c>
      <c r="M55" s="263">
        <v>9.7100000000000009</v>
      </c>
      <c r="N55" s="263">
        <v>0.03</v>
      </c>
      <c r="O55" s="263">
        <f t="shared" si="5"/>
        <v>9.74</v>
      </c>
      <c r="P55" s="263">
        <v>42.48</v>
      </c>
      <c r="Q55" s="263">
        <v>35.928819444444443</v>
      </c>
      <c r="R55" s="265">
        <v>3136.52</v>
      </c>
      <c r="S55" s="249" t="s">
        <v>190</v>
      </c>
      <c r="T55" s="314">
        <v>2021</v>
      </c>
      <c r="U55" s="268" t="s">
        <v>1965</v>
      </c>
      <c r="V55" s="268" t="s">
        <v>313</v>
      </c>
      <c r="W55" s="268" t="s">
        <v>544</v>
      </c>
      <c r="X55" s="279"/>
      <c r="Y55" s="279" t="s">
        <v>1882</v>
      </c>
      <c r="Z55" s="270"/>
      <c r="AA55" s="270"/>
      <c r="AB55" s="270"/>
      <c r="AC55" s="270"/>
      <c r="AD55" s="270"/>
      <c r="AE55" s="270"/>
      <c r="AF55" s="270"/>
      <c r="AG55" s="270"/>
      <c r="AH55" s="270"/>
      <c r="AI55" s="270"/>
      <c r="AJ55" s="270"/>
      <c r="AK55" s="270"/>
      <c r="AL55" s="270"/>
      <c r="AM55" s="270"/>
      <c r="AN55" s="270"/>
      <c r="AO55" s="270"/>
      <c r="AP55" s="270"/>
      <c r="AQ55" s="270"/>
      <c r="AR55" s="270"/>
      <c r="AS55" s="270"/>
      <c r="AT55" s="270"/>
      <c r="AU55" s="270"/>
      <c r="AV55" s="270"/>
      <c r="AW55" s="270"/>
      <c r="AX55" s="270"/>
      <c r="AY55" s="270"/>
      <c r="AZ55" s="270"/>
      <c r="BA55" s="270"/>
      <c r="BB55" s="270"/>
      <c r="BC55" s="270"/>
      <c r="BD55" s="270"/>
      <c r="BE55" s="270"/>
      <c r="BF55" s="270"/>
    </row>
    <row r="56" spans="1:58" ht="14.25" customHeight="1" x14ac:dyDescent="0.25">
      <c r="A56" s="249" t="s">
        <v>2017</v>
      </c>
      <c r="B56" s="249" t="s">
        <v>2018</v>
      </c>
      <c r="C56" s="249" t="s">
        <v>1875</v>
      </c>
      <c r="D56" s="249" t="s">
        <v>2019</v>
      </c>
      <c r="E56" s="249" t="s">
        <v>2020</v>
      </c>
      <c r="F56" s="249" t="s">
        <v>2021</v>
      </c>
      <c r="G56" s="249" t="s">
        <v>1887</v>
      </c>
      <c r="H56" s="249" t="s">
        <v>2022</v>
      </c>
      <c r="I56" s="249" t="s">
        <v>159</v>
      </c>
      <c r="J56" s="249">
        <v>14</v>
      </c>
      <c r="K56" s="265">
        <v>0</v>
      </c>
      <c r="L56" s="265">
        <f t="shared" si="4"/>
        <v>14</v>
      </c>
      <c r="M56" s="263">
        <v>0.03</v>
      </c>
      <c r="N56" s="263">
        <v>0</v>
      </c>
      <c r="O56" s="263">
        <f t="shared" si="5"/>
        <v>0.03</v>
      </c>
      <c r="P56" s="263">
        <v>36.1</v>
      </c>
      <c r="Q56" s="263">
        <v>0.12152777777777778</v>
      </c>
      <c r="R56" s="265">
        <v>79.900000000000006</v>
      </c>
      <c r="S56" s="249" t="s">
        <v>190</v>
      </c>
      <c r="T56" s="314">
        <v>46690</v>
      </c>
      <c r="U56" s="268" t="s">
        <v>1888</v>
      </c>
      <c r="V56" s="268" t="s">
        <v>313</v>
      </c>
      <c r="W56" s="268" t="s">
        <v>1643</v>
      </c>
      <c r="X56" s="279"/>
      <c r="Y56" s="279"/>
      <c r="Z56" s="270"/>
      <c r="AA56" s="270"/>
      <c r="AB56" s="270"/>
      <c r="AC56" s="270"/>
      <c r="AD56" s="270"/>
      <c r="AE56" s="270"/>
      <c r="AF56" s="270"/>
      <c r="AG56" s="270"/>
      <c r="AH56" s="270"/>
      <c r="AI56" s="270"/>
      <c r="AJ56" s="270"/>
      <c r="AK56" s="270"/>
      <c r="AL56" s="270"/>
      <c r="AM56" s="270"/>
      <c r="AN56" s="270"/>
      <c r="AO56" s="270"/>
      <c r="AP56" s="270"/>
      <c r="AQ56" s="270"/>
      <c r="AR56" s="270"/>
      <c r="AS56" s="270"/>
      <c r="AT56" s="270"/>
      <c r="AU56" s="270"/>
      <c r="AV56" s="270"/>
      <c r="AW56" s="270"/>
      <c r="AX56" s="270"/>
      <c r="AY56" s="270"/>
      <c r="AZ56" s="270"/>
      <c r="BA56" s="270"/>
      <c r="BB56" s="270"/>
      <c r="BC56" s="270"/>
      <c r="BD56" s="270"/>
      <c r="BE56" s="270"/>
      <c r="BF56" s="270"/>
    </row>
    <row r="57" spans="1:58" ht="14.25" customHeight="1" x14ac:dyDescent="0.25">
      <c r="A57" s="249" t="s">
        <v>2023</v>
      </c>
      <c r="B57" s="249" t="s">
        <v>2024</v>
      </c>
      <c r="C57" s="249" t="s">
        <v>1875</v>
      </c>
      <c r="D57" s="249" t="s">
        <v>2019</v>
      </c>
      <c r="E57" s="249" t="s">
        <v>2020</v>
      </c>
      <c r="F57" s="249" t="s">
        <v>2025</v>
      </c>
      <c r="G57" s="249" t="s">
        <v>1887</v>
      </c>
      <c r="H57" s="249" t="s">
        <v>2022</v>
      </c>
      <c r="I57" s="249" t="s">
        <v>151</v>
      </c>
      <c r="J57" s="249">
        <v>22</v>
      </c>
      <c r="K57" s="265">
        <v>0</v>
      </c>
      <c r="L57" s="265">
        <f t="shared" si="4"/>
        <v>22</v>
      </c>
      <c r="M57" s="263">
        <v>0.05</v>
      </c>
      <c r="N57" s="263">
        <v>0</v>
      </c>
      <c r="O57" s="263">
        <f t="shared" si="5"/>
        <v>0.05</v>
      </c>
      <c r="P57" s="263">
        <v>22.86</v>
      </c>
      <c r="Q57" s="263">
        <v>0.19097222222222221</v>
      </c>
      <c r="R57" s="265">
        <v>148.13999999999999</v>
      </c>
      <c r="S57" s="249" t="s">
        <v>190</v>
      </c>
      <c r="T57" s="314">
        <v>46690</v>
      </c>
      <c r="U57" s="268" t="s">
        <v>1888</v>
      </c>
      <c r="V57" s="268" t="s">
        <v>313</v>
      </c>
      <c r="W57" s="268" t="s">
        <v>1643</v>
      </c>
      <c r="X57" s="279"/>
      <c r="Y57" s="279"/>
      <c r="Z57" s="270"/>
      <c r="AA57" s="270"/>
      <c r="AB57" s="270"/>
      <c r="AC57" s="270"/>
      <c r="AD57" s="270"/>
      <c r="AE57" s="270"/>
      <c r="AF57" s="270"/>
      <c r="AG57" s="270"/>
      <c r="AH57" s="270"/>
      <c r="AI57" s="270"/>
      <c r="AJ57" s="270"/>
      <c r="AK57" s="270"/>
      <c r="AL57" s="270"/>
      <c r="AM57" s="270"/>
      <c r="AN57" s="270"/>
      <c r="AO57" s="270"/>
      <c r="AP57" s="270"/>
      <c r="AQ57" s="270"/>
      <c r="AR57" s="270"/>
      <c r="AS57" s="270"/>
      <c r="AT57" s="270"/>
      <c r="AU57" s="270"/>
      <c r="AV57" s="270"/>
      <c r="AW57" s="270"/>
      <c r="AX57" s="270"/>
      <c r="AY57" s="270"/>
      <c r="AZ57" s="270"/>
      <c r="BA57" s="270"/>
      <c r="BB57" s="270"/>
      <c r="BC57" s="270"/>
      <c r="BD57" s="270"/>
      <c r="BE57" s="270"/>
      <c r="BF57" s="270"/>
    </row>
    <row r="58" spans="1:58" ht="14.25" customHeight="1" x14ac:dyDescent="0.25">
      <c r="A58" s="249" t="s">
        <v>2026</v>
      </c>
      <c r="B58" s="249"/>
      <c r="C58" s="249" t="s">
        <v>1875</v>
      </c>
      <c r="D58" s="249" t="s">
        <v>1876</v>
      </c>
      <c r="E58" s="249" t="s">
        <v>2027</v>
      </c>
      <c r="F58" s="249" t="s">
        <v>2028</v>
      </c>
      <c r="G58" s="249" t="s">
        <v>1879</v>
      </c>
      <c r="H58" s="249" t="s">
        <v>1880</v>
      </c>
      <c r="I58" s="249" t="s">
        <v>151</v>
      </c>
      <c r="J58" s="249">
        <v>35</v>
      </c>
      <c r="K58" s="265">
        <v>0</v>
      </c>
      <c r="L58" s="265">
        <f t="shared" si="4"/>
        <v>35</v>
      </c>
      <c r="M58" s="263">
        <v>0.08</v>
      </c>
      <c r="N58" s="263">
        <v>0</v>
      </c>
      <c r="O58" s="263">
        <f t="shared" si="5"/>
        <v>0.08</v>
      </c>
      <c r="P58" s="263">
        <v>26.99</v>
      </c>
      <c r="Q58" s="263">
        <v>0.30381944444444442</v>
      </c>
      <c r="R58" s="265">
        <v>131.01</v>
      </c>
      <c r="S58" s="249" t="s">
        <v>190</v>
      </c>
      <c r="T58" s="314">
        <v>2021</v>
      </c>
      <c r="U58" s="268" t="s">
        <v>2029</v>
      </c>
      <c r="V58" s="268" t="s">
        <v>313</v>
      </c>
      <c r="W58" s="268" t="s">
        <v>544</v>
      </c>
      <c r="X58" s="279"/>
      <c r="Y58" s="279" t="s">
        <v>1882</v>
      </c>
      <c r="Z58" s="270"/>
      <c r="AA58" s="270"/>
      <c r="AB58" s="270"/>
      <c r="AC58" s="270"/>
      <c r="AD58" s="270"/>
      <c r="AE58" s="270"/>
      <c r="AF58" s="270"/>
      <c r="AG58" s="270"/>
      <c r="AH58" s="270"/>
      <c r="AI58" s="270"/>
      <c r="AJ58" s="270"/>
      <c r="AK58" s="270"/>
      <c r="AL58" s="270"/>
      <c r="AM58" s="270"/>
      <c r="AN58" s="270"/>
      <c r="AO58" s="270"/>
      <c r="AP58" s="270"/>
      <c r="AQ58" s="270"/>
      <c r="AR58" s="270"/>
      <c r="AS58" s="270"/>
      <c r="AT58" s="270"/>
      <c r="AU58" s="270"/>
      <c r="AV58" s="270"/>
      <c r="AW58" s="270"/>
      <c r="AX58" s="270"/>
      <c r="AY58" s="270"/>
      <c r="AZ58" s="270"/>
      <c r="BA58" s="270"/>
      <c r="BB58" s="270"/>
      <c r="BC58" s="270"/>
      <c r="BD58" s="270"/>
      <c r="BE58" s="270"/>
      <c r="BF58" s="270"/>
    </row>
    <row r="59" spans="1:58" ht="14.25" customHeight="1" x14ac:dyDescent="0.25">
      <c r="A59" s="249" t="s">
        <v>2054</v>
      </c>
      <c r="B59" s="249" t="s">
        <v>2055</v>
      </c>
      <c r="C59" s="249" t="s">
        <v>2039</v>
      </c>
      <c r="D59" s="249" t="s">
        <v>95</v>
      </c>
      <c r="E59" s="249" t="s">
        <v>2056</v>
      </c>
      <c r="F59" s="249" t="s">
        <v>2057</v>
      </c>
      <c r="G59" s="249" t="s">
        <v>2050</v>
      </c>
      <c r="H59" s="249" t="s">
        <v>2058</v>
      </c>
      <c r="I59" s="249" t="s">
        <v>151</v>
      </c>
      <c r="J59" s="249">
        <v>1561</v>
      </c>
      <c r="K59" s="265">
        <v>0</v>
      </c>
      <c r="L59" s="265">
        <f t="shared" si="4"/>
        <v>1561</v>
      </c>
      <c r="M59" s="263">
        <v>3.67</v>
      </c>
      <c r="N59" s="263">
        <v>0</v>
      </c>
      <c r="O59" s="263">
        <f t="shared" si="5"/>
        <v>3.67</v>
      </c>
      <c r="P59" s="263">
        <v>443.1</v>
      </c>
      <c r="Q59" s="263">
        <v>13.55</v>
      </c>
      <c r="R59" s="265">
        <v>1509.9</v>
      </c>
      <c r="S59" s="249" t="s">
        <v>190</v>
      </c>
      <c r="T59" s="314">
        <v>46291</v>
      </c>
      <c r="U59" s="268" t="s">
        <v>2059</v>
      </c>
      <c r="V59" s="268" t="s">
        <v>313</v>
      </c>
      <c r="W59" s="268" t="s">
        <v>544</v>
      </c>
      <c r="X59" s="279"/>
      <c r="Y59" s="279"/>
      <c r="Z59" s="270"/>
      <c r="AA59" s="270"/>
      <c r="AB59" s="270"/>
      <c r="AC59" s="270"/>
      <c r="AD59" s="270"/>
      <c r="AE59" s="270"/>
      <c r="AF59" s="270"/>
      <c r="AG59" s="270"/>
      <c r="AH59" s="270"/>
      <c r="AI59" s="270"/>
      <c r="AJ59" s="270"/>
      <c r="AK59" s="270"/>
      <c r="AL59" s="270"/>
      <c r="AM59" s="270"/>
      <c r="AN59" s="270"/>
      <c r="AO59" s="270"/>
      <c r="AP59" s="270"/>
      <c r="AQ59" s="270"/>
      <c r="AR59" s="270"/>
      <c r="AS59" s="270"/>
      <c r="AT59" s="270"/>
      <c r="AU59" s="270"/>
      <c r="AV59" s="270"/>
      <c r="AW59" s="270"/>
      <c r="AX59" s="270"/>
      <c r="AY59" s="270"/>
      <c r="AZ59" s="270"/>
      <c r="BA59" s="270"/>
      <c r="BB59" s="270"/>
      <c r="BC59" s="270"/>
      <c r="BD59" s="270"/>
      <c r="BE59" s="270"/>
      <c r="BF59" s="270"/>
    </row>
    <row r="60" spans="1:58" ht="14.25" customHeight="1" x14ac:dyDescent="0.25">
      <c r="A60" s="249" t="s">
        <v>2060</v>
      </c>
      <c r="B60" s="249" t="s">
        <v>2061</v>
      </c>
      <c r="C60" s="249" t="s">
        <v>2039</v>
      </c>
      <c r="D60" s="249" t="s">
        <v>95</v>
      </c>
      <c r="E60" s="249" t="s">
        <v>2056</v>
      </c>
      <c r="F60" s="249" t="s">
        <v>2062</v>
      </c>
      <c r="G60" s="249" t="s">
        <v>2050</v>
      </c>
      <c r="H60" s="249" t="s">
        <v>2058</v>
      </c>
      <c r="I60" s="249" t="s">
        <v>118</v>
      </c>
      <c r="J60" s="249">
        <v>1561</v>
      </c>
      <c r="K60" s="265">
        <v>0</v>
      </c>
      <c r="L60" s="265">
        <f t="shared" si="4"/>
        <v>1561</v>
      </c>
      <c r="M60" s="263">
        <v>3.67</v>
      </c>
      <c r="N60" s="263">
        <v>0</v>
      </c>
      <c r="O60" s="263">
        <f t="shared" si="5"/>
        <v>3.67</v>
      </c>
      <c r="P60" s="263">
        <v>51.85</v>
      </c>
      <c r="Q60" s="263">
        <v>13.55</v>
      </c>
      <c r="R60" s="265">
        <v>391.15</v>
      </c>
      <c r="S60" s="249" t="s">
        <v>190</v>
      </c>
      <c r="T60" s="314">
        <v>46291</v>
      </c>
      <c r="U60" s="268" t="s">
        <v>2059</v>
      </c>
      <c r="V60" s="268" t="s">
        <v>313</v>
      </c>
      <c r="W60" s="268" t="s">
        <v>544</v>
      </c>
      <c r="X60" s="279"/>
      <c r="Y60" s="279"/>
      <c r="Z60" s="270"/>
      <c r="AA60" s="270"/>
      <c r="AB60" s="270"/>
      <c r="AC60" s="270"/>
      <c r="AD60" s="270"/>
      <c r="AE60" s="270"/>
      <c r="AF60" s="270"/>
      <c r="AG60" s="270"/>
      <c r="AH60" s="270"/>
      <c r="AI60" s="270"/>
      <c r="AJ60" s="270"/>
      <c r="AK60" s="270"/>
      <c r="AL60" s="270"/>
      <c r="AM60" s="270"/>
      <c r="AN60" s="270"/>
      <c r="AO60" s="270"/>
      <c r="AP60" s="270"/>
      <c r="AQ60" s="270"/>
      <c r="AR60" s="270"/>
      <c r="AS60" s="270"/>
      <c r="AT60" s="270"/>
      <c r="AU60" s="270"/>
      <c r="AV60" s="270"/>
      <c r="AW60" s="270"/>
      <c r="AX60" s="270"/>
      <c r="AY60" s="270"/>
      <c r="AZ60" s="270"/>
      <c r="BA60" s="270"/>
      <c r="BB60" s="270"/>
      <c r="BC60" s="270"/>
      <c r="BD60" s="270"/>
      <c r="BE60" s="270"/>
      <c r="BF60" s="270"/>
    </row>
    <row r="61" spans="1:58" ht="14.25" customHeight="1" x14ac:dyDescent="0.25">
      <c r="A61" s="249" t="s">
        <v>2149</v>
      </c>
      <c r="B61" s="279" t="s">
        <v>2150</v>
      </c>
      <c r="C61" s="249" t="s">
        <v>2105</v>
      </c>
      <c r="D61" s="249" t="s">
        <v>2126</v>
      </c>
      <c r="E61" s="249" t="s">
        <v>2151</v>
      </c>
      <c r="F61" s="249" t="s">
        <v>2152</v>
      </c>
      <c r="G61" s="249" t="s">
        <v>2109</v>
      </c>
      <c r="H61" s="249" t="s">
        <v>2153</v>
      </c>
      <c r="I61" s="262" t="s">
        <v>159</v>
      </c>
      <c r="J61" s="249">
        <v>126</v>
      </c>
      <c r="K61" s="323">
        <v>1</v>
      </c>
      <c r="L61" s="323">
        <f t="shared" si="4"/>
        <v>127</v>
      </c>
      <c r="M61" s="263">
        <v>0.3</v>
      </c>
      <c r="N61" s="264">
        <v>0.01</v>
      </c>
      <c r="O61" s="264">
        <f t="shared" si="5"/>
        <v>0.31</v>
      </c>
      <c r="P61" s="263">
        <v>19.399999999999999</v>
      </c>
      <c r="Q61" s="264">
        <v>1.1000000000000001</v>
      </c>
      <c r="R61" s="265">
        <v>61.6</v>
      </c>
      <c r="S61" s="249" t="s">
        <v>190</v>
      </c>
      <c r="T61" s="309">
        <v>45808</v>
      </c>
      <c r="U61" s="283" t="s">
        <v>2966</v>
      </c>
      <c r="V61" s="282" t="s">
        <v>313</v>
      </c>
      <c r="W61" s="282" t="s">
        <v>544</v>
      </c>
      <c r="X61" s="282"/>
      <c r="Y61" s="282"/>
      <c r="Z61" s="270"/>
      <c r="AA61" s="270"/>
      <c r="AB61" s="270"/>
      <c r="AC61" s="270"/>
      <c r="AD61" s="270"/>
      <c r="AE61" s="270"/>
      <c r="AF61" s="270"/>
      <c r="AG61" s="270"/>
      <c r="AH61" s="270"/>
      <c r="AI61" s="270"/>
      <c r="AJ61" s="270"/>
      <c r="AK61" s="270"/>
      <c r="AL61" s="270"/>
      <c r="AM61" s="270"/>
      <c r="AN61" s="270"/>
      <c r="AO61" s="270"/>
      <c r="AP61" s="270"/>
      <c r="AQ61" s="270"/>
      <c r="AR61" s="270"/>
      <c r="AS61" s="270"/>
      <c r="AT61" s="270"/>
      <c r="AU61" s="270"/>
      <c r="AV61" s="270"/>
      <c r="AW61" s="270"/>
      <c r="AX61" s="270"/>
      <c r="AY61" s="270"/>
      <c r="AZ61" s="270"/>
      <c r="BA61" s="270"/>
      <c r="BB61" s="270"/>
      <c r="BC61" s="270"/>
      <c r="BD61" s="270"/>
      <c r="BE61" s="270"/>
      <c r="BF61" s="270"/>
    </row>
    <row r="62" spans="1:58" ht="14.25" customHeight="1" x14ac:dyDescent="0.25">
      <c r="A62" s="249" t="s">
        <v>2154</v>
      </c>
      <c r="B62" s="279" t="s">
        <v>2155</v>
      </c>
      <c r="C62" s="249" t="s">
        <v>2105</v>
      </c>
      <c r="D62" s="249" t="s">
        <v>2156</v>
      </c>
      <c r="E62" s="249" t="s">
        <v>2157</v>
      </c>
      <c r="F62" s="249" t="s">
        <v>2158</v>
      </c>
      <c r="G62" s="249" t="s">
        <v>2109</v>
      </c>
      <c r="H62" s="249" t="s">
        <v>2153</v>
      </c>
      <c r="I62" s="262" t="s">
        <v>159</v>
      </c>
      <c r="J62" s="249">
        <v>874</v>
      </c>
      <c r="K62" s="265">
        <v>0</v>
      </c>
      <c r="L62" s="265">
        <f t="shared" si="4"/>
        <v>874</v>
      </c>
      <c r="M62" s="263">
        <v>2.06</v>
      </c>
      <c r="N62" s="263">
        <v>0</v>
      </c>
      <c r="O62" s="263">
        <f t="shared" si="5"/>
        <v>2.06</v>
      </c>
      <c r="P62" s="263">
        <v>8.8000000000000007</v>
      </c>
      <c r="Q62" s="263">
        <v>7.58</v>
      </c>
      <c r="R62" s="265">
        <v>235.2</v>
      </c>
      <c r="S62" s="249" t="s">
        <v>190</v>
      </c>
      <c r="T62" s="309">
        <v>45808</v>
      </c>
      <c r="U62" s="283" t="s">
        <v>2966</v>
      </c>
      <c r="V62" s="282" t="s">
        <v>313</v>
      </c>
      <c r="W62" s="282" t="s">
        <v>544</v>
      </c>
      <c r="X62" s="282"/>
      <c r="Y62" s="282"/>
      <c r="Z62" s="270"/>
      <c r="AA62" s="270"/>
      <c r="AB62" s="270"/>
      <c r="AC62" s="270"/>
      <c r="AD62" s="270"/>
      <c r="AE62" s="270"/>
      <c r="AF62" s="270"/>
      <c r="AG62" s="270"/>
      <c r="AH62" s="270"/>
      <c r="AI62" s="270"/>
      <c r="AJ62" s="270"/>
      <c r="AK62" s="270"/>
      <c r="AL62" s="270"/>
      <c r="AM62" s="270"/>
      <c r="AN62" s="270"/>
      <c r="AO62" s="270"/>
      <c r="AP62" s="270"/>
      <c r="AQ62" s="270"/>
      <c r="AR62" s="270"/>
      <c r="AS62" s="270"/>
      <c r="AT62" s="270"/>
      <c r="AU62" s="270"/>
      <c r="AV62" s="270"/>
      <c r="AW62" s="270"/>
      <c r="AX62" s="270"/>
      <c r="AY62" s="270"/>
      <c r="AZ62" s="270"/>
      <c r="BA62" s="270"/>
      <c r="BB62" s="270"/>
      <c r="BC62" s="270"/>
      <c r="BD62" s="270"/>
      <c r="BE62" s="270"/>
      <c r="BF62" s="270"/>
    </row>
    <row r="63" spans="1:58" ht="15.75" customHeight="1" x14ac:dyDescent="0.25">
      <c r="A63" s="280" t="s">
        <v>1614</v>
      </c>
      <c r="B63" s="249"/>
      <c r="C63" s="249" t="str">
        <f t="shared" ref="C63:C64" si="6">B63&amp;""&amp;$D$6</f>
        <v>Gazzo</v>
      </c>
      <c r="D63" s="280" t="s">
        <v>1617</v>
      </c>
      <c r="E63" s="280" t="s">
        <v>1618</v>
      </c>
      <c r="F63" s="249" t="s">
        <v>1619</v>
      </c>
      <c r="G63" s="280" t="s">
        <v>1620</v>
      </c>
      <c r="H63" s="280" t="s">
        <v>2967</v>
      </c>
      <c r="I63" s="280" t="s">
        <v>151</v>
      </c>
      <c r="J63" s="324"/>
      <c r="K63" s="325"/>
      <c r="L63" s="325"/>
      <c r="M63" s="326"/>
      <c r="N63" s="326"/>
      <c r="O63" s="326"/>
      <c r="P63" s="326"/>
      <c r="Q63" s="326"/>
      <c r="R63" s="311"/>
      <c r="S63" s="327"/>
      <c r="T63" s="249" t="s">
        <v>2968</v>
      </c>
      <c r="U63" s="249" t="s">
        <v>2969</v>
      </c>
      <c r="V63" s="282" t="s">
        <v>313</v>
      </c>
      <c r="W63" s="249" t="s">
        <v>544</v>
      </c>
      <c r="X63" s="280"/>
      <c r="Y63" s="328"/>
      <c r="Z63" s="280"/>
      <c r="AA63" s="249"/>
      <c r="AB63" s="280"/>
      <c r="AC63" s="280"/>
      <c r="AD63" s="324"/>
      <c r="AE63" s="324"/>
      <c r="AF63" s="324"/>
      <c r="AG63" s="249"/>
      <c r="AH63" s="325"/>
      <c r="AI63" s="329"/>
      <c r="AJ63" s="329"/>
      <c r="AK63" s="280" t="s">
        <v>190</v>
      </c>
      <c r="AL63" s="270"/>
      <c r="AM63" s="270"/>
      <c r="AN63" s="270"/>
      <c r="AO63" s="270"/>
      <c r="AP63" s="249"/>
      <c r="AQ63" s="249"/>
      <c r="AR63" s="270"/>
      <c r="AS63" s="270"/>
      <c r="AT63" s="270"/>
      <c r="AU63" s="270"/>
      <c r="AV63" s="270"/>
      <c r="AW63" s="270"/>
      <c r="AX63" s="270"/>
      <c r="AY63" s="270"/>
      <c r="AZ63" s="270"/>
      <c r="BA63" s="270"/>
      <c r="BB63" s="270"/>
      <c r="BC63" s="270"/>
      <c r="BD63" s="270"/>
      <c r="BE63" s="270"/>
      <c r="BF63" s="270"/>
    </row>
    <row r="64" spans="1:58" ht="15.75" customHeight="1" x14ac:dyDescent="0.25">
      <c r="A64" s="249" t="s">
        <v>1650</v>
      </c>
      <c r="B64" s="249"/>
      <c r="C64" s="249" t="str">
        <f t="shared" si="6"/>
        <v>Gazzo</v>
      </c>
      <c r="D64" s="249" t="s">
        <v>95</v>
      </c>
      <c r="E64" s="249" t="s">
        <v>1652</v>
      </c>
      <c r="F64" s="249" t="s">
        <v>1653</v>
      </c>
      <c r="G64" s="249" t="s">
        <v>1620</v>
      </c>
      <c r="H64" s="249" t="s">
        <v>2967</v>
      </c>
      <c r="I64" s="249" t="s">
        <v>118</v>
      </c>
      <c r="J64" s="330"/>
      <c r="K64" s="329"/>
      <c r="L64" s="329"/>
      <c r="M64" s="327"/>
      <c r="N64" s="327"/>
      <c r="O64" s="327"/>
      <c r="P64" s="327"/>
      <c r="Q64" s="327"/>
      <c r="R64" s="263"/>
      <c r="S64" s="327"/>
      <c r="T64" s="249" t="s">
        <v>2968</v>
      </c>
      <c r="U64" s="249" t="s">
        <v>2970</v>
      </c>
      <c r="V64" s="282" t="s">
        <v>313</v>
      </c>
      <c r="W64" s="249" t="s">
        <v>544</v>
      </c>
      <c r="X64" s="249"/>
      <c r="Y64" s="331"/>
      <c r="Z64" s="249"/>
      <c r="AA64" s="249"/>
      <c r="AB64" s="249"/>
      <c r="AC64" s="249"/>
      <c r="AD64" s="330"/>
      <c r="AE64" s="330"/>
      <c r="AF64" s="330"/>
      <c r="AG64" s="249"/>
      <c r="AH64" s="329"/>
      <c r="AI64" s="329"/>
      <c r="AJ64" s="329"/>
      <c r="AK64" s="249" t="s">
        <v>147</v>
      </c>
      <c r="AL64" s="270"/>
      <c r="AM64" s="270"/>
      <c r="AN64" s="270"/>
      <c r="AO64" s="270"/>
      <c r="AP64" s="249"/>
      <c r="AQ64" s="249"/>
      <c r="AR64" s="270"/>
      <c r="AS64" s="270"/>
      <c r="AT64" s="270"/>
      <c r="AU64" s="270"/>
      <c r="AV64" s="270"/>
      <c r="AW64" s="270"/>
      <c r="AX64" s="270"/>
      <c r="AY64" s="270"/>
      <c r="AZ64" s="270"/>
      <c r="BA64" s="270"/>
      <c r="BB64" s="270"/>
      <c r="BC64" s="270"/>
      <c r="BD64" s="270"/>
      <c r="BE64" s="270"/>
      <c r="BF64" s="270"/>
    </row>
    <row r="65" spans="20:23" ht="15.75" customHeight="1" x14ac:dyDescent="0.25">
      <c r="T65" s="240"/>
      <c r="U65" s="332"/>
      <c r="V65" s="332"/>
      <c r="W65" s="332"/>
    </row>
    <row r="66" spans="20:23" ht="15.75" customHeight="1" x14ac:dyDescent="0.25">
      <c r="T66" s="240"/>
      <c r="U66" s="332"/>
      <c r="V66" s="332"/>
      <c r="W66" s="332"/>
    </row>
    <row r="67" spans="20:23" ht="15.75" customHeight="1" x14ac:dyDescent="0.25">
      <c r="T67" s="240"/>
      <c r="U67" s="332"/>
      <c r="V67" s="332"/>
      <c r="W67" s="332"/>
    </row>
    <row r="68" spans="20:23" ht="15.75" customHeight="1" x14ac:dyDescent="0.25">
      <c r="T68" s="240"/>
      <c r="U68" s="332"/>
      <c r="V68" s="332"/>
      <c r="W68" s="332"/>
    </row>
    <row r="69" spans="20:23" ht="15.75" customHeight="1" x14ac:dyDescent="0.25">
      <c r="T69" s="240"/>
      <c r="U69" s="332"/>
      <c r="V69" s="332"/>
      <c r="W69" s="332"/>
    </row>
    <row r="70" spans="20:23" ht="15.75" customHeight="1" x14ac:dyDescent="0.25">
      <c r="T70" s="240"/>
      <c r="U70" s="332"/>
      <c r="V70" s="332"/>
      <c r="W70" s="332"/>
    </row>
    <row r="71" spans="20:23" ht="15.75" customHeight="1" x14ac:dyDescent="0.25">
      <c r="T71" s="240"/>
      <c r="U71" s="332"/>
      <c r="V71" s="332"/>
      <c r="W71" s="332"/>
    </row>
    <row r="72" spans="20:23" ht="15.75" customHeight="1" x14ac:dyDescent="0.25">
      <c r="T72" s="240"/>
      <c r="U72" s="332"/>
      <c r="V72" s="332"/>
      <c r="W72" s="332"/>
    </row>
    <row r="73" spans="20:23" ht="15.75" customHeight="1" x14ac:dyDescent="0.25">
      <c r="T73" s="240"/>
      <c r="U73" s="332"/>
      <c r="V73" s="332"/>
      <c r="W73" s="332"/>
    </row>
    <row r="74" spans="20:23" ht="15.75" customHeight="1" x14ac:dyDescent="0.25">
      <c r="T74" s="240"/>
      <c r="U74" s="332"/>
      <c r="V74" s="332"/>
      <c r="W74" s="332"/>
    </row>
    <row r="75" spans="20:23" ht="15.75" customHeight="1" x14ac:dyDescent="0.25">
      <c r="T75" s="240"/>
      <c r="U75" s="332"/>
      <c r="V75" s="332"/>
      <c r="W75" s="332"/>
    </row>
    <row r="76" spans="20:23" ht="15.75" customHeight="1" x14ac:dyDescent="0.25">
      <c r="T76" s="240"/>
      <c r="U76" s="332"/>
      <c r="V76" s="332"/>
      <c r="W76" s="332"/>
    </row>
    <row r="77" spans="20:23" ht="15.75" customHeight="1" x14ac:dyDescent="0.25">
      <c r="T77" s="240"/>
      <c r="U77" s="332"/>
      <c r="V77" s="332"/>
      <c r="W77" s="332"/>
    </row>
    <row r="78" spans="20:23" ht="15.75" customHeight="1" x14ac:dyDescent="0.25">
      <c r="T78" s="240"/>
      <c r="U78" s="332"/>
      <c r="V78" s="332"/>
      <c r="W78" s="332"/>
    </row>
    <row r="79" spans="20:23" ht="15.75" customHeight="1" x14ac:dyDescent="0.25">
      <c r="T79" s="240"/>
      <c r="U79" s="332"/>
      <c r="V79" s="332"/>
      <c r="W79" s="332"/>
    </row>
    <row r="80" spans="20:23" ht="15.75" customHeight="1" x14ac:dyDescent="0.25">
      <c r="T80" s="240"/>
      <c r="U80" s="332"/>
      <c r="V80" s="332"/>
      <c r="W80" s="332"/>
    </row>
    <row r="81" spans="20:23" ht="15.75" customHeight="1" x14ac:dyDescent="0.25">
      <c r="T81" s="240"/>
      <c r="U81" s="332"/>
      <c r="V81" s="332"/>
      <c r="W81" s="332"/>
    </row>
    <row r="82" spans="20:23" ht="15.75" customHeight="1" x14ac:dyDescent="0.25">
      <c r="T82" s="240"/>
      <c r="U82" s="332"/>
      <c r="V82" s="332"/>
      <c r="W82" s="332"/>
    </row>
    <row r="83" spans="20:23" ht="15.75" customHeight="1" x14ac:dyDescent="0.25">
      <c r="T83" s="240"/>
      <c r="U83" s="332"/>
      <c r="V83" s="332"/>
      <c r="W83" s="332"/>
    </row>
    <row r="84" spans="20:23" ht="15.75" customHeight="1" x14ac:dyDescent="0.25">
      <c r="T84" s="240"/>
      <c r="U84" s="332"/>
      <c r="V84" s="332"/>
      <c r="W84" s="332"/>
    </row>
    <row r="85" spans="20:23" ht="15.75" customHeight="1" x14ac:dyDescent="0.25">
      <c r="T85" s="240"/>
      <c r="U85" s="332"/>
      <c r="V85" s="332"/>
      <c r="W85" s="332"/>
    </row>
    <row r="86" spans="20:23" ht="15.75" customHeight="1" x14ac:dyDescent="0.25">
      <c r="T86" s="240"/>
      <c r="U86" s="332"/>
      <c r="V86" s="332"/>
      <c r="W86" s="332"/>
    </row>
    <row r="87" spans="20:23" ht="15.75" customHeight="1" x14ac:dyDescent="0.25">
      <c r="T87" s="240"/>
      <c r="U87" s="332"/>
      <c r="V87" s="332"/>
      <c r="W87" s="332"/>
    </row>
    <row r="88" spans="20:23" ht="15.75" customHeight="1" x14ac:dyDescent="0.25">
      <c r="T88" s="240"/>
      <c r="U88" s="332"/>
      <c r="V88" s="332"/>
      <c r="W88" s="332"/>
    </row>
    <row r="89" spans="20:23" ht="15.75" customHeight="1" x14ac:dyDescent="0.25">
      <c r="T89" s="240"/>
      <c r="U89" s="332"/>
      <c r="V89" s="332"/>
      <c r="W89" s="332"/>
    </row>
    <row r="90" spans="20:23" ht="15.75" customHeight="1" x14ac:dyDescent="0.25">
      <c r="T90" s="240"/>
      <c r="U90" s="332"/>
      <c r="V90" s="332"/>
      <c r="W90" s="332"/>
    </row>
    <row r="91" spans="20:23" ht="15.75" customHeight="1" x14ac:dyDescent="0.25">
      <c r="T91" s="240"/>
      <c r="U91" s="332"/>
      <c r="V91" s="332"/>
      <c r="W91" s="332"/>
    </row>
    <row r="92" spans="20:23" ht="15.75" customHeight="1" x14ac:dyDescent="0.25">
      <c r="T92" s="240"/>
      <c r="U92" s="332"/>
      <c r="V92" s="332"/>
      <c r="W92" s="332"/>
    </row>
    <row r="93" spans="20:23" ht="15.75" customHeight="1" x14ac:dyDescent="0.25">
      <c r="T93" s="240"/>
      <c r="U93" s="332"/>
      <c r="V93" s="332"/>
      <c r="W93" s="332"/>
    </row>
    <row r="94" spans="20:23" ht="15.75" customHeight="1" x14ac:dyDescent="0.25">
      <c r="T94" s="240"/>
      <c r="U94" s="332"/>
      <c r="V94" s="332"/>
      <c r="W94" s="332"/>
    </row>
    <row r="95" spans="20:23" ht="15.75" customHeight="1" x14ac:dyDescent="0.25">
      <c r="T95" s="240"/>
      <c r="U95" s="332"/>
      <c r="V95" s="332"/>
      <c r="W95" s="332"/>
    </row>
    <row r="96" spans="20:23" ht="15.75" customHeight="1" x14ac:dyDescent="0.25">
      <c r="T96" s="240"/>
      <c r="U96" s="332"/>
      <c r="V96" s="332"/>
      <c r="W96" s="332"/>
    </row>
    <row r="97" spans="20:23" ht="15.75" customHeight="1" x14ac:dyDescent="0.25">
      <c r="T97" s="240"/>
      <c r="U97" s="332"/>
      <c r="V97" s="332"/>
      <c r="W97" s="332"/>
    </row>
    <row r="98" spans="20:23" ht="15.75" customHeight="1" x14ac:dyDescent="0.25">
      <c r="T98" s="240"/>
      <c r="U98" s="332"/>
      <c r="V98" s="332"/>
      <c r="W98" s="332"/>
    </row>
    <row r="99" spans="20:23" ht="15.75" customHeight="1" x14ac:dyDescent="0.25">
      <c r="T99" s="240"/>
      <c r="U99" s="332"/>
      <c r="V99" s="332"/>
      <c r="W99" s="332"/>
    </row>
    <row r="100" spans="20:23" ht="15.75" customHeight="1" x14ac:dyDescent="0.25">
      <c r="T100" s="240"/>
      <c r="U100" s="332"/>
      <c r="V100" s="332"/>
      <c r="W100" s="332"/>
    </row>
    <row r="101" spans="20:23" ht="15.75" customHeight="1" x14ac:dyDescent="0.25">
      <c r="T101" s="240"/>
      <c r="U101" s="332"/>
      <c r="V101" s="332"/>
      <c r="W101" s="332"/>
    </row>
    <row r="102" spans="20:23" ht="15.75" customHeight="1" x14ac:dyDescent="0.25">
      <c r="T102" s="240"/>
      <c r="U102" s="332"/>
      <c r="V102" s="332"/>
      <c r="W102" s="332"/>
    </row>
    <row r="103" spans="20:23" ht="15.75" customHeight="1" x14ac:dyDescent="0.25">
      <c r="T103" s="240"/>
      <c r="U103" s="332"/>
      <c r="V103" s="332"/>
      <c r="W103" s="332"/>
    </row>
    <row r="104" spans="20:23" ht="15.75" customHeight="1" x14ac:dyDescent="0.25">
      <c r="T104" s="240"/>
      <c r="U104" s="332"/>
      <c r="V104" s="332"/>
      <c r="W104" s="332"/>
    </row>
    <row r="105" spans="20:23" ht="15.75" customHeight="1" x14ac:dyDescent="0.25">
      <c r="T105" s="240"/>
      <c r="U105" s="332"/>
      <c r="V105" s="332"/>
      <c r="W105" s="332"/>
    </row>
    <row r="106" spans="20:23" ht="15.75" customHeight="1" x14ac:dyDescent="0.25">
      <c r="T106" s="240"/>
      <c r="U106" s="332"/>
      <c r="V106" s="332"/>
      <c r="W106" s="332"/>
    </row>
    <row r="107" spans="20:23" ht="15.75" customHeight="1" x14ac:dyDescent="0.25">
      <c r="T107" s="240"/>
      <c r="U107" s="332"/>
      <c r="V107" s="332"/>
      <c r="W107" s="332"/>
    </row>
    <row r="108" spans="20:23" ht="15.75" customHeight="1" x14ac:dyDescent="0.25">
      <c r="T108" s="240"/>
      <c r="U108" s="332"/>
      <c r="V108" s="332"/>
      <c r="W108" s="332"/>
    </row>
    <row r="109" spans="20:23" ht="15.75" customHeight="1" x14ac:dyDescent="0.25">
      <c r="T109" s="240"/>
      <c r="U109" s="332"/>
      <c r="V109" s="332"/>
      <c r="W109" s="332"/>
    </row>
    <row r="110" spans="20:23" ht="15.75" customHeight="1" x14ac:dyDescent="0.25">
      <c r="T110" s="240"/>
      <c r="U110" s="332"/>
      <c r="V110" s="332"/>
      <c r="W110" s="332"/>
    </row>
    <row r="111" spans="20:23" ht="15.75" customHeight="1" x14ac:dyDescent="0.25">
      <c r="T111" s="240"/>
      <c r="U111" s="332"/>
      <c r="V111" s="332"/>
      <c r="W111" s="332"/>
    </row>
    <row r="112" spans="20:23" ht="15.75" customHeight="1" x14ac:dyDescent="0.25">
      <c r="T112" s="240"/>
      <c r="U112" s="332"/>
      <c r="V112" s="332"/>
      <c r="W112" s="332"/>
    </row>
    <row r="113" spans="20:23" ht="15.75" customHeight="1" x14ac:dyDescent="0.25">
      <c r="T113" s="240"/>
      <c r="U113" s="332"/>
      <c r="V113" s="332"/>
      <c r="W113" s="332"/>
    </row>
    <row r="114" spans="20:23" ht="15.75" customHeight="1" x14ac:dyDescent="0.25">
      <c r="T114" s="240"/>
      <c r="U114" s="332"/>
      <c r="V114" s="332"/>
      <c r="W114" s="332"/>
    </row>
    <row r="115" spans="20:23" ht="15.75" customHeight="1" x14ac:dyDescent="0.25">
      <c r="T115" s="240"/>
      <c r="U115" s="332"/>
      <c r="V115" s="332"/>
      <c r="W115" s="332"/>
    </row>
    <row r="116" spans="20:23" ht="15.75" customHeight="1" x14ac:dyDescent="0.25">
      <c r="T116" s="240"/>
      <c r="U116" s="332"/>
      <c r="V116" s="332"/>
      <c r="W116" s="332"/>
    </row>
    <row r="117" spans="20:23" ht="15.75" customHeight="1" x14ac:dyDescent="0.25">
      <c r="T117" s="240"/>
      <c r="U117" s="332"/>
      <c r="V117" s="332"/>
      <c r="W117" s="332"/>
    </row>
    <row r="118" spans="20:23" ht="15.75" customHeight="1" x14ac:dyDescent="0.25">
      <c r="T118" s="240"/>
      <c r="U118" s="332"/>
      <c r="V118" s="332"/>
      <c r="W118" s="332"/>
    </row>
    <row r="119" spans="20:23" ht="15.75" customHeight="1" x14ac:dyDescent="0.25">
      <c r="T119" s="240"/>
      <c r="U119" s="332"/>
      <c r="V119" s="332"/>
      <c r="W119" s="332"/>
    </row>
    <row r="120" spans="20:23" ht="15.75" customHeight="1" x14ac:dyDescent="0.25">
      <c r="T120" s="240"/>
      <c r="U120" s="332"/>
      <c r="V120" s="332"/>
      <c r="W120" s="332"/>
    </row>
    <row r="121" spans="20:23" ht="15.75" customHeight="1" x14ac:dyDescent="0.25">
      <c r="T121" s="240"/>
      <c r="U121" s="332"/>
      <c r="V121" s="332"/>
      <c r="W121" s="332"/>
    </row>
    <row r="122" spans="20:23" ht="15.75" customHeight="1" x14ac:dyDescent="0.25">
      <c r="T122" s="240"/>
      <c r="U122" s="332"/>
      <c r="V122" s="332"/>
      <c r="W122" s="332"/>
    </row>
    <row r="123" spans="20:23" ht="15.75" customHeight="1" x14ac:dyDescent="0.25">
      <c r="T123" s="240"/>
      <c r="U123" s="332"/>
      <c r="V123" s="332"/>
      <c r="W123" s="332"/>
    </row>
    <row r="124" spans="20:23" ht="15.75" customHeight="1" x14ac:dyDescent="0.25">
      <c r="T124" s="240"/>
      <c r="U124" s="332"/>
      <c r="V124" s="332"/>
      <c r="W124" s="332"/>
    </row>
    <row r="125" spans="20:23" ht="15.75" customHeight="1" x14ac:dyDescent="0.25">
      <c r="T125" s="240"/>
      <c r="U125" s="332"/>
      <c r="V125" s="332"/>
      <c r="W125" s="332"/>
    </row>
    <row r="126" spans="20:23" ht="15.75" customHeight="1" x14ac:dyDescent="0.25">
      <c r="T126" s="240"/>
      <c r="U126" s="332"/>
      <c r="V126" s="332"/>
      <c r="W126" s="332"/>
    </row>
    <row r="127" spans="20:23" ht="15.75" customHeight="1" x14ac:dyDescent="0.25">
      <c r="T127" s="240"/>
      <c r="U127" s="332"/>
      <c r="V127" s="332"/>
      <c r="W127" s="332"/>
    </row>
    <row r="128" spans="20:23" ht="15.75" customHeight="1" x14ac:dyDescent="0.25">
      <c r="T128" s="240"/>
      <c r="U128" s="332"/>
      <c r="V128" s="332"/>
      <c r="W128" s="332"/>
    </row>
    <row r="129" spans="20:23" ht="15.75" customHeight="1" x14ac:dyDescent="0.25">
      <c r="T129" s="240"/>
      <c r="U129" s="332"/>
      <c r="V129" s="332"/>
      <c r="W129" s="332"/>
    </row>
    <row r="130" spans="20:23" ht="15.75" customHeight="1" x14ac:dyDescent="0.25">
      <c r="T130" s="240"/>
      <c r="U130" s="332"/>
      <c r="V130" s="332"/>
      <c r="W130" s="332"/>
    </row>
    <row r="131" spans="20:23" ht="15.75" customHeight="1" x14ac:dyDescent="0.25">
      <c r="T131" s="240"/>
      <c r="U131" s="332"/>
      <c r="V131" s="332"/>
      <c r="W131" s="332"/>
    </row>
    <row r="132" spans="20:23" ht="15.75" customHeight="1" x14ac:dyDescent="0.25">
      <c r="T132" s="240"/>
      <c r="U132" s="332"/>
      <c r="V132" s="332"/>
      <c r="W132" s="332"/>
    </row>
    <row r="133" spans="20:23" ht="15.75" customHeight="1" x14ac:dyDescent="0.25">
      <c r="T133" s="240"/>
      <c r="U133" s="332"/>
      <c r="V133" s="332"/>
      <c r="W133" s="332"/>
    </row>
    <row r="134" spans="20:23" ht="15.75" customHeight="1" x14ac:dyDescent="0.25">
      <c r="T134" s="240"/>
      <c r="U134" s="332"/>
      <c r="V134" s="332"/>
      <c r="W134" s="332"/>
    </row>
    <row r="135" spans="20:23" ht="15.75" customHeight="1" x14ac:dyDescent="0.25">
      <c r="T135" s="240"/>
      <c r="U135" s="332"/>
      <c r="V135" s="332"/>
      <c r="W135" s="332"/>
    </row>
    <row r="136" spans="20:23" ht="15.75" customHeight="1" x14ac:dyDescent="0.25">
      <c r="T136" s="240"/>
      <c r="U136" s="332"/>
      <c r="V136" s="332"/>
      <c r="W136" s="332"/>
    </row>
    <row r="137" spans="20:23" ht="15.75" customHeight="1" x14ac:dyDescent="0.25">
      <c r="T137" s="240"/>
      <c r="U137" s="332"/>
      <c r="V137" s="332"/>
      <c r="W137" s="332"/>
    </row>
    <row r="138" spans="20:23" ht="15.75" customHeight="1" x14ac:dyDescent="0.25">
      <c r="T138" s="240"/>
      <c r="U138" s="332"/>
      <c r="V138" s="332"/>
      <c r="W138" s="332"/>
    </row>
    <row r="139" spans="20:23" ht="15.75" customHeight="1" x14ac:dyDescent="0.25">
      <c r="T139" s="240"/>
      <c r="U139" s="332"/>
      <c r="V139" s="332"/>
      <c r="W139" s="332"/>
    </row>
    <row r="140" spans="20:23" ht="15.75" customHeight="1" x14ac:dyDescent="0.25">
      <c r="T140" s="240"/>
      <c r="U140" s="332"/>
      <c r="V140" s="332"/>
      <c r="W140" s="332"/>
    </row>
    <row r="141" spans="20:23" ht="15.75" customHeight="1" x14ac:dyDescent="0.25">
      <c r="T141" s="240"/>
      <c r="U141" s="332"/>
      <c r="V141" s="332"/>
      <c r="W141" s="332"/>
    </row>
    <row r="142" spans="20:23" ht="15.75" customHeight="1" x14ac:dyDescent="0.25">
      <c r="T142" s="240"/>
      <c r="U142" s="332"/>
      <c r="V142" s="332"/>
      <c r="W142" s="332"/>
    </row>
    <row r="143" spans="20:23" ht="15.75" customHeight="1" x14ac:dyDescent="0.25">
      <c r="T143" s="240"/>
      <c r="U143" s="332"/>
      <c r="V143" s="332"/>
      <c r="W143" s="332"/>
    </row>
    <row r="144" spans="20:23" ht="15.75" customHeight="1" x14ac:dyDescent="0.25">
      <c r="T144" s="240"/>
      <c r="U144" s="332"/>
      <c r="V144" s="332"/>
      <c r="W144" s="332"/>
    </row>
    <row r="145" spans="20:23" ht="15.75" customHeight="1" x14ac:dyDescent="0.25">
      <c r="T145" s="240"/>
      <c r="U145" s="332"/>
      <c r="V145" s="332"/>
      <c r="W145" s="332"/>
    </row>
    <row r="146" spans="20:23" ht="15.75" customHeight="1" x14ac:dyDescent="0.25">
      <c r="T146" s="240"/>
      <c r="U146" s="332"/>
      <c r="V146" s="332"/>
      <c r="W146" s="332"/>
    </row>
    <row r="147" spans="20:23" ht="15.75" customHeight="1" x14ac:dyDescent="0.25">
      <c r="T147" s="240"/>
      <c r="U147" s="332"/>
      <c r="V147" s="332"/>
      <c r="W147" s="332"/>
    </row>
    <row r="148" spans="20:23" ht="15.75" customHeight="1" x14ac:dyDescent="0.25">
      <c r="T148" s="240"/>
      <c r="U148" s="332"/>
      <c r="V148" s="332"/>
      <c r="W148" s="332"/>
    </row>
    <row r="149" spans="20:23" ht="15.75" customHeight="1" x14ac:dyDescent="0.25">
      <c r="T149" s="240"/>
      <c r="U149" s="332"/>
      <c r="V149" s="332"/>
      <c r="W149" s="332"/>
    </row>
    <row r="150" spans="20:23" ht="15.75" customHeight="1" x14ac:dyDescent="0.25">
      <c r="T150" s="240"/>
      <c r="U150" s="332"/>
      <c r="V150" s="332"/>
      <c r="W150" s="332"/>
    </row>
    <row r="151" spans="20:23" ht="15.75" customHeight="1" x14ac:dyDescent="0.25">
      <c r="T151" s="240"/>
      <c r="U151" s="332"/>
      <c r="V151" s="332"/>
      <c r="W151" s="332"/>
    </row>
    <row r="152" spans="20:23" ht="15.75" customHeight="1" x14ac:dyDescent="0.25">
      <c r="T152" s="240"/>
      <c r="U152" s="332"/>
      <c r="V152" s="332"/>
      <c r="W152" s="332"/>
    </row>
    <row r="153" spans="20:23" ht="15.75" customHeight="1" x14ac:dyDescent="0.25">
      <c r="T153" s="240"/>
      <c r="U153" s="332"/>
      <c r="V153" s="332"/>
      <c r="W153" s="332"/>
    </row>
    <row r="154" spans="20:23" ht="15.75" customHeight="1" x14ac:dyDescent="0.25">
      <c r="T154" s="240"/>
      <c r="U154" s="332"/>
      <c r="V154" s="332"/>
      <c r="W154" s="332"/>
    </row>
    <row r="155" spans="20:23" ht="15.75" customHeight="1" x14ac:dyDescent="0.25">
      <c r="T155" s="240"/>
      <c r="U155" s="332"/>
      <c r="V155" s="332"/>
      <c r="W155" s="332"/>
    </row>
    <row r="156" spans="20:23" ht="15.75" customHeight="1" x14ac:dyDescent="0.25">
      <c r="T156" s="240"/>
      <c r="U156" s="332"/>
      <c r="V156" s="332"/>
      <c r="W156" s="332"/>
    </row>
    <row r="157" spans="20:23" ht="15.75" customHeight="1" x14ac:dyDescent="0.25">
      <c r="T157" s="240"/>
      <c r="U157" s="332"/>
      <c r="V157" s="332"/>
      <c r="W157" s="332"/>
    </row>
    <row r="158" spans="20:23" ht="15.75" customHeight="1" x14ac:dyDescent="0.25">
      <c r="T158" s="240"/>
      <c r="U158" s="332"/>
      <c r="V158" s="332"/>
      <c r="W158" s="332"/>
    </row>
    <row r="159" spans="20:23" ht="15.75" customHeight="1" x14ac:dyDescent="0.25">
      <c r="T159" s="240"/>
      <c r="U159" s="332"/>
      <c r="V159" s="332"/>
      <c r="W159" s="332"/>
    </row>
    <row r="160" spans="20:23" ht="15.75" customHeight="1" x14ac:dyDescent="0.25">
      <c r="T160" s="240"/>
      <c r="U160" s="332"/>
      <c r="V160" s="332"/>
      <c r="W160" s="332"/>
    </row>
    <row r="161" spans="20:23" ht="15.75" customHeight="1" x14ac:dyDescent="0.25">
      <c r="T161" s="240"/>
      <c r="U161" s="332"/>
      <c r="V161" s="332"/>
      <c r="W161" s="332"/>
    </row>
    <row r="162" spans="20:23" ht="15.75" customHeight="1" x14ac:dyDescent="0.25">
      <c r="T162" s="240"/>
      <c r="U162" s="332"/>
      <c r="V162" s="332"/>
      <c r="W162" s="332"/>
    </row>
    <row r="163" spans="20:23" ht="15.75" customHeight="1" x14ac:dyDescent="0.25">
      <c r="T163" s="240"/>
      <c r="U163" s="332"/>
      <c r="V163" s="332"/>
      <c r="W163" s="332"/>
    </row>
    <row r="164" spans="20:23" ht="15.75" customHeight="1" x14ac:dyDescent="0.25">
      <c r="T164" s="240"/>
      <c r="U164" s="332"/>
      <c r="V164" s="332"/>
      <c r="W164" s="332"/>
    </row>
    <row r="165" spans="20:23" ht="15.75" customHeight="1" x14ac:dyDescent="0.25">
      <c r="T165" s="240"/>
      <c r="U165" s="332"/>
      <c r="V165" s="332"/>
      <c r="W165" s="332"/>
    </row>
    <row r="166" spans="20:23" ht="15.75" customHeight="1" x14ac:dyDescent="0.25">
      <c r="T166" s="240"/>
      <c r="U166" s="332"/>
      <c r="V166" s="332"/>
      <c r="W166" s="332"/>
    </row>
    <row r="167" spans="20:23" ht="15.75" customHeight="1" x14ac:dyDescent="0.25">
      <c r="T167" s="240"/>
      <c r="U167" s="332"/>
      <c r="V167" s="332"/>
      <c r="W167" s="332"/>
    </row>
    <row r="168" spans="20:23" ht="15.75" customHeight="1" x14ac:dyDescent="0.25">
      <c r="T168" s="240"/>
      <c r="U168" s="332"/>
      <c r="V168" s="332"/>
      <c r="W168" s="332"/>
    </row>
    <row r="169" spans="20:23" ht="15.75" customHeight="1" x14ac:dyDescent="0.25">
      <c r="T169" s="240"/>
      <c r="U169" s="332"/>
      <c r="V169" s="332"/>
      <c r="W169" s="332"/>
    </row>
    <row r="170" spans="20:23" ht="15.75" customHeight="1" x14ac:dyDescent="0.25">
      <c r="T170" s="240"/>
      <c r="U170" s="332"/>
      <c r="V170" s="332"/>
      <c r="W170" s="332"/>
    </row>
    <row r="171" spans="20:23" ht="15.75" customHeight="1" x14ac:dyDescent="0.25">
      <c r="T171" s="240"/>
      <c r="U171" s="332"/>
      <c r="V171" s="332"/>
      <c r="W171" s="332"/>
    </row>
    <row r="172" spans="20:23" ht="15.75" customHeight="1" x14ac:dyDescent="0.25">
      <c r="T172" s="240"/>
      <c r="U172" s="332"/>
      <c r="V172" s="332"/>
      <c r="W172" s="332"/>
    </row>
    <row r="173" spans="20:23" ht="15.75" customHeight="1" x14ac:dyDescent="0.25">
      <c r="T173" s="240"/>
      <c r="U173" s="332"/>
      <c r="V173" s="332"/>
      <c r="W173" s="332"/>
    </row>
    <row r="174" spans="20:23" ht="15.75" customHeight="1" x14ac:dyDescent="0.25">
      <c r="T174" s="240"/>
      <c r="U174" s="332"/>
      <c r="V174" s="332"/>
      <c r="W174" s="332"/>
    </row>
    <row r="175" spans="20:23" ht="15.75" customHeight="1" x14ac:dyDescent="0.25">
      <c r="T175" s="240"/>
      <c r="U175" s="332"/>
      <c r="V175" s="332"/>
      <c r="W175" s="332"/>
    </row>
    <row r="176" spans="20:23" ht="15.75" customHeight="1" x14ac:dyDescent="0.25">
      <c r="T176" s="240"/>
      <c r="U176" s="332"/>
      <c r="V176" s="332"/>
      <c r="W176" s="332"/>
    </row>
    <row r="177" spans="20:23" ht="15.75" customHeight="1" x14ac:dyDescent="0.25">
      <c r="T177" s="240"/>
      <c r="U177" s="332"/>
      <c r="V177" s="332"/>
      <c r="W177" s="332"/>
    </row>
    <row r="178" spans="20:23" ht="15.75" customHeight="1" x14ac:dyDescent="0.25">
      <c r="T178" s="240"/>
      <c r="U178" s="332"/>
      <c r="V178" s="332"/>
      <c r="W178" s="332"/>
    </row>
    <row r="179" spans="20:23" ht="15.75" customHeight="1" x14ac:dyDescent="0.25">
      <c r="T179" s="240"/>
      <c r="U179" s="332"/>
      <c r="V179" s="332"/>
      <c r="W179" s="332"/>
    </row>
    <row r="180" spans="20:23" ht="15.75" customHeight="1" x14ac:dyDescent="0.25">
      <c r="T180" s="240"/>
      <c r="U180" s="332"/>
      <c r="V180" s="332"/>
      <c r="W180" s="332"/>
    </row>
    <row r="181" spans="20:23" ht="15.75" customHeight="1" x14ac:dyDescent="0.25">
      <c r="T181" s="240"/>
      <c r="U181" s="332"/>
      <c r="V181" s="332"/>
      <c r="W181" s="332"/>
    </row>
    <row r="182" spans="20:23" ht="15.75" customHeight="1" x14ac:dyDescent="0.25">
      <c r="T182" s="240"/>
      <c r="U182" s="332"/>
      <c r="V182" s="332"/>
      <c r="W182" s="332"/>
    </row>
    <row r="183" spans="20:23" ht="15.75" customHeight="1" x14ac:dyDescent="0.25">
      <c r="T183" s="240"/>
      <c r="U183" s="332"/>
      <c r="V183" s="332"/>
      <c r="W183" s="332"/>
    </row>
    <row r="184" spans="20:23" ht="15.75" customHeight="1" x14ac:dyDescent="0.25">
      <c r="T184" s="240"/>
      <c r="U184" s="332"/>
      <c r="V184" s="332"/>
      <c r="W184" s="332"/>
    </row>
    <row r="185" spans="20:23" ht="15.75" customHeight="1" x14ac:dyDescent="0.25">
      <c r="T185" s="240"/>
      <c r="U185" s="332"/>
      <c r="V185" s="332"/>
      <c r="W185" s="332"/>
    </row>
    <row r="186" spans="20:23" ht="15.75" customHeight="1" x14ac:dyDescent="0.25">
      <c r="T186" s="240"/>
      <c r="U186" s="332"/>
      <c r="V186" s="332"/>
      <c r="W186" s="332"/>
    </row>
    <row r="187" spans="20:23" ht="15.75" customHeight="1" x14ac:dyDescent="0.25">
      <c r="T187" s="240"/>
      <c r="U187" s="332"/>
      <c r="V187" s="332"/>
      <c r="W187" s="332"/>
    </row>
    <row r="188" spans="20:23" ht="15.75" customHeight="1" x14ac:dyDescent="0.25">
      <c r="T188" s="240"/>
      <c r="U188" s="332"/>
      <c r="V188" s="332"/>
      <c r="W188" s="332"/>
    </row>
    <row r="189" spans="20:23" ht="15.75" customHeight="1" x14ac:dyDescent="0.25">
      <c r="T189" s="240"/>
      <c r="U189" s="332"/>
      <c r="V189" s="332"/>
      <c r="W189" s="332"/>
    </row>
    <row r="190" spans="20:23" ht="15.75" customHeight="1" x14ac:dyDescent="0.25">
      <c r="T190" s="240"/>
      <c r="U190" s="332"/>
      <c r="V190" s="332"/>
      <c r="W190" s="332"/>
    </row>
    <row r="191" spans="20:23" ht="15.75" customHeight="1" x14ac:dyDescent="0.25">
      <c r="T191" s="240"/>
      <c r="U191" s="332"/>
      <c r="V191" s="332"/>
      <c r="W191" s="332"/>
    </row>
    <row r="192" spans="20:23" ht="15.75" customHeight="1" x14ac:dyDescent="0.25">
      <c r="T192" s="240"/>
      <c r="U192" s="332"/>
      <c r="V192" s="332"/>
      <c r="W192" s="332"/>
    </row>
    <row r="193" spans="20:23" ht="15.75" customHeight="1" x14ac:dyDescent="0.25">
      <c r="T193" s="240"/>
      <c r="U193" s="332"/>
      <c r="V193" s="332"/>
      <c r="W193" s="332"/>
    </row>
    <row r="194" spans="20:23" ht="15.75" customHeight="1" x14ac:dyDescent="0.25">
      <c r="T194" s="240"/>
      <c r="U194" s="332"/>
      <c r="V194" s="332"/>
      <c r="W194" s="332"/>
    </row>
    <row r="195" spans="20:23" ht="15.75" customHeight="1" x14ac:dyDescent="0.25">
      <c r="T195" s="240"/>
      <c r="U195" s="332"/>
      <c r="V195" s="332"/>
      <c r="W195" s="332"/>
    </row>
    <row r="196" spans="20:23" ht="15.75" customHeight="1" x14ac:dyDescent="0.25">
      <c r="T196" s="240"/>
      <c r="U196" s="332"/>
      <c r="V196" s="332"/>
      <c r="W196" s="332"/>
    </row>
    <row r="197" spans="20:23" ht="15.75" customHeight="1" x14ac:dyDescent="0.25">
      <c r="T197" s="240"/>
      <c r="U197" s="332"/>
      <c r="V197" s="332"/>
      <c r="W197" s="332"/>
    </row>
    <row r="198" spans="20:23" ht="15.75" customHeight="1" x14ac:dyDescent="0.25">
      <c r="T198" s="240"/>
      <c r="U198" s="332"/>
      <c r="V198" s="332"/>
      <c r="W198" s="332"/>
    </row>
    <row r="199" spans="20:23" ht="15.75" customHeight="1" x14ac:dyDescent="0.25">
      <c r="T199" s="240"/>
      <c r="U199" s="332"/>
      <c r="V199" s="332"/>
      <c r="W199" s="332"/>
    </row>
    <row r="200" spans="20:23" ht="15.75" customHeight="1" x14ac:dyDescent="0.25">
      <c r="T200" s="240"/>
      <c r="U200" s="332"/>
      <c r="V200" s="332"/>
      <c r="W200" s="332"/>
    </row>
    <row r="201" spans="20:23" ht="15.75" customHeight="1" x14ac:dyDescent="0.25">
      <c r="T201" s="240"/>
      <c r="U201" s="332"/>
      <c r="V201" s="332"/>
      <c r="W201" s="332"/>
    </row>
    <row r="202" spans="20:23" ht="15.75" customHeight="1" x14ac:dyDescent="0.25">
      <c r="T202" s="240"/>
      <c r="U202" s="332"/>
      <c r="V202" s="332"/>
      <c r="W202" s="332"/>
    </row>
    <row r="203" spans="20:23" ht="15.75" customHeight="1" x14ac:dyDescent="0.25">
      <c r="T203" s="240"/>
      <c r="U203" s="332"/>
      <c r="V203" s="332"/>
      <c r="W203" s="332"/>
    </row>
    <row r="204" spans="20:23" ht="15.75" customHeight="1" x14ac:dyDescent="0.25">
      <c r="T204" s="240"/>
      <c r="U204" s="332"/>
      <c r="V204" s="332"/>
      <c r="W204" s="332"/>
    </row>
    <row r="205" spans="20:23" ht="15.75" customHeight="1" x14ac:dyDescent="0.25">
      <c r="T205" s="240"/>
      <c r="U205" s="332"/>
      <c r="V205" s="332"/>
      <c r="W205" s="332"/>
    </row>
    <row r="206" spans="20:23" ht="15.75" customHeight="1" x14ac:dyDescent="0.25">
      <c r="T206" s="240"/>
      <c r="U206" s="332"/>
      <c r="V206" s="332"/>
      <c r="W206" s="332"/>
    </row>
    <row r="207" spans="20:23" ht="15.75" customHeight="1" x14ac:dyDescent="0.25">
      <c r="T207" s="240"/>
      <c r="U207" s="332"/>
      <c r="V207" s="332"/>
      <c r="W207" s="332"/>
    </row>
    <row r="208" spans="20:23" ht="15.75" customHeight="1" x14ac:dyDescent="0.25">
      <c r="T208" s="240"/>
      <c r="U208" s="332"/>
      <c r="V208" s="332"/>
      <c r="W208" s="332"/>
    </row>
    <row r="209" spans="20:23" ht="15.75" customHeight="1" x14ac:dyDescent="0.25">
      <c r="T209" s="240"/>
      <c r="U209" s="332"/>
      <c r="V209" s="332"/>
      <c r="W209" s="332"/>
    </row>
    <row r="210" spans="20:23" ht="15.75" customHeight="1" x14ac:dyDescent="0.25">
      <c r="T210" s="240"/>
      <c r="U210" s="332"/>
      <c r="V210" s="332"/>
      <c r="W210" s="332"/>
    </row>
    <row r="211" spans="20:23" ht="15.75" customHeight="1" x14ac:dyDescent="0.25">
      <c r="T211" s="240"/>
      <c r="U211" s="332"/>
      <c r="V211" s="332"/>
      <c r="W211" s="332"/>
    </row>
    <row r="212" spans="20:23" ht="15.75" customHeight="1" x14ac:dyDescent="0.25">
      <c r="T212" s="240"/>
      <c r="U212" s="332"/>
      <c r="V212" s="332"/>
      <c r="W212" s="332"/>
    </row>
    <row r="213" spans="20:23" ht="15.75" customHeight="1" x14ac:dyDescent="0.25">
      <c r="T213" s="240"/>
      <c r="U213" s="332"/>
      <c r="V213" s="332"/>
      <c r="W213" s="332"/>
    </row>
    <row r="214" spans="20:23" ht="15.75" customHeight="1" x14ac:dyDescent="0.25">
      <c r="T214" s="240"/>
      <c r="U214" s="332"/>
      <c r="V214" s="332"/>
      <c r="W214" s="332"/>
    </row>
    <row r="215" spans="20:23" ht="15.75" customHeight="1" x14ac:dyDescent="0.25">
      <c r="T215" s="240"/>
      <c r="U215" s="332"/>
      <c r="V215" s="332"/>
      <c r="W215" s="332"/>
    </row>
    <row r="216" spans="20:23" ht="15.75" customHeight="1" x14ac:dyDescent="0.25">
      <c r="T216" s="240"/>
      <c r="U216" s="332"/>
      <c r="V216" s="332"/>
      <c r="W216" s="332"/>
    </row>
    <row r="217" spans="20:23" ht="15.75" customHeight="1" x14ac:dyDescent="0.25">
      <c r="T217" s="240"/>
      <c r="U217" s="332"/>
      <c r="V217" s="332"/>
      <c r="W217" s="332"/>
    </row>
    <row r="218" spans="20:23" ht="15.75" customHeight="1" x14ac:dyDescent="0.25">
      <c r="T218" s="240"/>
      <c r="U218" s="332"/>
      <c r="V218" s="332"/>
      <c r="W218" s="332"/>
    </row>
    <row r="219" spans="20:23" ht="15.75" customHeight="1" x14ac:dyDescent="0.25">
      <c r="T219" s="240"/>
      <c r="U219" s="332"/>
      <c r="V219" s="332"/>
      <c r="W219" s="332"/>
    </row>
    <row r="220" spans="20:23" ht="15.75" customHeight="1" x14ac:dyDescent="0.25">
      <c r="T220" s="240"/>
      <c r="U220" s="332"/>
      <c r="V220" s="332"/>
      <c r="W220" s="332"/>
    </row>
    <row r="221" spans="20:23" ht="15.75" customHeight="1" x14ac:dyDescent="0.25">
      <c r="T221" s="240"/>
      <c r="U221" s="332"/>
      <c r="V221" s="332"/>
      <c r="W221" s="332"/>
    </row>
    <row r="222" spans="20:23" ht="15.75" customHeight="1" x14ac:dyDescent="0.25">
      <c r="T222" s="240"/>
      <c r="U222" s="332"/>
      <c r="V222" s="332"/>
      <c r="W222" s="332"/>
    </row>
    <row r="223" spans="20:23" ht="15.75" customHeight="1" x14ac:dyDescent="0.25">
      <c r="T223" s="240"/>
      <c r="U223" s="332"/>
      <c r="V223" s="332"/>
      <c r="W223" s="332"/>
    </row>
    <row r="224" spans="20:23" ht="15.75" customHeight="1" x14ac:dyDescent="0.25">
      <c r="T224" s="240"/>
      <c r="U224" s="332"/>
      <c r="V224" s="332"/>
      <c r="W224" s="332"/>
    </row>
    <row r="225" spans="20:23" ht="15.75" customHeight="1" x14ac:dyDescent="0.25">
      <c r="T225" s="240"/>
      <c r="U225" s="332"/>
      <c r="V225" s="332"/>
      <c r="W225" s="332"/>
    </row>
    <row r="226" spans="20:23" ht="15.75" customHeight="1" x14ac:dyDescent="0.25">
      <c r="T226" s="240"/>
      <c r="U226" s="332"/>
      <c r="V226" s="332"/>
      <c r="W226" s="332"/>
    </row>
    <row r="227" spans="20:23" ht="15.75" customHeight="1" x14ac:dyDescent="0.25">
      <c r="T227" s="240"/>
      <c r="U227" s="332"/>
      <c r="V227" s="332"/>
      <c r="W227" s="332"/>
    </row>
    <row r="228" spans="20:23" ht="15.75" customHeight="1" x14ac:dyDescent="0.25">
      <c r="T228" s="240"/>
      <c r="U228" s="332"/>
      <c r="V228" s="332"/>
      <c r="W228" s="332"/>
    </row>
    <row r="229" spans="20:23" ht="15.75" customHeight="1" x14ac:dyDescent="0.25">
      <c r="T229" s="240"/>
      <c r="U229" s="332"/>
      <c r="V229" s="332"/>
      <c r="W229" s="332"/>
    </row>
    <row r="230" spans="20:23" ht="15.75" customHeight="1" x14ac:dyDescent="0.25">
      <c r="T230" s="240"/>
      <c r="U230" s="332"/>
      <c r="V230" s="332"/>
      <c r="W230" s="332"/>
    </row>
    <row r="231" spans="20:23" ht="15.75" customHeight="1" x14ac:dyDescent="0.25">
      <c r="T231" s="240"/>
      <c r="U231" s="332"/>
      <c r="V231" s="332"/>
      <c r="W231" s="332"/>
    </row>
    <row r="232" spans="20:23" ht="15.75" customHeight="1" x14ac:dyDescent="0.25">
      <c r="T232" s="240"/>
      <c r="U232" s="332"/>
      <c r="V232" s="332"/>
      <c r="W232" s="332"/>
    </row>
    <row r="233" spans="20:23" ht="15.75" customHeight="1" x14ac:dyDescent="0.25">
      <c r="T233" s="240"/>
      <c r="U233" s="332"/>
      <c r="V233" s="332"/>
      <c r="W233" s="332"/>
    </row>
    <row r="234" spans="20:23" ht="15.75" customHeight="1" x14ac:dyDescent="0.25">
      <c r="T234" s="240"/>
      <c r="U234" s="332"/>
      <c r="V234" s="332"/>
      <c r="W234" s="332"/>
    </row>
    <row r="235" spans="20:23" ht="15.75" customHeight="1" x14ac:dyDescent="0.25">
      <c r="T235" s="240"/>
      <c r="U235" s="332"/>
      <c r="V235" s="332"/>
      <c r="W235" s="332"/>
    </row>
    <row r="236" spans="20:23" ht="15.75" customHeight="1" x14ac:dyDescent="0.25">
      <c r="T236" s="240"/>
      <c r="U236" s="332"/>
      <c r="V236" s="332"/>
      <c r="W236" s="332"/>
    </row>
    <row r="237" spans="20:23" ht="15.75" customHeight="1" x14ac:dyDescent="0.25">
      <c r="T237" s="240"/>
      <c r="U237" s="332"/>
      <c r="V237" s="332"/>
      <c r="W237" s="332"/>
    </row>
    <row r="238" spans="20:23" ht="15.75" customHeight="1" x14ac:dyDescent="0.25">
      <c r="T238" s="240"/>
      <c r="U238" s="332"/>
      <c r="V238" s="332"/>
      <c r="W238" s="332"/>
    </row>
    <row r="239" spans="20:23" ht="15.75" customHeight="1" x14ac:dyDescent="0.25">
      <c r="T239" s="240"/>
      <c r="U239" s="332"/>
      <c r="V239" s="332"/>
      <c r="W239" s="332"/>
    </row>
    <row r="240" spans="20:23" ht="15.75" customHeight="1" x14ac:dyDescent="0.25">
      <c r="T240" s="240"/>
      <c r="U240" s="332"/>
      <c r="V240" s="332"/>
      <c r="W240" s="332"/>
    </row>
    <row r="241" spans="20:23" ht="15.75" customHeight="1" x14ac:dyDescent="0.25">
      <c r="T241" s="240"/>
      <c r="U241" s="332"/>
      <c r="V241" s="332"/>
      <c r="W241" s="332"/>
    </row>
    <row r="242" spans="20:23" ht="15.75" customHeight="1" x14ac:dyDescent="0.25">
      <c r="T242" s="240"/>
      <c r="U242" s="332"/>
      <c r="V242" s="332"/>
      <c r="W242" s="332"/>
    </row>
    <row r="243" spans="20:23" ht="15.75" customHeight="1" x14ac:dyDescent="0.25">
      <c r="T243" s="240"/>
      <c r="U243" s="332"/>
      <c r="V243" s="332"/>
      <c r="W243" s="332"/>
    </row>
    <row r="244" spans="20:23" ht="15.75" customHeight="1" x14ac:dyDescent="0.25">
      <c r="T244" s="240"/>
      <c r="U244" s="332"/>
      <c r="V244" s="332"/>
      <c r="W244" s="332"/>
    </row>
    <row r="245" spans="20:23" ht="15.75" customHeight="1" x14ac:dyDescent="0.25">
      <c r="T245" s="240"/>
      <c r="U245" s="332"/>
      <c r="V245" s="332"/>
      <c r="W245" s="332"/>
    </row>
    <row r="246" spans="20:23" ht="15.75" customHeight="1" x14ac:dyDescent="0.25">
      <c r="T246" s="240"/>
      <c r="U246" s="332"/>
      <c r="V246" s="332"/>
      <c r="W246" s="332"/>
    </row>
    <row r="247" spans="20:23" ht="15.75" customHeight="1" x14ac:dyDescent="0.25">
      <c r="T247" s="240"/>
      <c r="U247" s="332"/>
      <c r="V247" s="332"/>
      <c r="W247" s="332"/>
    </row>
    <row r="248" spans="20:23" ht="15.75" customHeight="1" x14ac:dyDescent="0.25">
      <c r="T248" s="240"/>
      <c r="U248" s="332"/>
      <c r="V248" s="332"/>
      <c r="W248" s="332"/>
    </row>
    <row r="249" spans="20:23" ht="15.75" customHeight="1" x14ac:dyDescent="0.25">
      <c r="T249" s="240"/>
      <c r="U249" s="332"/>
      <c r="V249" s="332"/>
      <c r="W249" s="332"/>
    </row>
    <row r="250" spans="20:23" ht="15.75" customHeight="1" x14ac:dyDescent="0.25">
      <c r="T250" s="240"/>
      <c r="U250" s="332"/>
      <c r="V250" s="332"/>
      <c r="W250" s="332"/>
    </row>
    <row r="251" spans="20:23" ht="15.75" customHeight="1" x14ac:dyDescent="0.25">
      <c r="T251" s="240"/>
      <c r="U251" s="332"/>
      <c r="V251" s="332"/>
      <c r="W251" s="332"/>
    </row>
    <row r="252" spans="20:23" ht="15.75" customHeight="1" x14ac:dyDescent="0.25">
      <c r="T252" s="240"/>
      <c r="U252" s="332"/>
      <c r="V252" s="332"/>
      <c r="W252" s="332"/>
    </row>
    <row r="253" spans="20:23" ht="15.75" customHeight="1" x14ac:dyDescent="0.25">
      <c r="T253" s="240"/>
      <c r="U253" s="332"/>
      <c r="V253" s="332"/>
      <c r="W253" s="332"/>
    </row>
    <row r="254" spans="20:23" ht="15.75" customHeight="1" x14ac:dyDescent="0.25">
      <c r="T254" s="240"/>
      <c r="U254" s="332"/>
      <c r="V254" s="332"/>
      <c r="W254" s="332"/>
    </row>
    <row r="255" spans="20:23" ht="15.75" customHeight="1" x14ac:dyDescent="0.25">
      <c r="T255" s="240"/>
      <c r="U255" s="332"/>
      <c r="V255" s="332"/>
      <c r="W255" s="332"/>
    </row>
    <row r="256" spans="20:23" ht="15.75" customHeight="1" x14ac:dyDescent="0.25">
      <c r="T256" s="240"/>
      <c r="U256" s="332"/>
      <c r="V256" s="332"/>
      <c r="W256" s="332"/>
    </row>
    <row r="257" spans="20:23" ht="15.75" customHeight="1" x14ac:dyDescent="0.25">
      <c r="T257" s="240"/>
      <c r="U257" s="332"/>
      <c r="V257" s="332"/>
      <c r="W257" s="332"/>
    </row>
    <row r="258" spans="20:23" ht="15.75" customHeight="1" x14ac:dyDescent="0.25">
      <c r="T258" s="240"/>
      <c r="U258" s="332"/>
      <c r="V258" s="332"/>
      <c r="W258" s="332"/>
    </row>
    <row r="259" spans="20:23" ht="15.75" customHeight="1" x14ac:dyDescent="0.25">
      <c r="T259" s="240"/>
      <c r="U259" s="332"/>
      <c r="V259" s="332"/>
      <c r="W259" s="332"/>
    </row>
    <row r="260" spans="20:23" ht="15.75" customHeight="1" x14ac:dyDescent="0.25">
      <c r="T260" s="240"/>
      <c r="U260" s="332"/>
      <c r="V260" s="332"/>
      <c r="W260" s="332"/>
    </row>
    <row r="261" spans="20:23" ht="15.75" customHeight="1" x14ac:dyDescent="0.25">
      <c r="T261" s="240"/>
      <c r="U261" s="332"/>
      <c r="V261" s="332"/>
      <c r="W261" s="332"/>
    </row>
    <row r="262" spans="20:23" ht="15.75" customHeight="1" x14ac:dyDescent="0.25">
      <c r="T262" s="240"/>
      <c r="U262" s="332"/>
      <c r="V262" s="332"/>
      <c r="W262" s="332"/>
    </row>
    <row r="263" spans="20:23" ht="15.75" customHeight="1" x14ac:dyDescent="0.25">
      <c r="T263" s="240"/>
      <c r="U263" s="332"/>
      <c r="V263" s="332"/>
      <c r="W263" s="332"/>
    </row>
    <row r="264" spans="20:23" ht="15.75" customHeight="1" x14ac:dyDescent="0.25">
      <c r="T264" s="240"/>
      <c r="U264" s="332"/>
      <c r="V264" s="332"/>
      <c r="W264" s="332"/>
    </row>
    <row r="265" spans="20:23" ht="15.75" customHeight="1" x14ac:dyDescent="0.25"/>
    <row r="266" spans="20:23" ht="15.75" customHeight="1" x14ac:dyDescent="0.25"/>
    <row r="267" spans="20:23" ht="15.75" customHeight="1" x14ac:dyDescent="0.25"/>
    <row r="268" spans="20:23" ht="15.75" customHeight="1" x14ac:dyDescent="0.25"/>
    <row r="269" spans="20:23" ht="15.75" customHeight="1" x14ac:dyDescent="0.25"/>
    <row r="270" spans="20:23" ht="15.75" customHeight="1" x14ac:dyDescent="0.25"/>
    <row r="271" spans="20:23" ht="15.75" customHeight="1" x14ac:dyDescent="0.25"/>
    <row r="272" spans="20:23"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5:BF64" xr:uid="{00000000-0009-0000-0000-000004000000}"/>
  <conditionalFormatting sqref="Y6:Y31 Y34:Y35 Y41 Y44:Y45">
    <cfRule type="cellIs" dxfId="5" priority="1" operator="equal">
      <formula>"regolare"</formula>
    </cfRule>
    <cfRule type="cellIs" dxfId="4" priority="2" operator="equal">
      <formula>"in scadenza"</formula>
    </cfRule>
    <cfRule type="cellIs" dxfId="3" priority="3" operator="equal">
      <formula>"scaduto"</formula>
    </cfRule>
  </conditionalFormatting>
  <conditionalFormatting sqref="Y47:Y62">
    <cfRule type="cellIs" dxfId="2" priority="4" operator="equal">
      <formula>"regolare"</formula>
    </cfRule>
    <cfRule type="cellIs" dxfId="1" priority="5" operator="equal">
      <formula>"in scadenza"</formula>
    </cfRule>
    <cfRule type="cellIs" dxfId="0" priority="6" operator="equal">
      <formula>"scaduto"</formula>
    </cfRule>
  </conditionalFormatting>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5</vt:i4>
      </vt:variant>
    </vt:vector>
  </HeadingPairs>
  <TitlesOfParts>
    <vt:vector size="5" baseType="lpstr">
      <vt:lpstr>Tabella riassuntiva</vt:lpstr>
      <vt:lpstr>AIMAG</vt:lpstr>
      <vt:lpstr>SFIORI SCADUTI</vt:lpstr>
      <vt:lpstr>Sfiori Qs&lt;Pavv</vt:lpstr>
      <vt:lpstr>sfiori per SIPIUI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Frank V</cp:lastModifiedBy>
  <dcterms:created xsi:type="dcterms:W3CDTF">2021-03-16T16:07:13Z</dcterms:created>
  <dcterms:modified xsi:type="dcterms:W3CDTF">2026-03-15T15:42:13Z</dcterms:modified>
</cp:coreProperties>
</file>